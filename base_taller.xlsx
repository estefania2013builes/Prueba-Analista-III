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30115A6-2FBD-4046-B22D-174FC22B63A0}" xr6:coauthVersionLast="47" xr6:coauthVersionMax="47" xr10:uidLastSave="{00000000-0000-0000-0000-000000000000}"/>
  <bookViews>
    <workbookView xWindow="-120" yWindow="-120" windowWidth="29040" windowHeight="15720" tabRatio="760" activeTab="2" xr2:uid="{00000000-000D-0000-FFFF-FFFF00000000}"/>
  </bookViews>
  <sheets>
    <sheet name="Gestor_responsable" sheetId="7" r:id="rId1"/>
    <sheet name="Segmentos" sheetId="10" r:id="rId2"/>
    <sheet name="BASE_CUENTAS" sheetId="1" r:id="rId3"/>
    <sheet name="GESTIONES" sheetId="3" r:id="rId4"/>
    <sheet name="PAGOS" sheetId="4" r:id="rId5"/>
    <sheet name="BASE_CIERRE_MES" sheetId="5" r:id="rId6"/>
    <sheet name="Catalogo_gestiones" sheetId="6" r:id="rId7"/>
  </sheets>
  <definedNames>
    <definedName name="_xlnm._FilterDatabase" localSheetId="5" hidden="1">BASE_CIERRE_MES!$A$1:$G$971</definedName>
    <definedName name="_xlnm._FilterDatabase" localSheetId="2" hidden="1">BASE_CUENTAS!$A$1:$J$971</definedName>
    <definedName name="_xlnm._FilterDatabase" localSheetId="3" hidden="1">GESTIONES!$A$1:$D$2911</definedName>
    <definedName name="_xlnm._FilterDatabase" localSheetId="4" hidden="1">PAGOS!$A$1:$C$486</definedName>
  </definedNames>
  <calcPr calcId="191029"/>
  <pivotCaches>
    <pivotCache cacheId="98" r:id="rId8"/>
    <pivotCache cacheId="10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2" i="1"/>
  <c r="Q26" i="1"/>
  <c r="Q30" i="1"/>
  <c r="Q34" i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O27" i="1"/>
  <c r="Q27" i="1" s="1"/>
  <c r="O28" i="1"/>
  <c r="Q28" i="1" s="1"/>
  <c r="O29" i="1"/>
  <c r="Q29" i="1" s="1"/>
  <c r="O30" i="1"/>
  <c r="O31" i="1"/>
  <c r="Q31" i="1" s="1"/>
  <c r="O32" i="1"/>
  <c r="Q32" i="1" s="1"/>
  <c r="O33" i="1"/>
  <c r="Q33" i="1" s="1"/>
  <c r="O34" i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Q83" i="1" s="1"/>
  <c r="O84" i="1"/>
  <c r="Q84" i="1" s="1"/>
  <c r="O85" i="1"/>
  <c r="Q85" i="1" s="1"/>
  <c r="O86" i="1"/>
  <c r="Q86" i="1" s="1"/>
  <c r="O87" i="1"/>
  <c r="Q87" i="1" s="1"/>
  <c r="O88" i="1"/>
  <c r="Q88" i="1" s="1"/>
  <c r="O89" i="1"/>
  <c r="Q89" i="1" s="1"/>
  <c r="O90" i="1"/>
  <c r="Q90" i="1" s="1"/>
  <c r="O91" i="1"/>
  <c r="Q91" i="1" s="1"/>
  <c r="O92" i="1"/>
  <c r="Q92" i="1" s="1"/>
  <c r="O93" i="1"/>
  <c r="Q93" i="1" s="1"/>
  <c r="O94" i="1"/>
  <c r="Q94" i="1" s="1"/>
  <c r="O95" i="1"/>
  <c r="Q95" i="1" s="1"/>
  <c r="O96" i="1"/>
  <c r="Q96" i="1" s="1"/>
  <c r="O97" i="1"/>
  <c r="Q97" i="1" s="1"/>
  <c r="O98" i="1"/>
  <c r="Q98" i="1" s="1"/>
  <c r="O99" i="1"/>
  <c r="Q99" i="1" s="1"/>
  <c r="O100" i="1"/>
  <c r="Q100" i="1" s="1"/>
  <c r="O101" i="1"/>
  <c r="Q101" i="1" s="1"/>
  <c r="O102" i="1"/>
  <c r="Q102" i="1" s="1"/>
  <c r="O103" i="1"/>
  <c r="Q103" i="1" s="1"/>
  <c r="O104" i="1"/>
  <c r="Q104" i="1" s="1"/>
  <c r="O105" i="1"/>
  <c r="Q105" i="1" s="1"/>
  <c r="O106" i="1"/>
  <c r="Q106" i="1" s="1"/>
  <c r="O107" i="1"/>
  <c r="Q107" i="1" s="1"/>
  <c r="O108" i="1"/>
  <c r="Q108" i="1" s="1"/>
  <c r="O109" i="1"/>
  <c r="Q109" i="1" s="1"/>
  <c r="O110" i="1"/>
  <c r="Q110" i="1" s="1"/>
  <c r="O111" i="1"/>
  <c r="Q111" i="1" s="1"/>
  <c r="O112" i="1"/>
  <c r="Q112" i="1" s="1"/>
  <c r="O113" i="1"/>
  <c r="Q113" i="1" s="1"/>
  <c r="O114" i="1"/>
  <c r="Q114" i="1" s="1"/>
  <c r="O115" i="1"/>
  <c r="Q115" i="1" s="1"/>
  <c r="O116" i="1"/>
  <c r="Q116" i="1" s="1"/>
  <c r="O117" i="1"/>
  <c r="Q117" i="1" s="1"/>
  <c r="O118" i="1"/>
  <c r="Q118" i="1" s="1"/>
  <c r="O119" i="1"/>
  <c r="Q119" i="1" s="1"/>
  <c r="O120" i="1"/>
  <c r="Q120" i="1" s="1"/>
  <c r="O121" i="1"/>
  <c r="Q121" i="1" s="1"/>
  <c r="O122" i="1"/>
  <c r="Q122" i="1" s="1"/>
  <c r="O123" i="1"/>
  <c r="Q123" i="1" s="1"/>
  <c r="O124" i="1"/>
  <c r="Q124" i="1" s="1"/>
  <c r="O125" i="1"/>
  <c r="Q125" i="1" s="1"/>
  <c r="O126" i="1"/>
  <c r="Q126" i="1" s="1"/>
  <c r="O127" i="1"/>
  <c r="Q127" i="1" s="1"/>
  <c r="O128" i="1"/>
  <c r="Q128" i="1" s="1"/>
  <c r="O129" i="1"/>
  <c r="Q129" i="1" s="1"/>
  <c r="O130" i="1"/>
  <c r="Q130" i="1" s="1"/>
  <c r="O131" i="1"/>
  <c r="Q131" i="1" s="1"/>
  <c r="O132" i="1"/>
  <c r="Q132" i="1" s="1"/>
  <c r="O133" i="1"/>
  <c r="Q133" i="1" s="1"/>
  <c r="O134" i="1"/>
  <c r="Q134" i="1" s="1"/>
  <c r="O135" i="1"/>
  <c r="Q135" i="1" s="1"/>
  <c r="O136" i="1"/>
  <c r="Q136" i="1" s="1"/>
  <c r="O137" i="1"/>
  <c r="Q137" i="1" s="1"/>
  <c r="O138" i="1"/>
  <c r="Q138" i="1" s="1"/>
  <c r="O139" i="1"/>
  <c r="Q139" i="1" s="1"/>
  <c r="O140" i="1"/>
  <c r="Q140" i="1" s="1"/>
  <c r="O141" i="1"/>
  <c r="Q141" i="1" s="1"/>
  <c r="O142" i="1"/>
  <c r="Q142" i="1" s="1"/>
  <c r="O143" i="1"/>
  <c r="Q143" i="1" s="1"/>
  <c r="O144" i="1"/>
  <c r="Q144" i="1" s="1"/>
  <c r="O145" i="1"/>
  <c r="Q145" i="1" s="1"/>
  <c r="O146" i="1"/>
  <c r="Q146" i="1" s="1"/>
  <c r="O147" i="1"/>
  <c r="Q147" i="1" s="1"/>
  <c r="O148" i="1"/>
  <c r="Q148" i="1" s="1"/>
  <c r="O149" i="1"/>
  <c r="Q149" i="1" s="1"/>
  <c r="O150" i="1"/>
  <c r="Q150" i="1" s="1"/>
  <c r="O151" i="1"/>
  <c r="Q151" i="1" s="1"/>
  <c r="O152" i="1"/>
  <c r="Q152" i="1" s="1"/>
  <c r="O153" i="1"/>
  <c r="Q153" i="1" s="1"/>
  <c r="O154" i="1"/>
  <c r="Q154" i="1" s="1"/>
  <c r="O155" i="1"/>
  <c r="Q155" i="1" s="1"/>
  <c r="O156" i="1"/>
  <c r="Q156" i="1" s="1"/>
  <c r="O157" i="1"/>
  <c r="Q157" i="1" s="1"/>
  <c r="O158" i="1"/>
  <c r="Q158" i="1" s="1"/>
  <c r="O159" i="1"/>
  <c r="Q159" i="1" s="1"/>
  <c r="O160" i="1"/>
  <c r="Q160" i="1" s="1"/>
  <c r="O161" i="1"/>
  <c r="Q161" i="1" s="1"/>
  <c r="O162" i="1"/>
  <c r="Q162" i="1" s="1"/>
  <c r="O163" i="1"/>
  <c r="Q163" i="1" s="1"/>
  <c r="O164" i="1"/>
  <c r="Q164" i="1" s="1"/>
  <c r="O165" i="1"/>
  <c r="Q165" i="1" s="1"/>
  <c r="O166" i="1"/>
  <c r="Q166" i="1" s="1"/>
  <c r="O167" i="1"/>
  <c r="Q167" i="1" s="1"/>
  <c r="O168" i="1"/>
  <c r="Q168" i="1" s="1"/>
  <c r="O169" i="1"/>
  <c r="Q169" i="1" s="1"/>
  <c r="O170" i="1"/>
  <c r="Q170" i="1" s="1"/>
  <c r="O171" i="1"/>
  <c r="Q171" i="1" s="1"/>
  <c r="O172" i="1"/>
  <c r="Q172" i="1" s="1"/>
  <c r="O173" i="1"/>
  <c r="Q173" i="1" s="1"/>
  <c r="O174" i="1"/>
  <c r="Q174" i="1" s="1"/>
  <c r="O175" i="1"/>
  <c r="Q175" i="1" s="1"/>
  <c r="O176" i="1"/>
  <c r="Q176" i="1" s="1"/>
  <c r="O177" i="1"/>
  <c r="Q177" i="1" s="1"/>
  <c r="O178" i="1"/>
  <c r="Q178" i="1" s="1"/>
  <c r="O179" i="1"/>
  <c r="Q179" i="1" s="1"/>
  <c r="O180" i="1"/>
  <c r="Q180" i="1" s="1"/>
  <c r="O181" i="1"/>
  <c r="Q181" i="1" s="1"/>
  <c r="O182" i="1"/>
  <c r="Q182" i="1" s="1"/>
  <c r="O183" i="1"/>
  <c r="Q183" i="1" s="1"/>
  <c r="O184" i="1"/>
  <c r="Q184" i="1" s="1"/>
  <c r="O185" i="1"/>
  <c r="Q185" i="1" s="1"/>
  <c r="O186" i="1"/>
  <c r="Q186" i="1" s="1"/>
  <c r="O187" i="1"/>
  <c r="Q187" i="1" s="1"/>
  <c r="O188" i="1"/>
  <c r="Q188" i="1" s="1"/>
  <c r="O189" i="1"/>
  <c r="Q189" i="1" s="1"/>
  <c r="O190" i="1"/>
  <c r="Q190" i="1" s="1"/>
  <c r="O191" i="1"/>
  <c r="Q191" i="1" s="1"/>
  <c r="O192" i="1"/>
  <c r="Q192" i="1" s="1"/>
  <c r="O193" i="1"/>
  <c r="Q193" i="1" s="1"/>
  <c r="O194" i="1"/>
  <c r="Q194" i="1" s="1"/>
  <c r="O195" i="1"/>
  <c r="Q195" i="1" s="1"/>
  <c r="O196" i="1"/>
  <c r="Q196" i="1" s="1"/>
  <c r="O197" i="1"/>
  <c r="Q197" i="1" s="1"/>
  <c r="O198" i="1"/>
  <c r="Q198" i="1" s="1"/>
  <c r="O199" i="1"/>
  <c r="Q199" i="1" s="1"/>
  <c r="O200" i="1"/>
  <c r="Q200" i="1" s="1"/>
  <c r="O201" i="1"/>
  <c r="Q201" i="1" s="1"/>
  <c r="O202" i="1"/>
  <c r="Q202" i="1" s="1"/>
  <c r="O203" i="1"/>
  <c r="Q203" i="1" s="1"/>
  <c r="O204" i="1"/>
  <c r="Q204" i="1" s="1"/>
  <c r="O205" i="1"/>
  <c r="Q205" i="1" s="1"/>
  <c r="O206" i="1"/>
  <c r="Q206" i="1" s="1"/>
  <c r="O207" i="1"/>
  <c r="Q207" i="1" s="1"/>
  <c r="O208" i="1"/>
  <c r="Q208" i="1" s="1"/>
  <c r="O209" i="1"/>
  <c r="Q209" i="1" s="1"/>
  <c r="O210" i="1"/>
  <c r="Q210" i="1" s="1"/>
  <c r="O211" i="1"/>
  <c r="Q211" i="1" s="1"/>
  <c r="O212" i="1"/>
  <c r="Q212" i="1" s="1"/>
  <c r="O213" i="1"/>
  <c r="Q213" i="1" s="1"/>
  <c r="O214" i="1"/>
  <c r="Q214" i="1" s="1"/>
  <c r="O215" i="1"/>
  <c r="Q215" i="1" s="1"/>
  <c r="O216" i="1"/>
  <c r="Q216" i="1" s="1"/>
  <c r="O217" i="1"/>
  <c r="Q217" i="1" s="1"/>
  <c r="O218" i="1"/>
  <c r="Q218" i="1" s="1"/>
  <c r="O219" i="1"/>
  <c r="Q219" i="1" s="1"/>
  <c r="O220" i="1"/>
  <c r="Q220" i="1" s="1"/>
  <c r="O221" i="1"/>
  <c r="Q221" i="1" s="1"/>
  <c r="O222" i="1"/>
  <c r="Q222" i="1" s="1"/>
  <c r="O223" i="1"/>
  <c r="Q223" i="1" s="1"/>
  <c r="O224" i="1"/>
  <c r="Q224" i="1" s="1"/>
  <c r="O225" i="1"/>
  <c r="Q225" i="1" s="1"/>
  <c r="O226" i="1"/>
  <c r="Q226" i="1" s="1"/>
  <c r="O227" i="1"/>
  <c r="Q227" i="1" s="1"/>
  <c r="O228" i="1"/>
  <c r="Q228" i="1" s="1"/>
  <c r="O229" i="1"/>
  <c r="Q229" i="1" s="1"/>
  <c r="O230" i="1"/>
  <c r="Q230" i="1" s="1"/>
  <c r="O231" i="1"/>
  <c r="Q231" i="1" s="1"/>
  <c r="O232" i="1"/>
  <c r="Q232" i="1" s="1"/>
  <c r="O233" i="1"/>
  <c r="Q233" i="1" s="1"/>
  <c r="O234" i="1"/>
  <c r="Q234" i="1" s="1"/>
  <c r="O235" i="1"/>
  <c r="Q235" i="1" s="1"/>
  <c r="O236" i="1"/>
  <c r="Q236" i="1" s="1"/>
  <c r="O237" i="1"/>
  <c r="Q237" i="1" s="1"/>
  <c r="O238" i="1"/>
  <c r="Q238" i="1" s="1"/>
  <c r="O239" i="1"/>
  <c r="Q239" i="1" s="1"/>
  <c r="O240" i="1"/>
  <c r="Q240" i="1" s="1"/>
  <c r="O241" i="1"/>
  <c r="Q241" i="1" s="1"/>
  <c r="O242" i="1"/>
  <c r="Q242" i="1" s="1"/>
  <c r="O243" i="1"/>
  <c r="Q243" i="1" s="1"/>
  <c r="O244" i="1"/>
  <c r="Q244" i="1" s="1"/>
  <c r="O245" i="1"/>
  <c r="Q245" i="1" s="1"/>
  <c r="O246" i="1"/>
  <c r="Q246" i="1" s="1"/>
  <c r="O247" i="1"/>
  <c r="Q247" i="1" s="1"/>
  <c r="O248" i="1"/>
  <c r="Q248" i="1" s="1"/>
  <c r="O249" i="1"/>
  <c r="Q249" i="1" s="1"/>
  <c r="O250" i="1"/>
  <c r="Q250" i="1" s="1"/>
  <c r="O251" i="1"/>
  <c r="Q251" i="1" s="1"/>
  <c r="O252" i="1"/>
  <c r="Q252" i="1" s="1"/>
  <c r="O253" i="1"/>
  <c r="Q253" i="1" s="1"/>
  <c r="O254" i="1"/>
  <c r="Q254" i="1" s="1"/>
  <c r="O255" i="1"/>
  <c r="Q255" i="1" s="1"/>
  <c r="O256" i="1"/>
  <c r="Q256" i="1" s="1"/>
  <c r="O257" i="1"/>
  <c r="Q257" i="1" s="1"/>
  <c r="O258" i="1"/>
  <c r="Q258" i="1" s="1"/>
  <c r="O259" i="1"/>
  <c r="Q259" i="1" s="1"/>
  <c r="O260" i="1"/>
  <c r="Q260" i="1" s="1"/>
  <c r="O261" i="1"/>
  <c r="Q261" i="1" s="1"/>
  <c r="O262" i="1"/>
  <c r="Q262" i="1" s="1"/>
  <c r="O263" i="1"/>
  <c r="Q263" i="1" s="1"/>
  <c r="O264" i="1"/>
  <c r="Q264" i="1" s="1"/>
  <c r="O265" i="1"/>
  <c r="Q265" i="1" s="1"/>
  <c r="O266" i="1"/>
  <c r="Q266" i="1" s="1"/>
  <c r="O267" i="1"/>
  <c r="Q267" i="1" s="1"/>
  <c r="O268" i="1"/>
  <c r="Q268" i="1" s="1"/>
  <c r="O269" i="1"/>
  <c r="Q269" i="1" s="1"/>
  <c r="O270" i="1"/>
  <c r="Q270" i="1" s="1"/>
  <c r="O271" i="1"/>
  <c r="Q271" i="1" s="1"/>
  <c r="O272" i="1"/>
  <c r="Q272" i="1" s="1"/>
  <c r="O273" i="1"/>
  <c r="Q273" i="1" s="1"/>
  <c r="O274" i="1"/>
  <c r="Q274" i="1" s="1"/>
  <c r="O275" i="1"/>
  <c r="Q275" i="1" s="1"/>
  <c r="O276" i="1"/>
  <c r="Q276" i="1" s="1"/>
  <c r="O277" i="1"/>
  <c r="Q277" i="1" s="1"/>
  <c r="O278" i="1"/>
  <c r="Q278" i="1" s="1"/>
  <c r="O279" i="1"/>
  <c r="Q279" i="1" s="1"/>
  <c r="O280" i="1"/>
  <c r="Q280" i="1" s="1"/>
  <c r="O281" i="1"/>
  <c r="Q281" i="1" s="1"/>
  <c r="O282" i="1"/>
  <c r="Q282" i="1" s="1"/>
  <c r="O283" i="1"/>
  <c r="Q283" i="1" s="1"/>
  <c r="O284" i="1"/>
  <c r="Q284" i="1" s="1"/>
  <c r="O285" i="1"/>
  <c r="Q285" i="1" s="1"/>
  <c r="O286" i="1"/>
  <c r="Q286" i="1" s="1"/>
  <c r="O287" i="1"/>
  <c r="Q287" i="1" s="1"/>
  <c r="O288" i="1"/>
  <c r="Q288" i="1" s="1"/>
  <c r="O289" i="1"/>
  <c r="Q289" i="1" s="1"/>
  <c r="O290" i="1"/>
  <c r="Q290" i="1" s="1"/>
  <c r="O291" i="1"/>
  <c r="Q291" i="1" s="1"/>
  <c r="O292" i="1"/>
  <c r="Q292" i="1" s="1"/>
  <c r="O293" i="1"/>
  <c r="Q293" i="1" s="1"/>
  <c r="O294" i="1"/>
  <c r="Q294" i="1" s="1"/>
  <c r="O295" i="1"/>
  <c r="Q295" i="1" s="1"/>
  <c r="O296" i="1"/>
  <c r="Q296" i="1" s="1"/>
  <c r="O297" i="1"/>
  <c r="Q297" i="1" s="1"/>
  <c r="O298" i="1"/>
  <c r="Q298" i="1" s="1"/>
  <c r="O299" i="1"/>
  <c r="Q299" i="1" s="1"/>
  <c r="O300" i="1"/>
  <c r="Q300" i="1" s="1"/>
  <c r="O301" i="1"/>
  <c r="Q301" i="1" s="1"/>
  <c r="O302" i="1"/>
  <c r="Q302" i="1" s="1"/>
  <c r="O303" i="1"/>
  <c r="Q303" i="1" s="1"/>
  <c r="O304" i="1"/>
  <c r="Q304" i="1" s="1"/>
  <c r="O305" i="1"/>
  <c r="Q305" i="1" s="1"/>
  <c r="O306" i="1"/>
  <c r="Q306" i="1" s="1"/>
  <c r="O307" i="1"/>
  <c r="Q307" i="1" s="1"/>
  <c r="O308" i="1"/>
  <c r="Q308" i="1" s="1"/>
  <c r="O309" i="1"/>
  <c r="Q309" i="1" s="1"/>
  <c r="O310" i="1"/>
  <c r="Q310" i="1" s="1"/>
  <c r="O311" i="1"/>
  <c r="Q311" i="1" s="1"/>
  <c r="O312" i="1"/>
  <c r="Q312" i="1" s="1"/>
  <c r="O313" i="1"/>
  <c r="Q313" i="1" s="1"/>
  <c r="O314" i="1"/>
  <c r="Q314" i="1" s="1"/>
  <c r="O315" i="1"/>
  <c r="Q315" i="1" s="1"/>
  <c r="O316" i="1"/>
  <c r="Q316" i="1" s="1"/>
  <c r="O317" i="1"/>
  <c r="Q317" i="1" s="1"/>
  <c r="O318" i="1"/>
  <c r="Q318" i="1" s="1"/>
  <c r="O319" i="1"/>
  <c r="Q319" i="1" s="1"/>
  <c r="O320" i="1"/>
  <c r="Q320" i="1" s="1"/>
  <c r="O321" i="1"/>
  <c r="Q321" i="1" s="1"/>
  <c r="O322" i="1"/>
  <c r="Q322" i="1" s="1"/>
  <c r="O323" i="1"/>
  <c r="Q323" i="1" s="1"/>
  <c r="O324" i="1"/>
  <c r="Q324" i="1" s="1"/>
  <c r="O325" i="1"/>
  <c r="Q325" i="1" s="1"/>
  <c r="O326" i="1"/>
  <c r="Q326" i="1" s="1"/>
  <c r="O327" i="1"/>
  <c r="Q327" i="1" s="1"/>
  <c r="O328" i="1"/>
  <c r="Q328" i="1" s="1"/>
  <c r="O329" i="1"/>
  <c r="Q329" i="1" s="1"/>
  <c r="O330" i="1"/>
  <c r="Q330" i="1" s="1"/>
  <c r="O331" i="1"/>
  <c r="Q331" i="1" s="1"/>
  <c r="O332" i="1"/>
  <c r="Q332" i="1" s="1"/>
  <c r="O333" i="1"/>
  <c r="Q333" i="1" s="1"/>
  <c r="O334" i="1"/>
  <c r="Q334" i="1" s="1"/>
  <c r="O335" i="1"/>
  <c r="Q335" i="1" s="1"/>
  <c r="O336" i="1"/>
  <c r="Q336" i="1" s="1"/>
  <c r="O337" i="1"/>
  <c r="Q337" i="1" s="1"/>
  <c r="O338" i="1"/>
  <c r="Q338" i="1" s="1"/>
  <c r="O339" i="1"/>
  <c r="Q339" i="1" s="1"/>
  <c r="O340" i="1"/>
  <c r="Q340" i="1" s="1"/>
  <c r="O341" i="1"/>
  <c r="Q341" i="1" s="1"/>
  <c r="O342" i="1"/>
  <c r="Q342" i="1" s="1"/>
  <c r="O343" i="1"/>
  <c r="Q343" i="1" s="1"/>
  <c r="O344" i="1"/>
  <c r="Q344" i="1" s="1"/>
  <c r="O345" i="1"/>
  <c r="Q345" i="1" s="1"/>
  <c r="O346" i="1"/>
  <c r="Q346" i="1" s="1"/>
  <c r="O347" i="1"/>
  <c r="Q347" i="1" s="1"/>
  <c r="O348" i="1"/>
  <c r="Q348" i="1" s="1"/>
  <c r="O349" i="1"/>
  <c r="Q349" i="1" s="1"/>
  <c r="O350" i="1"/>
  <c r="Q350" i="1" s="1"/>
  <c r="O351" i="1"/>
  <c r="Q351" i="1" s="1"/>
  <c r="O352" i="1"/>
  <c r="Q352" i="1" s="1"/>
  <c r="O353" i="1"/>
  <c r="Q353" i="1" s="1"/>
  <c r="O354" i="1"/>
  <c r="Q354" i="1" s="1"/>
  <c r="O355" i="1"/>
  <c r="Q355" i="1" s="1"/>
  <c r="O356" i="1"/>
  <c r="Q356" i="1" s="1"/>
  <c r="O357" i="1"/>
  <c r="Q357" i="1" s="1"/>
  <c r="O358" i="1"/>
  <c r="Q358" i="1" s="1"/>
  <c r="O359" i="1"/>
  <c r="Q359" i="1" s="1"/>
  <c r="O360" i="1"/>
  <c r="Q360" i="1" s="1"/>
  <c r="O361" i="1"/>
  <c r="Q361" i="1" s="1"/>
  <c r="O362" i="1"/>
  <c r="Q362" i="1" s="1"/>
  <c r="O363" i="1"/>
  <c r="Q363" i="1" s="1"/>
  <c r="O364" i="1"/>
  <c r="Q364" i="1" s="1"/>
  <c r="O365" i="1"/>
  <c r="Q365" i="1" s="1"/>
  <c r="O366" i="1"/>
  <c r="Q366" i="1" s="1"/>
  <c r="O367" i="1"/>
  <c r="Q367" i="1" s="1"/>
  <c r="O368" i="1"/>
  <c r="Q368" i="1" s="1"/>
  <c r="O369" i="1"/>
  <c r="Q369" i="1" s="1"/>
  <c r="O370" i="1"/>
  <c r="Q370" i="1" s="1"/>
  <c r="O371" i="1"/>
  <c r="Q371" i="1" s="1"/>
  <c r="O372" i="1"/>
  <c r="Q372" i="1" s="1"/>
  <c r="O373" i="1"/>
  <c r="Q373" i="1" s="1"/>
  <c r="O374" i="1"/>
  <c r="Q374" i="1" s="1"/>
  <c r="O375" i="1"/>
  <c r="Q375" i="1" s="1"/>
  <c r="O376" i="1"/>
  <c r="Q376" i="1" s="1"/>
  <c r="O377" i="1"/>
  <c r="Q377" i="1" s="1"/>
  <c r="O378" i="1"/>
  <c r="Q378" i="1" s="1"/>
  <c r="O379" i="1"/>
  <c r="Q379" i="1" s="1"/>
  <c r="O380" i="1"/>
  <c r="Q380" i="1" s="1"/>
  <c r="O381" i="1"/>
  <c r="Q381" i="1" s="1"/>
  <c r="O382" i="1"/>
  <c r="Q382" i="1" s="1"/>
  <c r="O383" i="1"/>
  <c r="Q383" i="1" s="1"/>
  <c r="O384" i="1"/>
  <c r="Q384" i="1" s="1"/>
  <c r="O385" i="1"/>
  <c r="Q385" i="1" s="1"/>
  <c r="O386" i="1"/>
  <c r="Q386" i="1" s="1"/>
  <c r="O387" i="1"/>
  <c r="Q387" i="1" s="1"/>
  <c r="O388" i="1"/>
  <c r="Q388" i="1" s="1"/>
  <c r="O389" i="1"/>
  <c r="Q389" i="1" s="1"/>
  <c r="O390" i="1"/>
  <c r="Q390" i="1" s="1"/>
  <c r="O391" i="1"/>
  <c r="Q391" i="1" s="1"/>
  <c r="O392" i="1"/>
  <c r="Q392" i="1" s="1"/>
  <c r="O393" i="1"/>
  <c r="Q393" i="1" s="1"/>
  <c r="O394" i="1"/>
  <c r="Q394" i="1" s="1"/>
  <c r="O395" i="1"/>
  <c r="Q395" i="1" s="1"/>
  <c r="O396" i="1"/>
  <c r="Q396" i="1" s="1"/>
  <c r="O397" i="1"/>
  <c r="Q397" i="1" s="1"/>
  <c r="O398" i="1"/>
  <c r="Q398" i="1" s="1"/>
  <c r="O399" i="1"/>
  <c r="Q399" i="1" s="1"/>
  <c r="O400" i="1"/>
  <c r="Q400" i="1" s="1"/>
  <c r="O401" i="1"/>
  <c r="Q401" i="1" s="1"/>
  <c r="O402" i="1"/>
  <c r="Q402" i="1" s="1"/>
  <c r="O403" i="1"/>
  <c r="Q403" i="1" s="1"/>
  <c r="O404" i="1"/>
  <c r="Q404" i="1" s="1"/>
  <c r="O405" i="1"/>
  <c r="Q405" i="1" s="1"/>
  <c r="O406" i="1"/>
  <c r="Q406" i="1" s="1"/>
  <c r="O407" i="1"/>
  <c r="Q407" i="1" s="1"/>
  <c r="O408" i="1"/>
  <c r="Q408" i="1" s="1"/>
  <c r="O409" i="1"/>
  <c r="Q409" i="1" s="1"/>
  <c r="O410" i="1"/>
  <c r="Q410" i="1" s="1"/>
  <c r="O411" i="1"/>
  <c r="Q411" i="1" s="1"/>
  <c r="O412" i="1"/>
  <c r="Q412" i="1" s="1"/>
  <c r="O413" i="1"/>
  <c r="Q413" i="1" s="1"/>
  <c r="O414" i="1"/>
  <c r="Q414" i="1" s="1"/>
  <c r="O415" i="1"/>
  <c r="Q415" i="1" s="1"/>
  <c r="O416" i="1"/>
  <c r="Q416" i="1" s="1"/>
  <c r="O417" i="1"/>
  <c r="Q417" i="1" s="1"/>
  <c r="O418" i="1"/>
  <c r="Q418" i="1" s="1"/>
  <c r="O419" i="1"/>
  <c r="Q419" i="1" s="1"/>
  <c r="O420" i="1"/>
  <c r="Q420" i="1" s="1"/>
  <c r="O421" i="1"/>
  <c r="Q421" i="1" s="1"/>
  <c r="O422" i="1"/>
  <c r="Q422" i="1" s="1"/>
  <c r="O423" i="1"/>
  <c r="Q423" i="1" s="1"/>
  <c r="O424" i="1"/>
  <c r="Q424" i="1" s="1"/>
  <c r="O425" i="1"/>
  <c r="Q425" i="1" s="1"/>
  <c r="O426" i="1"/>
  <c r="Q426" i="1" s="1"/>
  <c r="O427" i="1"/>
  <c r="Q427" i="1" s="1"/>
  <c r="O428" i="1"/>
  <c r="Q428" i="1" s="1"/>
  <c r="O429" i="1"/>
  <c r="Q429" i="1" s="1"/>
  <c r="O430" i="1"/>
  <c r="Q430" i="1" s="1"/>
  <c r="O431" i="1"/>
  <c r="Q431" i="1" s="1"/>
  <c r="O432" i="1"/>
  <c r="Q432" i="1" s="1"/>
  <c r="O433" i="1"/>
  <c r="Q433" i="1" s="1"/>
  <c r="O434" i="1"/>
  <c r="Q434" i="1" s="1"/>
  <c r="O435" i="1"/>
  <c r="Q435" i="1" s="1"/>
  <c r="O436" i="1"/>
  <c r="Q436" i="1" s="1"/>
  <c r="O437" i="1"/>
  <c r="Q437" i="1" s="1"/>
  <c r="O438" i="1"/>
  <c r="Q438" i="1" s="1"/>
  <c r="O439" i="1"/>
  <c r="Q439" i="1" s="1"/>
  <c r="O440" i="1"/>
  <c r="Q440" i="1" s="1"/>
  <c r="O441" i="1"/>
  <c r="Q441" i="1" s="1"/>
  <c r="O442" i="1"/>
  <c r="Q442" i="1" s="1"/>
  <c r="O443" i="1"/>
  <c r="Q443" i="1" s="1"/>
  <c r="O444" i="1"/>
  <c r="Q444" i="1" s="1"/>
  <c r="O445" i="1"/>
  <c r="Q445" i="1" s="1"/>
  <c r="O446" i="1"/>
  <c r="Q446" i="1" s="1"/>
  <c r="O447" i="1"/>
  <c r="Q447" i="1" s="1"/>
  <c r="O448" i="1"/>
  <c r="Q448" i="1" s="1"/>
  <c r="O449" i="1"/>
  <c r="Q449" i="1" s="1"/>
  <c r="O450" i="1"/>
  <c r="Q450" i="1" s="1"/>
  <c r="O451" i="1"/>
  <c r="Q451" i="1" s="1"/>
  <c r="O452" i="1"/>
  <c r="Q452" i="1" s="1"/>
  <c r="O453" i="1"/>
  <c r="Q453" i="1" s="1"/>
  <c r="O454" i="1"/>
  <c r="Q454" i="1" s="1"/>
  <c r="O455" i="1"/>
  <c r="Q455" i="1" s="1"/>
  <c r="O456" i="1"/>
  <c r="Q456" i="1" s="1"/>
  <c r="O457" i="1"/>
  <c r="Q457" i="1" s="1"/>
  <c r="O458" i="1"/>
  <c r="Q458" i="1" s="1"/>
  <c r="O459" i="1"/>
  <c r="Q459" i="1" s="1"/>
  <c r="O460" i="1"/>
  <c r="Q460" i="1" s="1"/>
  <c r="O461" i="1"/>
  <c r="Q461" i="1" s="1"/>
  <c r="O462" i="1"/>
  <c r="Q462" i="1" s="1"/>
  <c r="O463" i="1"/>
  <c r="Q463" i="1" s="1"/>
  <c r="O464" i="1"/>
  <c r="Q464" i="1" s="1"/>
  <c r="O465" i="1"/>
  <c r="Q465" i="1" s="1"/>
  <c r="O466" i="1"/>
  <c r="Q466" i="1" s="1"/>
  <c r="O467" i="1"/>
  <c r="Q467" i="1" s="1"/>
  <c r="O468" i="1"/>
  <c r="Q468" i="1" s="1"/>
  <c r="O469" i="1"/>
  <c r="Q469" i="1" s="1"/>
  <c r="O470" i="1"/>
  <c r="Q470" i="1" s="1"/>
  <c r="O471" i="1"/>
  <c r="Q471" i="1" s="1"/>
  <c r="O472" i="1"/>
  <c r="Q472" i="1" s="1"/>
  <c r="O473" i="1"/>
  <c r="Q473" i="1" s="1"/>
  <c r="O474" i="1"/>
  <c r="Q474" i="1" s="1"/>
  <c r="O475" i="1"/>
  <c r="Q475" i="1" s="1"/>
  <c r="O476" i="1"/>
  <c r="Q476" i="1" s="1"/>
  <c r="O477" i="1"/>
  <c r="Q477" i="1" s="1"/>
  <c r="O478" i="1"/>
  <c r="Q478" i="1" s="1"/>
  <c r="O479" i="1"/>
  <c r="Q479" i="1" s="1"/>
  <c r="O480" i="1"/>
  <c r="Q480" i="1" s="1"/>
  <c r="O481" i="1"/>
  <c r="Q481" i="1" s="1"/>
  <c r="O482" i="1"/>
  <c r="Q482" i="1" s="1"/>
  <c r="O483" i="1"/>
  <c r="Q483" i="1" s="1"/>
  <c r="O484" i="1"/>
  <c r="Q484" i="1" s="1"/>
  <c r="O485" i="1"/>
  <c r="Q485" i="1" s="1"/>
  <c r="O486" i="1"/>
  <c r="Q486" i="1" s="1"/>
  <c r="O487" i="1"/>
  <c r="Q487" i="1" s="1"/>
  <c r="O488" i="1"/>
  <c r="Q488" i="1" s="1"/>
  <c r="O489" i="1"/>
  <c r="Q489" i="1" s="1"/>
  <c r="O490" i="1"/>
  <c r="Q490" i="1" s="1"/>
  <c r="O491" i="1"/>
  <c r="Q491" i="1" s="1"/>
  <c r="O492" i="1"/>
  <c r="Q492" i="1" s="1"/>
  <c r="O493" i="1"/>
  <c r="Q493" i="1" s="1"/>
  <c r="O494" i="1"/>
  <c r="Q494" i="1" s="1"/>
  <c r="O495" i="1"/>
  <c r="Q495" i="1" s="1"/>
  <c r="O496" i="1"/>
  <c r="Q496" i="1" s="1"/>
  <c r="O497" i="1"/>
  <c r="Q497" i="1" s="1"/>
  <c r="O498" i="1"/>
  <c r="Q498" i="1" s="1"/>
  <c r="O499" i="1"/>
  <c r="Q499" i="1" s="1"/>
  <c r="O500" i="1"/>
  <c r="Q500" i="1" s="1"/>
  <c r="O501" i="1"/>
  <c r="Q501" i="1" s="1"/>
  <c r="O502" i="1"/>
  <c r="Q502" i="1" s="1"/>
  <c r="O503" i="1"/>
  <c r="Q503" i="1" s="1"/>
  <c r="O504" i="1"/>
  <c r="Q504" i="1" s="1"/>
  <c r="O505" i="1"/>
  <c r="Q505" i="1" s="1"/>
  <c r="O506" i="1"/>
  <c r="Q506" i="1" s="1"/>
  <c r="O507" i="1"/>
  <c r="Q507" i="1" s="1"/>
  <c r="O508" i="1"/>
  <c r="Q508" i="1" s="1"/>
  <c r="O509" i="1"/>
  <c r="Q509" i="1" s="1"/>
  <c r="O510" i="1"/>
  <c r="Q510" i="1" s="1"/>
  <c r="O511" i="1"/>
  <c r="Q511" i="1" s="1"/>
  <c r="O512" i="1"/>
  <c r="Q512" i="1" s="1"/>
  <c r="O513" i="1"/>
  <c r="Q513" i="1" s="1"/>
  <c r="O514" i="1"/>
  <c r="Q514" i="1" s="1"/>
  <c r="O515" i="1"/>
  <c r="Q515" i="1" s="1"/>
  <c r="O516" i="1"/>
  <c r="Q516" i="1" s="1"/>
  <c r="O517" i="1"/>
  <c r="Q517" i="1" s="1"/>
  <c r="O518" i="1"/>
  <c r="Q518" i="1" s="1"/>
  <c r="O519" i="1"/>
  <c r="Q519" i="1" s="1"/>
  <c r="O520" i="1"/>
  <c r="Q520" i="1" s="1"/>
  <c r="O521" i="1"/>
  <c r="Q521" i="1" s="1"/>
  <c r="O522" i="1"/>
  <c r="Q522" i="1" s="1"/>
  <c r="O523" i="1"/>
  <c r="Q523" i="1" s="1"/>
  <c r="O524" i="1"/>
  <c r="Q524" i="1" s="1"/>
  <c r="O525" i="1"/>
  <c r="Q525" i="1" s="1"/>
  <c r="O526" i="1"/>
  <c r="Q526" i="1" s="1"/>
  <c r="O527" i="1"/>
  <c r="Q527" i="1" s="1"/>
  <c r="O528" i="1"/>
  <c r="Q528" i="1" s="1"/>
  <c r="O529" i="1"/>
  <c r="Q529" i="1" s="1"/>
  <c r="O530" i="1"/>
  <c r="Q530" i="1" s="1"/>
  <c r="O531" i="1"/>
  <c r="Q531" i="1" s="1"/>
  <c r="O532" i="1"/>
  <c r="Q532" i="1" s="1"/>
  <c r="O533" i="1"/>
  <c r="Q533" i="1" s="1"/>
  <c r="O534" i="1"/>
  <c r="Q534" i="1" s="1"/>
  <c r="O535" i="1"/>
  <c r="Q535" i="1" s="1"/>
  <c r="O536" i="1"/>
  <c r="Q536" i="1" s="1"/>
  <c r="O537" i="1"/>
  <c r="Q537" i="1" s="1"/>
  <c r="O538" i="1"/>
  <c r="Q538" i="1" s="1"/>
  <c r="O539" i="1"/>
  <c r="Q539" i="1" s="1"/>
  <c r="O540" i="1"/>
  <c r="Q540" i="1" s="1"/>
  <c r="O541" i="1"/>
  <c r="Q541" i="1" s="1"/>
  <c r="O542" i="1"/>
  <c r="Q542" i="1" s="1"/>
  <c r="O543" i="1"/>
  <c r="Q543" i="1" s="1"/>
  <c r="O544" i="1"/>
  <c r="Q544" i="1" s="1"/>
  <c r="O545" i="1"/>
  <c r="Q545" i="1" s="1"/>
  <c r="O546" i="1"/>
  <c r="Q546" i="1" s="1"/>
  <c r="O547" i="1"/>
  <c r="Q547" i="1" s="1"/>
  <c r="O548" i="1"/>
  <c r="Q548" i="1" s="1"/>
  <c r="O549" i="1"/>
  <c r="Q549" i="1" s="1"/>
  <c r="O550" i="1"/>
  <c r="Q550" i="1" s="1"/>
  <c r="O551" i="1"/>
  <c r="Q551" i="1" s="1"/>
  <c r="O552" i="1"/>
  <c r="Q552" i="1" s="1"/>
  <c r="O553" i="1"/>
  <c r="Q553" i="1" s="1"/>
  <c r="O554" i="1"/>
  <c r="Q554" i="1" s="1"/>
  <c r="O555" i="1"/>
  <c r="Q555" i="1" s="1"/>
  <c r="O556" i="1"/>
  <c r="Q556" i="1" s="1"/>
  <c r="O557" i="1"/>
  <c r="Q557" i="1" s="1"/>
  <c r="O558" i="1"/>
  <c r="Q558" i="1" s="1"/>
  <c r="O559" i="1"/>
  <c r="Q559" i="1" s="1"/>
  <c r="O560" i="1"/>
  <c r="Q560" i="1" s="1"/>
  <c r="O561" i="1"/>
  <c r="Q561" i="1" s="1"/>
  <c r="O562" i="1"/>
  <c r="Q562" i="1" s="1"/>
  <c r="O563" i="1"/>
  <c r="Q563" i="1" s="1"/>
  <c r="O564" i="1"/>
  <c r="Q564" i="1" s="1"/>
  <c r="O565" i="1"/>
  <c r="Q565" i="1" s="1"/>
  <c r="O566" i="1"/>
  <c r="Q566" i="1" s="1"/>
  <c r="O567" i="1"/>
  <c r="Q567" i="1" s="1"/>
  <c r="O568" i="1"/>
  <c r="Q568" i="1" s="1"/>
  <c r="O569" i="1"/>
  <c r="Q569" i="1" s="1"/>
  <c r="O570" i="1"/>
  <c r="Q570" i="1" s="1"/>
  <c r="O571" i="1"/>
  <c r="Q571" i="1" s="1"/>
  <c r="O572" i="1"/>
  <c r="Q572" i="1" s="1"/>
  <c r="O573" i="1"/>
  <c r="Q573" i="1" s="1"/>
  <c r="O574" i="1"/>
  <c r="Q574" i="1" s="1"/>
  <c r="O575" i="1"/>
  <c r="Q575" i="1" s="1"/>
  <c r="O576" i="1"/>
  <c r="Q576" i="1" s="1"/>
  <c r="O577" i="1"/>
  <c r="Q577" i="1" s="1"/>
  <c r="O578" i="1"/>
  <c r="Q578" i="1" s="1"/>
  <c r="O579" i="1"/>
  <c r="Q579" i="1" s="1"/>
  <c r="O580" i="1"/>
  <c r="Q580" i="1" s="1"/>
  <c r="O581" i="1"/>
  <c r="Q581" i="1" s="1"/>
  <c r="O582" i="1"/>
  <c r="Q582" i="1" s="1"/>
  <c r="O583" i="1"/>
  <c r="Q583" i="1" s="1"/>
  <c r="O584" i="1"/>
  <c r="Q584" i="1" s="1"/>
  <c r="O585" i="1"/>
  <c r="Q585" i="1" s="1"/>
  <c r="O586" i="1"/>
  <c r="Q586" i="1" s="1"/>
  <c r="O587" i="1"/>
  <c r="Q587" i="1" s="1"/>
  <c r="O588" i="1"/>
  <c r="Q588" i="1" s="1"/>
  <c r="O589" i="1"/>
  <c r="Q589" i="1" s="1"/>
  <c r="O590" i="1"/>
  <c r="Q590" i="1" s="1"/>
  <c r="O591" i="1"/>
  <c r="Q591" i="1" s="1"/>
  <c r="O592" i="1"/>
  <c r="Q592" i="1" s="1"/>
  <c r="O593" i="1"/>
  <c r="Q593" i="1" s="1"/>
  <c r="O594" i="1"/>
  <c r="Q594" i="1" s="1"/>
  <c r="O595" i="1"/>
  <c r="Q595" i="1" s="1"/>
  <c r="O596" i="1"/>
  <c r="Q596" i="1" s="1"/>
  <c r="O597" i="1"/>
  <c r="Q597" i="1" s="1"/>
  <c r="O598" i="1"/>
  <c r="Q598" i="1" s="1"/>
  <c r="O599" i="1"/>
  <c r="Q599" i="1" s="1"/>
  <c r="O600" i="1"/>
  <c r="Q600" i="1" s="1"/>
  <c r="O601" i="1"/>
  <c r="Q601" i="1" s="1"/>
  <c r="O602" i="1"/>
  <c r="Q602" i="1" s="1"/>
  <c r="O603" i="1"/>
  <c r="Q603" i="1" s="1"/>
  <c r="O604" i="1"/>
  <c r="Q604" i="1" s="1"/>
  <c r="O605" i="1"/>
  <c r="Q605" i="1" s="1"/>
  <c r="O606" i="1"/>
  <c r="Q606" i="1" s="1"/>
  <c r="O607" i="1"/>
  <c r="Q607" i="1" s="1"/>
  <c r="O608" i="1"/>
  <c r="Q608" i="1" s="1"/>
  <c r="O609" i="1"/>
  <c r="Q609" i="1" s="1"/>
  <c r="O610" i="1"/>
  <c r="Q610" i="1" s="1"/>
  <c r="O611" i="1"/>
  <c r="Q611" i="1" s="1"/>
  <c r="O612" i="1"/>
  <c r="Q612" i="1" s="1"/>
  <c r="O613" i="1"/>
  <c r="Q613" i="1" s="1"/>
  <c r="O614" i="1"/>
  <c r="Q614" i="1" s="1"/>
  <c r="O615" i="1"/>
  <c r="Q615" i="1" s="1"/>
  <c r="O616" i="1"/>
  <c r="Q616" i="1" s="1"/>
  <c r="O617" i="1"/>
  <c r="Q617" i="1" s="1"/>
  <c r="O618" i="1"/>
  <c r="Q618" i="1" s="1"/>
  <c r="O619" i="1"/>
  <c r="Q619" i="1" s="1"/>
  <c r="O620" i="1"/>
  <c r="Q620" i="1" s="1"/>
  <c r="O621" i="1"/>
  <c r="Q621" i="1" s="1"/>
  <c r="O622" i="1"/>
  <c r="Q622" i="1" s="1"/>
  <c r="O623" i="1"/>
  <c r="Q623" i="1" s="1"/>
  <c r="O624" i="1"/>
  <c r="Q624" i="1" s="1"/>
  <c r="O625" i="1"/>
  <c r="Q625" i="1" s="1"/>
  <c r="O626" i="1"/>
  <c r="Q626" i="1" s="1"/>
  <c r="O627" i="1"/>
  <c r="Q627" i="1" s="1"/>
  <c r="O628" i="1"/>
  <c r="Q628" i="1" s="1"/>
  <c r="O629" i="1"/>
  <c r="Q629" i="1" s="1"/>
  <c r="O630" i="1"/>
  <c r="Q630" i="1" s="1"/>
  <c r="O631" i="1"/>
  <c r="Q631" i="1" s="1"/>
  <c r="O632" i="1"/>
  <c r="Q632" i="1" s="1"/>
  <c r="O633" i="1"/>
  <c r="Q633" i="1" s="1"/>
  <c r="O634" i="1"/>
  <c r="Q634" i="1" s="1"/>
  <c r="O635" i="1"/>
  <c r="Q635" i="1" s="1"/>
  <c r="O636" i="1"/>
  <c r="Q636" i="1" s="1"/>
  <c r="O637" i="1"/>
  <c r="Q637" i="1" s="1"/>
  <c r="O638" i="1"/>
  <c r="Q638" i="1" s="1"/>
  <c r="O639" i="1"/>
  <c r="Q639" i="1" s="1"/>
  <c r="O640" i="1"/>
  <c r="Q640" i="1" s="1"/>
  <c r="O641" i="1"/>
  <c r="Q641" i="1" s="1"/>
  <c r="O642" i="1"/>
  <c r="Q642" i="1" s="1"/>
  <c r="O643" i="1"/>
  <c r="Q643" i="1" s="1"/>
  <c r="O644" i="1"/>
  <c r="Q644" i="1" s="1"/>
  <c r="O645" i="1"/>
  <c r="Q645" i="1" s="1"/>
  <c r="O646" i="1"/>
  <c r="Q646" i="1" s="1"/>
  <c r="O647" i="1"/>
  <c r="Q647" i="1" s="1"/>
  <c r="O648" i="1"/>
  <c r="Q648" i="1" s="1"/>
  <c r="O649" i="1"/>
  <c r="Q649" i="1" s="1"/>
  <c r="O650" i="1"/>
  <c r="Q650" i="1" s="1"/>
  <c r="O651" i="1"/>
  <c r="Q651" i="1" s="1"/>
  <c r="O652" i="1"/>
  <c r="Q652" i="1" s="1"/>
  <c r="O653" i="1"/>
  <c r="Q653" i="1" s="1"/>
  <c r="O654" i="1"/>
  <c r="Q654" i="1" s="1"/>
  <c r="O655" i="1"/>
  <c r="Q655" i="1" s="1"/>
  <c r="O656" i="1"/>
  <c r="Q656" i="1" s="1"/>
  <c r="O657" i="1"/>
  <c r="Q657" i="1" s="1"/>
  <c r="O658" i="1"/>
  <c r="Q658" i="1" s="1"/>
  <c r="O659" i="1"/>
  <c r="Q659" i="1" s="1"/>
  <c r="O660" i="1"/>
  <c r="Q660" i="1" s="1"/>
  <c r="O661" i="1"/>
  <c r="Q661" i="1" s="1"/>
  <c r="O662" i="1"/>
  <c r="Q662" i="1" s="1"/>
  <c r="O663" i="1"/>
  <c r="Q663" i="1" s="1"/>
  <c r="O664" i="1"/>
  <c r="Q664" i="1" s="1"/>
  <c r="O665" i="1"/>
  <c r="Q665" i="1" s="1"/>
  <c r="O666" i="1"/>
  <c r="Q666" i="1" s="1"/>
  <c r="O667" i="1"/>
  <c r="Q667" i="1" s="1"/>
  <c r="O668" i="1"/>
  <c r="Q668" i="1" s="1"/>
  <c r="O669" i="1"/>
  <c r="Q669" i="1" s="1"/>
  <c r="O670" i="1"/>
  <c r="Q670" i="1" s="1"/>
  <c r="O671" i="1"/>
  <c r="Q671" i="1" s="1"/>
  <c r="O672" i="1"/>
  <c r="Q672" i="1" s="1"/>
  <c r="O673" i="1"/>
  <c r="Q673" i="1" s="1"/>
  <c r="O674" i="1"/>
  <c r="Q674" i="1" s="1"/>
  <c r="O675" i="1"/>
  <c r="Q675" i="1" s="1"/>
  <c r="O676" i="1"/>
  <c r="Q676" i="1" s="1"/>
  <c r="O677" i="1"/>
  <c r="Q677" i="1" s="1"/>
  <c r="O678" i="1"/>
  <c r="Q678" i="1" s="1"/>
  <c r="O679" i="1"/>
  <c r="Q679" i="1" s="1"/>
  <c r="O680" i="1"/>
  <c r="Q680" i="1" s="1"/>
  <c r="O681" i="1"/>
  <c r="Q681" i="1" s="1"/>
  <c r="O682" i="1"/>
  <c r="Q682" i="1" s="1"/>
  <c r="O683" i="1"/>
  <c r="Q683" i="1" s="1"/>
  <c r="O684" i="1"/>
  <c r="Q684" i="1" s="1"/>
  <c r="O685" i="1"/>
  <c r="Q685" i="1" s="1"/>
  <c r="O686" i="1"/>
  <c r="Q686" i="1" s="1"/>
  <c r="O687" i="1"/>
  <c r="Q687" i="1" s="1"/>
  <c r="O688" i="1"/>
  <c r="Q688" i="1" s="1"/>
  <c r="O689" i="1"/>
  <c r="Q689" i="1" s="1"/>
  <c r="O690" i="1"/>
  <c r="Q690" i="1" s="1"/>
  <c r="O691" i="1"/>
  <c r="Q691" i="1" s="1"/>
  <c r="O692" i="1"/>
  <c r="Q692" i="1" s="1"/>
  <c r="O693" i="1"/>
  <c r="Q693" i="1" s="1"/>
  <c r="O694" i="1"/>
  <c r="Q694" i="1" s="1"/>
  <c r="O695" i="1"/>
  <c r="Q695" i="1" s="1"/>
  <c r="O696" i="1"/>
  <c r="Q696" i="1" s="1"/>
  <c r="O697" i="1"/>
  <c r="Q697" i="1" s="1"/>
  <c r="O698" i="1"/>
  <c r="Q698" i="1" s="1"/>
  <c r="O699" i="1"/>
  <c r="Q699" i="1" s="1"/>
  <c r="O700" i="1"/>
  <c r="Q700" i="1" s="1"/>
  <c r="O701" i="1"/>
  <c r="Q701" i="1" s="1"/>
  <c r="O702" i="1"/>
  <c r="Q702" i="1" s="1"/>
  <c r="O703" i="1"/>
  <c r="Q703" i="1" s="1"/>
  <c r="O704" i="1"/>
  <c r="Q704" i="1" s="1"/>
  <c r="O705" i="1"/>
  <c r="Q705" i="1" s="1"/>
  <c r="O706" i="1"/>
  <c r="Q706" i="1" s="1"/>
  <c r="O707" i="1"/>
  <c r="Q707" i="1" s="1"/>
  <c r="O708" i="1"/>
  <c r="Q708" i="1" s="1"/>
  <c r="O709" i="1"/>
  <c r="Q709" i="1" s="1"/>
  <c r="O710" i="1"/>
  <c r="Q710" i="1" s="1"/>
  <c r="O711" i="1"/>
  <c r="Q711" i="1" s="1"/>
  <c r="O712" i="1"/>
  <c r="Q712" i="1" s="1"/>
  <c r="O713" i="1"/>
  <c r="Q713" i="1" s="1"/>
  <c r="O714" i="1"/>
  <c r="Q714" i="1" s="1"/>
  <c r="O715" i="1"/>
  <c r="Q715" i="1" s="1"/>
  <c r="O716" i="1"/>
  <c r="Q716" i="1" s="1"/>
  <c r="O717" i="1"/>
  <c r="Q717" i="1" s="1"/>
  <c r="O718" i="1"/>
  <c r="Q718" i="1" s="1"/>
  <c r="O719" i="1"/>
  <c r="Q719" i="1" s="1"/>
  <c r="O720" i="1"/>
  <c r="Q720" i="1" s="1"/>
  <c r="O721" i="1"/>
  <c r="Q721" i="1" s="1"/>
  <c r="O722" i="1"/>
  <c r="Q722" i="1" s="1"/>
  <c r="O723" i="1"/>
  <c r="Q723" i="1" s="1"/>
  <c r="O724" i="1"/>
  <c r="Q724" i="1" s="1"/>
  <c r="O725" i="1"/>
  <c r="Q725" i="1" s="1"/>
  <c r="O726" i="1"/>
  <c r="Q726" i="1" s="1"/>
  <c r="O727" i="1"/>
  <c r="Q727" i="1" s="1"/>
  <c r="O728" i="1"/>
  <c r="Q728" i="1" s="1"/>
  <c r="O729" i="1"/>
  <c r="Q729" i="1" s="1"/>
  <c r="O730" i="1"/>
  <c r="Q730" i="1" s="1"/>
  <c r="O731" i="1"/>
  <c r="Q731" i="1" s="1"/>
  <c r="O732" i="1"/>
  <c r="Q732" i="1" s="1"/>
  <c r="O733" i="1"/>
  <c r="Q733" i="1" s="1"/>
  <c r="O734" i="1"/>
  <c r="Q734" i="1" s="1"/>
  <c r="O735" i="1"/>
  <c r="Q735" i="1" s="1"/>
  <c r="O736" i="1"/>
  <c r="Q736" i="1" s="1"/>
  <c r="O737" i="1"/>
  <c r="Q737" i="1" s="1"/>
  <c r="O738" i="1"/>
  <c r="Q738" i="1" s="1"/>
  <c r="O739" i="1"/>
  <c r="Q739" i="1" s="1"/>
  <c r="O740" i="1"/>
  <c r="Q740" i="1" s="1"/>
  <c r="O741" i="1"/>
  <c r="Q741" i="1" s="1"/>
  <c r="O742" i="1"/>
  <c r="Q742" i="1" s="1"/>
  <c r="O743" i="1"/>
  <c r="Q743" i="1" s="1"/>
  <c r="O744" i="1"/>
  <c r="Q744" i="1" s="1"/>
  <c r="O745" i="1"/>
  <c r="Q745" i="1" s="1"/>
  <c r="O746" i="1"/>
  <c r="Q746" i="1" s="1"/>
  <c r="O747" i="1"/>
  <c r="Q747" i="1" s="1"/>
  <c r="O748" i="1"/>
  <c r="Q748" i="1" s="1"/>
  <c r="O749" i="1"/>
  <c r="Q749" i="1" s="1"/>
  <c r="O750" i="1"/>
  <c r="Q750" i="1" s="1"/>
  <c r="O751" i="1"/>
  <c r="Q751" i="1" s="1"/>
  <c r="O752" i="1"/>
  <c r="Q752" i="1" s="1"/>
  <c r="O753" i="1"/>
  <c r="Q753" i="1" s="1"/>
  <c r="O754" i="1"/>
  <c r="Q754" i="1" s="1"/>
  <c r="O755" i="1"/>
  <c r="Q755" i="1" s="1"/>
  <c r="O756" i="1"/>
  <c r="Q756" i="1" s="1"/>
  <c r="O757" i="1"/>
  <c r="Q757" i="1" s="1"/>
  <c r="O758" i="1"/>
  <c r="Q758" i="1" s="1"/>
  <c r="O759" i="1"/>
  <c r="Q759" i="1" s="1"/>
  <c r="O760" i="1"/>
  <c r="Q760" i="1" s="1"/>
  <c r="O761" i="1"/>
  <c r="Q761" i="1" s="1"/>
  <c r="O762" i="1"/>
  <c r="Q762" i="1" s="1"/>
  <c r="O763" i="1"/>
  <c r="Q763" i="1" s="1"/>
  <c r="O764" i="1"/>
  <c r="Q764" i="1" s="1"/>
  <c r="O765" i="1"/>
  <c r="Q765" i="1" s="1"/>
  <c r="O766" i="1"/>
  <c r="Q766" i="1" s="1"/>
  <c r="O767" i="1"/>
  <c r="Q767" i="1" s="1"/>
  <c r="O768" i="1"/>
  <c r="Q768" i="1" s="1"/>
  <c r="O769" i="1"/>
  <c r="Q769" i="1" s="1"/>
  <c r="O770" i="1"/>
  <c r="Q770" i="1" s="1"/>
  <c r="O771" i="1"/>
  <c r="Q771" i="1" s="1"/>
  <c r="O772" i="1"/>
  <c r="Q772" i="1" s="1"/>
  <c r="O773" i="1"/>
  <c r="Q773" i="1" s="1"/>
  <c r="O774" i="1"/>
  <c r="Q774" i="1" s="1"/>
  <c r="O775" i="1"/>
  <c r="Q775" i="1" s="1"/>
  <c r="O776" i="1"/>
  <c r="Q776" i="1" s="1"/>
  <c r="O777" i="1"/>
  <c r="Q777" i="1" s="1"/>
  <c r="O778" i="1"/>
  <c r="Q778" i="1" s="1"/>
  <c r="O779" i="1"/>
  <c r="Q779" i="1" s="1"/>
  <c r="O780" i="1"/>
  <c r="Q780" i="1" s="1"/>
  <c r="O781" i="1"/>
  <c r="Q781" i="1" s="1"/>
  <c r="O782" i="1"/>
  <c r="Q782" i="1" s="1"/>
  <c r="O783" i="1"/>
  <c r="Q783" i="1" s="1"/>
  <c r="O784" i="1"/>
  <c r="Q784" i="1" s="1"/>
  <c r="O785" i="1"/>
  <c r="Q785" i="1" s="1"/>
  <c r="O786" i="1"/>
  <c r="Q786" i="1" s="1"/>
  <c r="O787" i="1"/>
  <c r="Q787" i="1" s="1"/>
  <c r="O788" i="1"/>
  <c r="Q788" i="1" s="1"/>
  <c r="O789" i="1"/>
  <c r="Q789" i="1" s="1"/>
  <c r="O790" i="1"/>
  <c r="Q790" i="1" s="1"/>
  <c r="O791" i="1"/>
  <c r="Q791" i="1" s="1"/>
  <c r="O792" i="1"/>
  <c r="Q792" i="1" s="1"/>
  <c r="O793" i="1"/>
  <c r="Q793" i="1" s="1"/>
  <c r="O794" i="1"/>
  <c r="Q794" i="1" s="1"/>
  <c r="O795" i="1"/>
  <c r="Q795" i="1" s="1"/>
  <c r="O796" i="1"/>
  <c r="Q796" i="1" s="1"/>
  <c r="O797" i="1"/>
  <c r="Q797" i="1" s="1"/>
  <c r="O798" i="1"/>
  <c r="Q798" i="1" s="1"/>
  <c r="O799" i="1"/>
  <c r="Q799" i="1" s="1"/>
  <c r="O800" i="1"/>
  <c r="Q800" i="1" s="1"/>
  <c r="O801" i="1"/>
  <c r="Q801" i="1" s="1"/>
  <c r="O802" i="1"/>
  <c r="Q802" i="1" s="1"/>
  <c r="O803" i="1"/>
  <c r="Q803" i="1" s="1"/>
  <c r="O804" i="1"/>
  <c r="Q804" i="1" s="1"/>
  <c r="O805" i="1"/>
  <c r="Q805" i="1" s="1"/>
  <c r="O806" i="1"/>
  <c r="Q806" i="1" s="1"/>
  <c r="O807" i="1"/>
  <c r="Q807" i="1" s="1"/>
  <c r="O808" i="1"/>
  <c r="Q808" i="1" s="1"/>
  <c r="O809" i="1"/>
  <c r="Q809" i="1" s="1"/>
  <c r="O810" i="1"/>
  <c r="Q810" i="1" s="1"/>
  <c r="O811" i="1"/>
  <c r="Q811" i="1" s="1"/>
  <c r="O812" i="1"/>
  <c r="Q812" i="1" s="1"/>
  <c r="O813" i="1"/>
  <c r="Q813" i="1" s="1"/>
  <c r="O814" i="1"/>
  <c r="Q814" i="1" s="1"/>
  <c r="O815" i="1"/>
  <c r="Q815" i="1" s="1"/>
  <c r="O816" i="1"/>
  <c r="Q816" i="1" s="1"/>
  <c r="O817" i="1"/>
  <c r="Q817" i="1" s="1"/>
  <c r="O818" i="1"/>
  <c r="Q818" i="1" s="1"/>
  <c r="O819" i="1"/>
  <c r="Q819" i="1" s="1"/>
  <c r="O820" i="1"/>
  <c r="Q820" i="1" s="1"/>
  <c r="O821" i="1"/>
  <c r="Q821" i="1" s="1"/>
  <c r="O822" i="1"/>
  <c r="Q822" i="1" s="1"/>
  <c r="O823" i="1"/>
  <c r="Q823" i="1" s="1"/>
  <c r="O824" i="1"/>
  <c r="Q824" i="1" s="1"/>
  <c r="O825" i="1"/>
  <c r="Q825" i="1" s="1"/>
  <c r="O826" i="1"/>
  <c r="Q826" i="1" s="1"/>
  <c r="O827" i="1"/>
  <c r="Q827" i="1" s="1"/>
  <c r="O828" i="1"/>
  <c r="Q828" i="1" s="1"/>
  <c r="O829" i="1"/>
  <c r="Q829" i="1" s="1"/>
  <c r="O830" i="1"/>
  <c r="Q830" i="1" s="1"/>
  <c r="O831" i="1"/>
  <c r="Q831" i="1" s="1"/>
  <c r="O832" i="1"/>
  <c r="Q832" i="1" s="1"/>
  <c r="O833" i="1"/>
  <c r="Q833" i="1" s="1"/>
  <c r="O834" i="1"/>
  <c r="Q834" i="1" s="1"/>
  <c r="O835" i="1"/>
  <c r="Q835" i="1" s="1"/>
  <c r="O836" i="1"/>
  <c r="Q836" i="1" s="1"/>
  <c r="O837" i="1"/>
  <c r="Q837" i="1" s="1"/>
  <c r="O838" i="1"/>
  <c r="Q838" i="1" s="1"/>
  <c r="O839" i="1"/>
  <c r="Q839" i="1" s="1"/>
  <c r="O840" i="1"/>
  <c r="Q840" i="1" s="1"/>
  <c r="O841" i="1"/>
  <c r="Q841" i="1" s="1"/>
  <c r="O842" i="1"/>
  <c r="Q842" i="1" s="1"/>
  <c r="O843" i="1"/>
  <c r="Q843" i="1" s="1"/>
  <c r="O844" i="1"/>
  <c r="Q844" i="1" s="1"/>
  <c r="O845" i="1"/>
  <c r="Q845" i="1" s="1"/>
  <c r="O846" i="1"/>
  <c r="Q846" i="1" s="1"/>
  <c r="O847" i="1"/>
  <c r="Q847" i="1" s="1"/>
  <c r="O848" i="1"/>
  <c r="Q848" i="1" s="1"/>
  <c r="O849" i="1"/>
  <c r="Q849" i="1" s="1"/>
  <c r="O850" i="1"/>
  <c r="Q850" i="1" s="1"/>
  <c r="O851" i="1"/>
  <c r="Q851" i="1" s="1"/>
  <c r="O852" i="1"/>
  <c r="Q852" i="1" s="1"/>
  <c r="O853" i="1"/>
  <c r="Q853" i="1" s="1"/>
  <c r="O854" i="1"/>
  <c r="Q854" i="1" s="1"/>
  <c r="O855" i="1"/>
  <c r="Q855" i="1" s="1"/>
  <c r="O856" i="1"/>
  <c r="Q856" i="1" s="1"/>
  <c r="O857" i="1"/>
  <c r="Q857" i="1" s="1"/>
  <c r="O858" i="1"/>
  <c r="Q858" i="1" s="1"/>
  <c r="O859" i="1"/>
  <c r="Q859" i="1" s="1"/>
  <c r="O860" i="1"/>
  <c r="Q860" i="1" s="1"/>
  <c r="O861" i="1"/>
  <c r="Q861" i="1" s="1"/>
  <c r="O862" i="1"/>
  <c r="Q862" i="1" s="1"/>
  <c r="O863" i="1"/>
  <c r="Q863" i="1" s="1"/>
  <c r="O864" i="1"/>
  <c r="Q864" i="1" s="1"/>
  <c r="O865" i="1"/>
  <c r="Q865" i="1" s="1"/>
  <c r="O866" i="1"/>
  <c r="Q866" i="1" s="1"/>
  <c r="O867" i="1"/>
  <c r="Q867" i="1" s="1"/>
  <c r="O868" i="1"/>
  <c r="Q868" i="1" s="1"/>
  <c r="O869" i="1"/>
  <c r="Q869" i="1" s="1"/>
  <c r="O870" i="1"/>
  <c r="Q870" i="1" s="1"/>
  <c r="O871" i="1"/>
  <c r="Q871" i="1" s="1"/>
  <c r="O872" i="1"/>
  <c r="Q872" i="1" s="1"/>
  <c r="O873" i="1"/>
  <c r="Q873" i="1" s="1"/>
  <c r="O874" i="1"/>
  <c r="Q874" i="1" s="1"/>
  <c r="O875" i="1"/>
  <c r="Q875" i="1" s="1"/>
  <c r="O876" i="1"/>
  <c r="Q876" i="1" s="1"/>
  <c r="O877" i="1"/>
  <c r="Q877" i="1" s="1"/>
  <c r="O878" i="1"/>
  <c r="Q878" i="1" s="1"/>
  <c r="O879" i="1"/>
  <c r="Q879" i="1" s="1"/>
  <c r="O880" i="1"/>
  <c r="Q880" i="1" s="1"/>
  <c r="O881" i="1"/>
  <c r="Q881" i="1" s="1"/>
  <c r="O882" i="1"/>
  <c r="Q882" i="1" s="1"/>
  <c r="O883" i="1"/>
  <c r="Q883" i="1" s="1"/>
  <c r="O884" i="1"/>
  <c r="Q884" i="1" s="1"/>
  <c r="O885" i="1"/>
  <c r="Q885" i="1" s="1"/>
  <c r="O886" i="1"/>
  <c r="Q886" i="1" s="1"/>
  <c r="O887" i="1"/>
  <c r="Q887" i="1" s="1"/>
  <c r="O888" i="1"/>
  <c r="Q888" i="1" s="1"/>
  <c r="O889" i="1"/>
  <c r="Q889" i="1" s="1"/>
  <c r="O890" i="1"/>
  <c r="Q890" i="1" s="1"/>
  <c r="O891" i="1"/>
  <c r="Q891" i="1" s="1"/>
  <c r="O892" i="1"/>
  <c r="Q892" i="1" s="1"/>
  <c r="O893" i="1"/>
  <c r="Q893" i="1" s="1"/>
  <c r="O894" i="1"/>
  <c r="Q894" i="1" s="1"/>
  <c r="O895" i="1"/>
  <c r="Q895" i="1" s="1"/>
  <c r="O896" i="1"/>
  <c r="Q896" i="1" s="1"/>
  <c r="O897" i="1"/>
  <c r="Q897" i="1" s="1"/>
  <c r="O898" i="1"/>
  <c r="Q898" i="1" s="1"/>
  <c r="O899" i="1"/>
  <c r="Q899" i="1" s="1"/>
  <c r="O900" i="1"/>
  <c r="Q900" i="1" s="1"/>
  <c r="O901" i="1"/>
  <c r="Q901" i="1" s="1"/>
  <c r="O902" i="1"/>
  <c r="Q902" i="1" s="1"/>
  <c r="O903" i="1"/>
  <c r="Q903" i="1" s="1"/>
  <c r="O904" i="1"/>
  <c r="Q904" i="1" s="1"/>
  <c r="O905" i="1"/>
  <c r="Q905" i="1" s="1"/>
  <c r="O906" i="1"/>
  <c r="Q906" i="1" s="1"/>
  <c r="O907" i="1"/>
  <c r="Q907" i="1" s="1"/>
  <c r="O908" i="1"/>
  <c r="Q908" i="1" s="1"/>
  <c r="O909" i="1"/>
  <c r="Q909" i="1" s="1"/>
  <c r="O910" i="1"/>
  <c r="Q910" i="1" s="1"/>
  <c r="O911" i="1"/>
  <c r="Q911" i="1" s="1"/>
  <c r="O912" i="1"/>
  <c r="Q912" i="1" s="1"/>
  <c r="O913" i="1"/>
  <c r="Q913" i="1" s="1"/>
  <c r="O914" i="1"/>
  <c r="Q914" i="1" s="1"/>
  <c r="O915" i="1"/>
  <c r="Q915" i="1" s="1"/>
  <c r="O916" i="1"/>
  <c r="Q916" i="1" s="1"/>
  <c r="O917" i="1"/>
  <c r="Q917" i="1" s="1"/>
  <c r="O918" i="1"/>
  <c r="Q918" i="1" s="1"/>
  <c r="O919" i="1"/>
  <c r="Q919" i="1" s="1"/>
  <c r="O920" i="1"/>
  <c r="Q920" i="1" s="1"/>
  <c r="O921" i="1"/>
  <c r="Q921" i="1" s="1"/>
  <c r="O922" i="1"/>
  <c r="Q922" i="1" s="1"/>
  <c r="O923" i="1"/>
  <c r="Q923" i="1" s="1"/>
  <c r="O924" i="1"/>
  <c r="Q924" i="1" s="1"/>
  <c r="O925" i="1"/>
  <c r="Q925" i="1" s="1"/>
  <c r="O926" i="1"/>
  <c r="Q926" i="1" s="1"/>
  <c r="O927" i="1"/>
  <c r="Q927" i="1" s="1"/>
  <c r="O928" i="1"/>
  <c r="Q928" i="1" s="1"/>
  <c r="O929" i="1"/>
  <c r="Q929" i="1" s="1"/>
  <c r="O930" i="1"/>
  <c r="Q930" i="1" s="1"/>
  <c r="O931" i="1"/>
  <c r="Q931" i="1" s="1"/>
  <c r="O932" i="1"/>
  <c r="Q932" i="1" s="1"/>
  <c r="O933" i="1"/>
  <c r="Q933" i="1" s="1"/>
  <c r="O934" i="1"/>
  <c r="Q934" i="1" s="1"/>
  <c r="O935" i="1"/>
  <c r="Q935" i="1" s="1"/>
  <c r="O936" i="1"/>
  <c r="Q936" i="1" s="1"/>
  <c r="O937" i="1"/>
  <c r="Q937" i="1" s="1"/>
  <c r="O938" i="1"/>
  <c r="Q938" i="1" s="1"/>
  <c r="O939" i="1"/>
  <c r="Q939" i="1" s="1"/>
  <c r="O940" i="1"/>
  <c r="Q940" i="1" s="1"/>
  <c r="O941" i="1"/>
  <c r="Q941" i="1" s="1"/>
  <c r="O942" i="1"/>
  <c r="Q942" i="1" s="1"/>
  <c r="O943" i="1"/>
  <c r="Q943" i="1" s="1"/>
  <c r="O944" i="1"/>
  <c r="Q944" i="1" s="1"/>
  <c r="O945" i="1"/>
  <c r="Q945" i="1" s="1"/>
  <c r="O946" i="1"/>
  <c r="Q946" i="1" s="1"/>
  <c r="O947" i="1"/>
  <c r="Q947" i="1" s="1"/>
  <c r="O948" i="1"/>
  <c r="Q948" i="1" s="1"/>
  <c r="O949" i="1"/>
  <c r="Q949" i="1" s="1"/>
  <c r="O950" i="1"/>
  <c r="Q950" i="1" s="1"/>
  <c r="O951" i="1"/>
  <c r="Q951" i="1" s="1"/>
  <c r="O952" i="1"/>
  <c r="Q952" i="1" s="1"/>
  <c r="O953" i="1"/>
  <c r="Q953" i="1" s="1"/>
  <c r="O954" i="1"/>
  <c r="Q954" i="1" s="1"/>
  <c r="O955" i="1"/>
  <c r="Q955" i="1" s="1"/>
  <c r="O956" i="1"/>
  <c r="Q956" i="1" s="1"/>
  <c r="O957" i="1"/>
  <c r="Q957" i="1" s="1"/>
  <c r="O958" i="1"/>
  <c r="Q958" i="1" s="1"/>
  <c r="O959" i="1"/>
  <c r="Q959" i="1" s="1"/>
  <c r="O960" i="1"/>
  <c r="Q960" i="1" s="1"/>
  <c r="O961" i="1"/>
  <c r="Q961" i="1" s="1"/>
  <c r="O962" i="1"/>
  <c r="Q962" i="1" s="1"/>
  <c r="O963" i="1"/>
  <c r="Q963" i="1" s="1"/>
  <c r="O964" i="1"/>
  <c r="Q964" i="1" s="1"/>
  <c r="O965" i="1"/>
  <c r="Q965" i="1" s="1"/>
  <c r="O966" i="1"/>
  <c r="Q966" i="1" s="1"/>
  <c r="O967" i="1"/>
  <c r="Q967" i="1" s="1"/>
  <c r="O968" i="1"/>
  <c r="Q968" i="1" s="1"/>
  <c r="O969" i="1"/>
  <c r="Q969" i="1" s="1"/>
  <c r="O970" i="1"/>
  <c r="Q970" i="1" s="1"/>
  <c r="O971" i="1"/>
  <c r="Q971" i="1" s="1"/>
  <c r="O2" i="1"/>
  <c r="Q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2" i="1"/>
</calcChain>
</file>

<file path=xl/sharedStrings.xml><?xml version="1.0" encoding="utf-8"?>
<sst xmlns="http://schemas.openxmlformats.org/spreadsheetml/2006/main" count="7836" uniqueCount="60">
  <si>
    <t>Nit</t>
  </si>
  <si>
    <t>Tipdoc</t>
  </si>
  <si>
    <t>Pagare</t>
  </si>
  <si>
    <t>Gestor_responsable</t>
  </si>
  <si>
    <t>Empresa A</t>
  </si>
  <si>
    <t>Empresa B</t>
  </si>
  <si>
    <t>Empresa C</t>
  </si>
  <si>
    <t>Tarjeta</t>
  </si>
  <si>
    <t>Hipotercario</t>
  </si>
  <si>
    <t>Consumo</t>
  </si>
  <si>
    <t>Sobregiro</t>
  </si>
  <si>
    <t>Libranza</t>
  </si>
  <si>
    <t>Rotativo</t>
  </si>
  <si>
    <t>Vehiculo</t>
  </si>
  <si>
    <t>Micro credito</t>
  </si>
  <si>
    <t>Segmento</t>
  </si>
  <si>
    <t>Preferencial</t>
  </si>
  <si>
    <t>Personal</t>
  </si>
  <si>
    <t>Micro pyme</t>
  </si>
  <si>
    <t>Endeudamiento total</t>
  </si>
  <si>
    <t>Fecha_asignacion_gestor_resp</t>
  </si>
  <si>
    <t>Dias_mora</t>
  </si>
  <si>
    <t>Valor_Vencido</t>
  </si>
  <si>
    <t>Saldo_total</t>
  </si>
  <si>
    <t>Plan de pagos</t>
  </si>
  <si>
    <t>Mensaje con tercero</t>
  </si>
  <si>
    <t>SMS</t>
  </si>
  <si>
    <t>Reestructuracion</t>
  </si>
  <si>
    <t>No localizado</t>
  </si>
  <si>
    <t>Gestion</t>
  </si>
  <si>
    <t>Rediferido</t>
  </si>
  <si>
    <t>Fecha_gestion</t>
  </si>
  <si>
    <t>Fecha_pago</t>
  </si>
  <si>
    <t>Valor_pago</t>
  </si>
  <si>
    <t>EMAIL</t>
  </si>
  <si>
    <t>Efectiva</t>
  </si>
  <si>
    <t>N</t>
  </si>
  <si>
    <t>S</t>
  </si>
  <si>
    <t>Tipo_contacto</t>
  </si>
  <si>
    <t>Indirecto</t>
  </si>
  <si>
    <t>Sin contacto</t>
  </si>
  <si>
    <t>Directo</t>
  </si>
  <si>
    <t>Dias_mora_final</t>
  </si>
  <si>
    <t>Cant_gestiones</t>
  </si>
  <si>
    <t>Gest_ef</t>
  </si>
  <si>
    <t>Cont_SMS</t>
  </si>
  <si>
    <t>Gest_No_ef</t>
  </si>
  <si>
    <t>efectiva</t>
  </si>
  <si>
    <t>Recaudo</t>
  </si>
  <si>
    <t>Indicador</t>
  </si>
  <si>
    <t>Rodamiento</t>
  </si>
  <si>
    <t>Etiquetas de fila</t>
  </si>
  <si>
    <t>Total general</t>
  </si>
  <si>
    <t>Suma de Recaudo</t>
  </si>
  <si>
    <t>Porcentaje_gestor</t>
  </si>
  <si>
    <t>Etiquetas de columna</t>
  </si>
  <si>
    <t>Contención</t>
  </si>
  <si>
    <t>Normalización</t>
  </si>
  <si>
    <t>Recuperación</t>
  </si>
  <si>
    <t>Cuenta de Pagare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</si>
</sst>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7</xdr:row>
      <xdr:rowOff>133351</xdr:rowOff>
    </xdr:from>
    <xdr:to>
      <xdr:col>15</xdr:col>
      <xdr:colOff>38100</xdr:colOff>
      <xdr:row>12</xdr:row>
      <xdr:rowOff>38101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5A114B8-0A87-4D4A-BC3B-7F4279355059}"/>
            </a:ext>
          </a:extLst>
        </xdr:cNvPr>
        <xdr:cNvSpPr txBox="1"/>
      </xdr:nvSpPr>
      <xdr:spPr>
        <a:xfrm>
          <a:off x="7343775" y="1466851"/>
          <a:ext cx="570547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De acuerdo con los resultados obtenidos, el segmento que presenta la mayor cantidad de obligaciones en estado de </a:t>
          </a:r>
          <a:r>
            <a:rPr lang="es-CO" b="1"/>
            <a:t>rodamiento</a:t>
          </a:r>
          <a:r>
            <a:rPr lang="es-CO"/>
            <a:t> es el </a:t>
          </a:r>
          <a:r>
            <a:rPr lang="es-CO" b="1"/>
            <a:t>segmento 42 Micropyme</a:t>
          </a:r>
          <a:r>
            <a:rPr lang="es-CO"/>
            <a:t>, por lo cual se recomienda priorizar una estrategia o campaña especial para el siguiente periodo con el fin de reducir el nivel de mora y mejorar la recuperación de cartera.</a:t>
          </a:r>
          <a:endParaRPr lang="es-CO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1.464411805558" createdVersion="7" refreshedVersion="7" minRefreshableVersion="3" recordCount="971" xr:uid="{EE460AFD-45CD-4AD1-85CD-2CC5C357A4C7}">
  <cacheSource type="worksheet">
    <worksheetSource ref="A1:O1048576" sheet="BASE_CUENTAS"/>
  </cacheSource>
  <cacheFields count="15">
    <cacheField name="Nit" numFmtId="0">
      <sharedItems containsString="0" containsBlank="1" containsNumber="1" containsInteger="1" minValue="8085392" maxValue="8559026"/>
    </cacheField>
    <cacheField name="Segmento" numFmtId="0">
      <sharedItems containsBlank="1"/>
    </cacheField>
    <cacheField name="Pagare" numFmtId="0">
      <sharedItems containsString="0" containsBlank="1" containsNumber="1" containsInteger="1" minValue="1051371" maxValue="28595455"/>
    </cacheField>
    <cacheField name="Tipdoc" numFmtId="0">
      <sharedItems containsBlank="1"/>
    </cacheField>
    <cacheField name="Endeudamiento total" numFmtId="0">
      <sharedItems containsString="0" containsBlank="1" containsNumber="1" containsInteger="1" minValue="14203" maxValue="162087161"/>
    </cacheField>
    <cacheField name="Saldo_total" numFmtId="0">
      <sharedItems containsString="0" containsBlank="1" containsNumber="1" containsInteger="1" minValue="1985" maxValue="111268433"/>
    </cacheField>
    <cacheField name="Valor_Vencido" numFmtId="0">
      <sharedItems containsString="0" containsBlank="1" containsNumber="1" containsInteger="1" minValue="132" maxValue="20653260"/>
    </cacheField>
    <cacheField name="Dias_mora" numFmtId="0">
      <sharedItems containsString="0" containsBlank="1" containsNumber="1" containsInteger="1" minValue="1" maxValue="602"/>
    </cacheField>
    <cacheField name="Fecha_asignacion_gestor_resp" numFmtId="0">
      <sharedItems containsNonDate="0" containsDate="1" containsString="0" containsBlank="1" minDate="2015-11-20T00:00:00" maxDate="2016-06-09T00:00:00"/>
    </cacheField>
    <cacheField name="Gestor_responsable" numFmtId="0">
      <sharedItems containsBlank="1" count="4">
        <s v="Empresa C"/>
        <s v="Empresa A"/>
        <s v="Empresa B"/>
        <m/>
      </sharedItems>
    </cacheField>
    <cacheField name="Cant_gestiones" numFmtId="0">
      <sharedItems containsString="0" containsBlank="1" containsNumber="1" containsInteger="1" minValue="3" maxValue="3"/>
    </cacheField>
    <cacheField name="Gest_ef" numFmtId="0">
      <sharedItems containsString="0" containsBlank="1" containsNumber="1" containsInteger="1" minValue="0" maxValue="2"/>
    </cacheField>
    <cacheField name="Gest_No_ef" numFmtId="0">
      <sharedItems containsString="0" containsBlank="1" containsNumber="1" containsInteger="1" minValue="1" maxValue="3"/>
    </cacheField>
    <cacheField name="Cont_SMS" numFmtId="0">
      <sharedItems containsString="0" containsBlank="1" containsNumber="1" containsInteger="1" minValue="0" maxValue="2"/>
    </cacheField>
    <cacheField name="Recaudo" numFmtId="0">
      <sharedItems containsString="0" containsBlank="1" containsNumber="1" containsInteger="1" minValue="0" maxValue="831584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1.482653356485" createdVersion="7" refreshedVersion="7" minRefreshableVersion="3" recordCount="971" xr:uid="{AB9B3961-AB4C-424A-8EDA-A0BB4EA35FB8}">
  <cacheSource type="worksheet">
    <worksheetSource ref="A1:Q1048576" sheet="BASE_CUENTAS"/>
  </cacheSource>
  <cacheFields count="17">
    <cacheField name="Nit" numFmtId="0">
      <sharedItems containsString="0" containsBlank="1" containsNumber="1" containsInteger="1" minValue="8085392" maxValue="8559026"/>
    </cacheField>
    <cacheField name="Segmento" numFmtId="0">
      <sharedItems containsBlank="1" count="4">
        <s v="Micro pyme"/>
        <s v="Personal"/>
        <s v="Preferencial"/>
        <m/>
      </sharedItems>
    </cacheField>
    <cacheField name="Pagare" numFmtId="0">
      <sharedItems containsString="0" containsBlank="1" containsNumber="1" containsInteger="1" minValue="1051371" maxValue="28595455"/>
    </cacheField>
    <cacheField name="Tipdoc" numFmtId="0">
      <sharedItems containsBlank="1"/>
    </cacheField>
    <cacheField name="Endeudamiento total" numFmtId="0">
      <sharedItems containsString="0" containsBlank="1" containsNumber="1" containsInteger="1" minValue="14203" maxValue="162087161"/>
    </cacheField>
    <cacheField name="Saldo_total" numFmtId="0">
      <sharedItems containsString="0" containsBlank="1" containsNumber="1" containsInteger="1" minValue="1985" maxValue="111268433"/>
    </cacheField>
    <cacheField name="Valor_Vencido" numFmtId="0">
      <sharedItems containsString="0" containsBlank="1" containsNumber="1" containsInteger="1" minValue="132" maxValue="20653260"/>
    </cacheField>
    <cacheField name="Dias_mora" numFmtId="0">
      <sharedItems containsString="0" containsBlank="1" containsNumber="1" containsInteger="1" minValue="1" maxValue="602"/>
    </cacheField>
    <cacheField name="Fecha_asignacion_gestor_resp" numFmtId="0">
      <sharedItems containsNonDate="0" containsDate="1" containsString="0" containsBlank="1" minDate="2015-11-20T00:00:00" maxDate="2016-06-09T00:00:00"/>
    </cacheField>
    <cacheField name="Gestor_responsable" numFmtId="0">
      <sharedItems containsBlank="1"/>
    </cacheField>
    <cacheField name="Cant_gestiones" numFmtId="0">
      <sharedItems containsString="0" containsBlank="1" containsNumber="1" containsInteger="1" minValue="3" maxValue="3"/>
    </cacheField>
    <cacheField name="Gest_ef" numFmtId="0">
      <sharedItems containsString="0" containsBlank="1" containsNumber="1" containsInteger="1" minValue="0" maxValue="2"/>
    </cacheField>
    <cacheField name="Gest_No_ef" numFmtId="0">
      <sharedItems containsString="0" containsBlank="1" containsNumber="1" containsInteger="1" minValue="1" maxValue="3"/>
    </cacheField>
    <cacheField name="Cont_SMS" numFmtId="0">
      <sharedItems containsString="0" containsBlank="1" containsNumber="1" containsInteger="1" minValue="0" maxValue="2"/>
    </cacheField>
    <cacheField name="Recaudo" numFmtId="0">
      <sharedItems containsString="0" containsBlank="1" containsNumber="1" containsInteger="1" minValue="0" maxValue="83158465"/>
    </cacheField>
    <cacheField name="Indicador" numFmtId="0">
      <sharedItems containsBlank="1" count="5">
        <s v="Rodamiento"/>
        <s v="Recuperación"/>
        <s v="Normalización"/>
        <s v="Contención"/>
        <m/>
      </sharedItems>
    </cacheField>
    <cacheField name="Porcentaje_gestor" numFmtId="0">
      <sharedItems containsString="0" containsBlank="1" containsNumber="1" minValue="0" maxValue="1.000000537167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1">
  <r>
    <n v="8085392"/>
    <s v="Micro pyme"/>
    <n v="27892052"/>
    <s v="Tarjeta"/>
    <n v="4531735"/>
    <n v="1825484"/>
    <n v="28374"/>
    <n v="30"/>
    <d v="2016-05-19T00:00:00"/>
    <x v="0"/>
    <n v="3"/>
    <n v="1"/>
    <n v="2"/>
    <n v="1"/>
    <n v="0"/>
  </r>
  <r>
    <n v="8085687"/>
    <s v="Micro pyme"/>
    <n v="27777136"/>
    <s v="Tarjeta"/>
    <n v="568630"/>
    <n v="568630"/>
    <n v="93751"/>
    <n v="30"/>
    <d v="2016-05-31T00:00:00"/>
    <x v="1"/>
    <n v="3"/>
    <n v="0"/>
    <n v="3"/>
    <n v="1"/>
    <n v="46876"/>
  </r>
  <r>
    <n v="8085706"/>
    <s v="Micro pyme"/>
    <n v="25794246"/>
    <s v="Tarjeta"/>
    <n v="2169491"/>
    <n v="1336171"/>
    <n v="48365"/>
    <n v="30"/>
    <d v="2016-05-31T00:00:00"/>
    <x v="1"/>
    <n v="3"/>
    <n v="1"/>
    <n v="2"/>
    <n v="2"/>
    <n v="0"/>
  </r>
  <r>
    <n v="8088495"/>
    <s v="Personal"/>
    <n v="21175250"/>
    <s v="Tarjeta"/>
    <n v="10721876"/>
    <n v="6144033"/>
    <n v="6144033"/>
    <n v="120"/>
    <d v="2016-05-18T00:00:00"/>
    <x v="2"/>
    <n v="3"/>
    <n v="1"/>
    <n v="2"/>
    <n v="0"/>
    <n v="6144033"/>
  </r>
  <r>
    <n v="8088495"/>
    <s v="Personal"/>
    <n v="25700352"/>
    <s v="Tarjeta"/>
    <n v="10721876"/>
    <n v="3803643"/>
    <n v="3803643"/>
    <n v="120"/>
    <d v="2016-05-18T00:00:00"/>
    <x v="2"/>
    <n v="3"/>
    <n v="1"/>
    <n v="2"/>
    <n v="0"/>
    <n v="1901822"/>
  </r>
  <r>
    <n v="8088899"/>
    <s v="Micro pyme"/>
    <n v="26370037"/>
    <s v="Tarjeta"/>
    <n v="1959887"/>
    <n v="1959887"/>
    <n v="1959887"/>
    <n v="150"/>
    <d v="2016-05-19T00:00:00"/>
    <x v="2"/>
    <n v="3"/>
    <n v="1"/>
    <n v="2"/>
    <n v="1"/>
    <n v="653296"/>
  </r>
  <r>
    <n v="8089371"/>
    <s v="Personal"/>
    <n v="21887785"/>
    <s v="Tarjeta"/>
    <n v="3595049"/>
    <n v="1565575"/>
    <n v="183019"/>
    <n v="30"/>
    <d v="2016-05-31T00:00:00"/>
    <x v="1"/>
    <n v="3"/>
    <n v="0"/>
    <n v="3"/>
    <n v="1"/>
    <n v="0"/>
  </r>
  <r>
    <n v="8089371"/>
    <s v="Personal"/>
    <n v="24378718"/>
    <s v="Tarjeta"/>
    <n v="3595049"/>
    <n v="2029474"/>
    <n v="213568"/>
    <n v="30"/>
    <d v="2016-05-31T00:00:00"/>
    <x v="1"/>
    <n v="3"/>
    <n v="1"/>
    <n v="2"/>
    <n v="2"/>
    <n v="213568"/>
  </r>
  <r>
    <n v="8089696"/>
    <s v="Personal"/>
    <n v="16084748"/>
    <s v="Tarjeta"/>
    <n v="5498500"/>
    <n v="1270224"/>
    <n v="108134"/>
    <n v="30"/>
    <d v="2016-05-18T00:00:00"/>
    <x v="0"/>
    <n v="3"/>
    <n v="1"/>
    <n v="2"/>
    <n v="0"/>
    <n v="0"/>
  </r>
  <r>
    <n v="8089696"/>
    <s v="Personal"/>
    <n v="20145473"/>
    <s v="Tarjeta"/>
    <n v="5498500"/>
    <n v="2115936"/>
    <n v="68545"/>
    <n v="30"/>
    <d v="2016-05-18T00:00:00"/>
    <x v="0"/>
    <n v="3"/>
    <n v="1"/>
    <n v="2"/>
    <n v="0"/>
    <n v="0"/>
  </r>
  <r>
    <n v="8089696"/>
    <s v="Personal"/>
    <n v="20146321"/>
    <s v="Tarjeta"/>
    <n v="5498500"/>
    <n v="2112340"/>
    <n v="91643"/>
    <n v="30"/>
    <d v="2016-05-19T00:00:00"/>
    <x v="0"/>
    <n v="3"/>
    <n v="1"/>
    <n v="2"/>
    <n v="1"/>
    <n v="91643"/>
  </r>
  <r>
    <n v="8089801"/>
    <s v="Personal"/>
    <n v="26958913"/>
    <s v="Tarjeta"/>
    <n v="3908903"/>
    <n v="1930237"/>
    <n v="324883"/>
    <n v="90"/>
    <d v="2016-05-18T00:00:00"/>
    <x v="0"/>
    <n v="3"/>
    <n v="0"/>
    <n v="3"/>
    <n v="1"/>
    <n v="0"/>
  </r>
  <r>
    <n v="8089801"/>
    <s v="Personal"/>
    <n v="26967590"/>
    <s v="Tarjeta"/>
    <n v="3908903"/>
    <n v="1978665"/>
    <n v="382382"/>
    <n v="90"/>
    <d v="2016-05-18T00:00:00"/>
    <x v="0"/>
    <n v="3"/>
    <n v="1"/>
    <n v="2"/>
    <n v="2"/>
    <n v="127460"/>
  </r>
  <r>
    <n v="8090100"/>
    <s v="Micro pyme"/>
    <n v="25579254"/>
    <s v="Tarjeta"/>
    <n v="1081271"/>
    <n v="1081271"/>
    <n v="1081271"/>
    <n v="180"/>
    <d v="2016-05-01T00:00:00"/>
    <x v="2"/>
    <n v="3"/>
    <n v="1"/>
    <n v="2"/>
    <n v="0"/>
    <n v="0"/>
  </r>
  <r>
    <n v="8090327"/>
    <s v="Micro pyme"/>
    <n v="24060799"/>
    <s v="Tarjeta"/>
    <n v="726156"/>
    <n v="726156"/>
    <n v="241174"/>
    <n v="60"/>
    <d v="2016-04-20T00:00:00"/>
    <x v="0"/>
    <n v="3"/>
    <n v="1"/>
    <n v="2"/>
    <n v="0"/>
    <n v="0"/>
  </r>
  <r>
    <n v="8090376"/>
    <s v="Personal"/>
    <n v="28116836"/>
    <s v="Tarjeta"/>
    <n v="12801111"/>
    <n v="3410156"/>
    <n v="489522"/>
    <n v="60"/>
    <d v="2016-05-01T00:00:00"/>
    <x v="0"/>
    <n v="3"/>
    <n v="2"/>
    <n v="1"/>
    <n v="1"/>
    <n v="489522"/>
  </r>
  <r>
    <n v="8090702"/>
    <s v="Micro pyme"/>
    <n v="26143640"/>
    <s v="Tarjeta"/>
    <n v="577181"/>
    <n v="577181"/>
    <n v="65826"/>
    <n v="30"/>
    <d v="2016-05-18T00:00:00"/>
    <x v="0"/>
    <n v="3"/>
    <n v="1"/>
    <n v="2"/>
    <n v="0"/>
    <n v="65826"/>
  </r>
  <r>
    <n v="8090807"/>
    <s v="Micro pyme"/>
    <n v="24076434"/>
    <s v="Tarjeta"/>
    <n v="634514"/>
    <n v="634514"/>
    <n v="105924"/>
    <n v="30"/>
    <d v="2016-05-18T00:00:00"/>
    <x v="0"/>
    <n v="3"/>
    <n v="0"/>
    <n v="3"/>
    <n v="2"/>
    <n v="0"/>
  </r>
  <r>
    <n v="8091415"/>
    <s v="Micro pyme"/>
    <n v="26388699"/>
    <s v="Tarjeta"/>
    <n v="1961782"/>
    <n v="1070425"/>
    <n v="119184"/>
    <n v="60"/>
    <d v="2016-04-21T00:00:00"/>
    <x v="0"/>
    <n v="3"/>
    <n v="1"/>
    <n v="2"/>
    <n v="1"/>
    <n v="0"/>
  </r>
  <r>
    <n v="8091415"/>
    <s v="Micro pyme"/>
    <n v="28543492"/>
    <s v="Tarjeta"/>
    <n v="1961782"/>
    <n v="891357"/>
    <n v="51253"/>
    <n v="30"/>
    <d v="2016-06-02T00:00:00"/>
    <x v="0"/>
    <n v="3"/>
    <n v="1"/>
    <n v="2"/>
    <n v="0"/>
    <n v="0"/>
  </r>
  <r>
    <n v="8091720"/>
    <s v="Preferencial"/>
    <n v="25710171"/>
    <s v="Tarjeta"/>
    <n v="20409234"/>
    <n v="4068219"/>
    <n v="551735"/>
    <n v="30"/>
    <d v="2016-05-18T00:00:00"/>
    <x v="0"/>
    <n v="3"/>
    <n v="1"/>
    <n v="2"/>
    <n v="1"/>
    <n v="0"/>
  </r>
  <r>
    <n v="8091720"/>
    <s v="Preferencial"/>
    <n v="25711212"/>
    <s v="Tarjeta"/>
    <n v="20409234"/>
    <n v="3022366"/>
    <n v="1286278"/>
    <n v="90"/>
    <d v="2016-05-18T00:00:00"/>
    <x v="0"/>
    <n v="3"/>
    <n v="1"/>
    <n v="2"/>
    <n v="0"/>
    <n v="1286278"/>
  </r>
  <r>
    <n v="8091720"/>
    <s v="Preferencial"/>
    <n v="25711791"/>
    <s v="Tarjeta"/>
    <n v="20409234"/>
    <n v="6752322"/>
    <n v="1226946"/>
    <n v="90"/>
    <d v="2016-05-18T00:00:00"/>
    <x v="0"/>
    <n v="3"/>
    <n v="0"/>
    <n v="3"/>
    <n v="2"/>
    <n v="613473"/>
  </r>
  <r>
    <n v="8092203"/>
    <s v="Micro pyme"/>
    <n v="27368714"/>
    <s v="Tarjeta"/>
    <n v="1640018"/>
    <n v="1640018"/>
    <n v="45380"/>
    <n v="30"/>
    <d v="2016-05-31T00:00:00"/>
    <x v="1"/>
    <n v="3"/>
    <n v="1"/>
    <n v="2"/>
    <n v="1"/>
    <n v="1640018"/>
  </r>
  <r>
    <n v="8092365"/>
    <s v="Micro pyme"/>
    <n v="26716493"/>
    <s v="Tarjeta"/>
    <n v="1440570"/>
    <n v="1440570"/>
    <n v="133848"/>
    <n v="30"/>
    <d v="2016-05-31T00:00:00"/>
    <x v="1"/>
    <n v="3"/>
    <n v="1"/>
    <n v="2"/>
    <n v="0"/>
    <n v="44616"/>
  </r>
  <r>
    <n v="8120004"/>
    <s v="Micro pyme"/>
    <n v="27770039"/>
    <s v="Tarjeta"/>
    <n v="934528"/>
    <n v="323819"/>
    <n v="68141"/>
    <n v="30"/>
    <d v="2016-05-19T00:00:00"/>
    <x v="0"/>
    <n v="3"/>
    <n v="1"/>
    <n v="2"/>
    <n v="1"/>
    <n v="0"/>
  </r>
  <r>
    <n v="8120077"/>
    <s v="Micro pyme"/>
    <n v="23053023"/>
    <s v="Tarjeta"/>
    <n v="2420324"/>
    <n v="205309"/>
    <n v="205309"/>
    <n v="150"/>
    <d v="2016-04-20T00:00:00"/>
    <x v="2"/>
    <n v="3"/>
    <n v="1"/>
    <n v="2"/>
    <n v="0"/>
    <n v="205309"/>
  </r>
  <r>
    <n v="8120077"/>
    <s v="Micro pyme"/>
    <n v="23102782"/>
    <s v="Tarjeta"/>
    <n v="2420324"/>
    <n v="2215015"/>
    <n v="2215015"/>
    <n v="150"/>
    <d v="2016-04-27T00:00:00"/>
    <x v="2"/>
    <n v="3"/>
    <n v="0"/>
    <n v="3"/>
    <n v="2"/>
    <n v="0"/>
  </r>
  <r>
    <n v="8120123"/>
    <s v="Micro pyme"/>
    <n v="24060274"/>
    <s v="Tarjeta"/>
    <n v="1788407"/>
    <n v="320799"/>
    <n v="116536"/>
    <n v="30"/>
    <d v="2016-05-31T00:00:00"/>
    <x v="1"/>
    <n v="3"/>
    <n v="1"/>
    <n v="2"/>
    <n v="1"/>
    <n v="0"/>
  </r>
  <r>
    <n v="8120123"/>
    <s v="Micro pyme"/>
    <n v="24378668"/>
    <s v="Tarjeta"/>
    <n v="1788407"/>
    <n v="1467608"/>
    <n v="197364"/>
    <n v="30"/>
    <d v="2016-05-31T00:00:00"/>
    <x v="1"/>
    <n v="3"/>
    <n v="1"/>
    <n v="2"/>
    <n v="0"/>
    <n v="0"/>
  </r>
  <r>
    <n v="8120258"/>
    <s v="Micro pyme"/>
    <n v="22218377"/>
    <s v="Tarjeta"/>
    <n v="1412302"/>
    <n v="1412302"/>
    <n v="1412302"/>
    <n v="360"/>
    <d v="2016-03-14T00:00:00"/>
    <x v="2"/>
    <n v="3"/>
    <n v="1"/>
    <n v="2"/>
    <n v="1"/>
    <n v="1412302"/>
  </r>
  <r>
    <n v="8120280"/>
    <s v="Personal"/>
    <n v="17490411"/>
    <s v="Tarjeta"/>
    <n v="10326033"/>
    <n v="5680456"/>
    <n v="813887"/>
    <n v="30"/>
    <d v="2016-05-31T00:00:00"/>
    <x v="1"/>
    <n v="3"/>
    <n v="2"/>
    <n v="1"/>
    <n v="0"/>
    <n v="0"/>
  </r>
  <r>
    <n v="8120338"/>
    <s v="Preferencial"/>
    <n v="25641175"/>
    <s v="Hipotercario"/>
    <n v="113947293"/>
    <n v="111268433"/>
    <n v="1264807"/>
    <n v="16"/>
    <d v="2016-05-25T00:00:00"/>
    <x v="0"/>
    <n v="3"/>
    <n v="1"/>
    <n v="2"/>
    <n v="1"/>
    <n v="0"/>
  </r>
  <r>
    <n v="8120338"/>
    <s v="Preferencial"/>
    <n v="27451233"/>
    <s v="Tarjeta"/>
    <n v="113947293"/>
    <n v="2678861"/>
    <n v="335289"/>
    <n v="30"/>
    <d v="2016-05-29T00:00:00"/>
    <x v="0"/>
    <n v="3"/>
    <n v="0"/>
    <n v="3"/>
    <n v="1"/>
    <n v="335289"/>
  </r>
  <r>
    <n v="8120351"/>
    <s v="Personal"/>
    <n v="25400500"/>
    <s v="Tarjeta"/>
    <n v="2878695"/>
    <n v="1338193"/>
    <n v="16578"/>
    <n v="30"/>
    <d v="2016-05-19T00:00:00"/>
    <x v="0"/>
    <n v="3"/>
    <n v="1"/>
    <n v="2"/>
    <n v="1"/>
    <n v="0"/>
  </r>
  <r>
    <n v="8120351"/>
    <s v="Personal"/>
    <n v="25402114"/>
    <s v="Tarjeta"/>
    <n v="2878695"/>
    <n v="1540501"/>
    <n v="130255"/>
    <n v="30"/>
    <d v="2016-05-18T00:00:00"/>
    <x v="0"/>
    <n v="3"/>
    <n v="1"/>
    <n v="2"/>
    <n v="1"/>
    <n v="0"/>
  </r>
  <r>
    <n v="8120504"/>
    <s v="Personal"/>
    <n v="25516208"/>
    <s v="Tarjeta"/>
    <n v="7991195"/>
    <n v="3468196"/>
    <n v="431460"/>
    <n v="30"/>
    <d v="2016-05-31T00:00:00"/>
    <x v="1"/>
    <n v="3"/>
    <n v="1"/>
    <n v="2"/>
    <n v="0"/>
    <n v="215730"/>
  </r>
  <r>
    <n v="8120567"/>
    <s v="Micro pyme"/>
    <n v="21872767"/>
    <s v="Tarjeta"/>
    <n v="2637659"/>
    <n v="2637659"/>
    <n v="351945"/>
    <n v="30"/>
    <d v="2016-05-18T00:00:00"/>
    <x v="0"/>
    <n v="3"/>
    <n v="1"/>
    <n v="2"/>
    <n v="1"/>
    <n v="0"/>
  </r>
  <r>
    <n v="8120613"/>
    <s v="Micro pyme"/>
    <n v="15453603"/>
    <s v="Tarjeta"/>
    <n v="2164914"/>
    <n v="2164914"/>
    <n v="2164914"/>
    <n v="150"/>
    <d v="2016-06-03T00:00:00"/>
    <x v="2"/>
    <n v="3"/>
    <n v="0"/>
    <n v="3"/>
    <n v="1"/>
    <n v="721638"/>
  </r>
  <r>
    <n v="8120615"/>
    <s v="Micro pyme"/>
    <n v="20326533"/>
    <s v="Tarjeta"/>
    <n v="1106234"/>
    <n v="1106234"/>
    <n v="1106234"/>
    <n v="360"/>
    <d v="2016-04-25T00:00:00"/>
    <x v="2"/>
    <n v="3"/>
    <n v="1"/>
    <n v="2"/>
    <n v="1"/>
    <n v="0"/>
  </r>
  <r>
    <n v="8120642"/>
    <s v="Micro pyme"/>
    <n v="27997023"/>
    <s v="Tarjeta"/>
    <n v="2743000"/>
    <n v="2743000"/>
    <n v="268763"/>
    <n v="30"/>
    <d v="2016-05-19T00:00:00"/>
    <x v="0"/>
    <n v="3"/>
    <n v="1"/>
    <n v="2"/>
    <n v="1"/>
    <n v="268763"/>
  </r>
  <r>
    <n v="8120741"/>
    <s v="Preferencial"/>
    <n v="22880917"/>
    <s v="Tarjeta"/>
    <n v="32697109"/>
    <n v="894762"/>
    <n v="201679"/>
    <n v="60"/>
    <d v="2016-04-27T00:00:00"/>
    <x v="0"/>
    <n v="3"/>
    <n v="1"/>
    <n v="2"/>
    <n v="0"/>
    <n v="100840"/>
  </r>
  <r>
    <n v="8120773"/>
    <s v="Personal"/>
    <n v="16069377"/>
    <s v="Tarjeta"/>
    <n v="6608687"/>
    <n v="3792766"/>
    <n v="933729"/>
    <n v="60"/>
    <d v="2016-04-20T00:00:00"/>
    <x v="0"/>
    <n v="3"/>
    <n v="1"/>
    <n v="2"/>
    <n v="1"/>
    <n v="3792766"/>
  </r>
  <r>
    <n v="8120773"/>
    <s v="Personal"/>
    <n v="19003063"/>
    <s v="Libranza"/>
    <n v="6608687"/>
    <n v="2815922"/>
    <n v="269289"/>
    <n v="7"/>
    <d v="2016-06-02T00:00:00"/>
    <x v="0"/>
    <n v="3"/>
    <n v="0"/>
    <n v="3"/>
    <n v="1"/>
    <n v="269289"/>
  </r>
  <r>
    <n v="8120833"/>
    <s v="Personal"/>
    <n v="24374772"/>
    <s v="Tarjeta"/>
    <n v="6153747"/>
    <n v="650182"/>
    <n v="650182"/>
    <n v="210"/>
    <d v="2016-03-18T00:00:00"/>
    <x v="2"/>
    <n v="3"/>
    <n v="1"/>
    <n v="2"/>
    <n v="1"/>
    <n v="650182"/>
  </r>
  <r>
    <n v="8120848"/>
    <s v="Preferencial"/>
    <n v="25950361"/>
    <s v="Tarjeta"/>
    <n v="85083072"/>
    <n v="919131"/>
    <n v="919131"/>
    <n v="60"/>
    <d v="2016-05-28T00:00:00"/>
    <x v="0"/>
    <n v="3"/>
    <n v="1"/>
    <n v="2"/>
    <n v="1"/>
    <n v="919131"/>
  </r>
  <r>
    <n v="8120848"/>
    <s v="Preferencial"/>
    <n v="27351285"/>
    <s v="Hipotercario"/>
    <n v="85083072"/>
    <n v="83158465"/>
    <n v="2577610"/>
    <n v="116"/>
    <d v="2016-05-28T00:00:00"/>
    <x v="0"/>
    <n v="3"/>
    <n v="1"/>
    <n v="2"/>
    <n v="0"/>
    <n v="83158465"/>
  </r>
  <r>
    <n v="8120848"/>
    <s v="Preferencial"/>
    <n v="28586063"/>
    <s v="Tarjeta"/>
    <n v="85083072"/>
    <n v="1005475"/>
    <n v="455695"/>
    <n v="90"/>
    <d v="2016-06-02T00:00:00"/>
    <x v="0"/>
    <n v="3"/>
    <n v="2"/>
    <n v="1"/>
    <n v="1"/>
    <n v="151898"/>
  </r>
  <r>
    <n v="8120977"/>
    <s v="Micro pyme"/>
    <n v="25568684"/>
    <s v="Tarjeta"/>
    <n v="3059201"/>
    <n v="3059201"/>
    <n v="226541"/>
    <n v="30"/>
    <d v="2016-05-31T00:00:00"/>
    <x v="1"/>
    <n v="3"/>
    <n v="1"/>
    <n v="2"/>
    <n v="0"/>
    <n v="226541"/>
  </r>
  <r>
    <n v="8121172"/>
    <s v="Personal"/>
    <n v="15535226"/>
    <s v="Tarjeta"/>
    <n v="5244294"/>
    <n v="1749585"/>
    <n v="1749585"/>
    <n v="150"/>
    <d v="2016-05-18T00:00:00"/>
    <x v="2"/>
    <n v="3"/>
    <n v="0"/>
    <n v="3"/>
    <n v="1"/>
    <n v="1749585"/>
  </r>
  <r>
    <n v="8121172"/>
    <s v="Personal"/>
    <n v="20238795"/>
    <s v="Tarjeta"/>
    <n v="5244294"/>
    <n v="1221570"/>
    <n v="1221570"/>
    <n v="180"/>
    <d v="2016-04-20T00:00:00"/>
    <x v="2"/>
    <n v="3"/>
    <n v="1"/>
    <n v="2"/>
    <n v="2"/>
    <n v="407190"/>
  </r>
  <r>
    <n v="8121247"/>
    <s v="Personal"/>
    <n v="1689560"/>
    <s v="Tarjeta"/>
    <n v="2978984"/>
    <n v="1510425"/>
    <n v="254769"/>
    <n v="30"/>
    <d v="2016-05-31T00:00:00"/>
    <x v="1"/>
    <n v="3"/>
    <n v="1"/>
    <n v="2"/>
    <n v="0"/>
    <n v="0"/>
  </r>
  <r>
    <n v="8121247"/>
    <s v="Personal"/>
    <n v="28582863"/>
    <s v="Tarjeta"/>
    <n v="2978984"/>
    <n v="1468559"/>
    <n v="205836"/>
    <n v="30"/>
    <d v="2016-06-02T00:00:00"/>
    <x v="1"/>
    <n v="3"/>
    <n v="1"/>
    <n v="2"/>
    <n v="1"/>
    <n v="0"/>
  </r>
  <r>
    <n v="8121396"/>
    <s v="Micro pyme"/>
    <n v="25634049"/>
    <s v="Tarjeta"/>
    <n v="196700"/>
    <n v="196700"/>
    <n v="8950"/>
    <n v="30"/>
    <d v="2016-05-31T00:00:00"/>
    <x v="1"/>
    <n v="3"/>
    <n v="1"/>
    <n v="2"/>
    <n v="0"/>
    <n v="0"/>
  </r>
  <r>
    <n v="8121437"/>
    <s v="Micro pyme"/>
    <n v="21978793"/>
    <s v="Tarjeta"/>
    <n v="1304995"/>
    <n v="1304995"/>
    <n v="1304995"/>
    <n v="120"/>
    <d v="2016-05-18T00:00:00"/>
    <x v="2"/>
    <n v="3"/>
    <n v="0"/>
    <n v="3"/>
    <n v="1"/>
    <n v="1304995"/>
  </r>
  <r>
    <n v="8121787"/>
    <s v="Micro pyme"/>
    <n v="28250237"/>
    <s v="Tarjeta"/>
    <n v="297380"/>
    <n v="297380"/>
    <n v="38527"/>
    <n v="30"/>
    <d v="2016-05-31T00:00:00"/>
    <x v="1"/>
    <n v="3"/>
    <n v="1"/>
    <n v="2"/>
    <n v="2"/>
    <n v="38527"/>
  </r>
  <r>
    <n v="8122348"/>
    <s v="Personal"/>
    <n v="23138110"/>
    <s v="Tarjeta"/>
    <n v="7377150"/>
    <n v="1312367"/>
    <n v="35203"/>
    <n v="30"/>
    <d v="2016-05-19T00:00:00"/>
    <x v="0"/>
    <n v="3"/>
    <n v="1"/>
    <n v="2"/>
    <n v="0"/>
    <n v="17602"/>
  </r>
  <r>
    <n v="8122348"/>
    <s v="Personal"/>
    <n v="27354461"/>
    <s v="Tarjeta"/>
    <n v="7377150"/>
    <n v="999534"/>
    <n v="28207"/>
    <n v="30"/>
    <d v="2016-05-18T00:00:00"/>
    <x v="0"/>
    <n v="3"/>
    <n v="1"/>
    <n v="2"/>
    <n v="1"/>
    <n v="9402"/>
  </r>
  <r>
    <n v="8122438"/>
    <s v="Preferencial"/>
    <n v="25825719"/>
    <s v="Tarjeta"/>
    <n v="14859276"/>
    <n v="477199"/>
    <n v="76390"/>
    <n v="30"/>
    <d v="2016-05-28T00:00:00"/>
    <x v="0"/>
    <n v="3"/>
    <n v="1"/>
    <n v="2"/>
    <n v="0"/>
    <n v="38195"/>
  </r>
  <r>
    <n v="8122438"/>
    <s v="Preferencial"/>
    <n v="27451551"/>
    <s v="Tarjeta"/>
    <n v="14859276"/>
    <n v="2519662"/>
    <n v="321860"/>
    <n v="30"/>
    <d v="2016-05-18T00:00:00"/>
    <x v="0"/>
    <n v="3"/>
    <n v="0"/>
    <n v="3"/>
    <n v="1"/>
    <n v="0"/>
  </r>
  <r>
    <n v="8122952"/>
    <s v="Preferencial"/>
    <n v="26844999"/>
    <s v="Tarjeta"/>
    <n v="10212975"/>
    <n v="2064425"/>
    <n v="609334"/>
    <n v="60"/>
    <d v="2016-05-17T00:00:00"/>
    <x v="0"/>
    <n v="3"/>
    <n v="1"/>
    <n v="2"/>
    <n v="2"/>
    <n v="304667"/>
  </r>
  <r>
    <n v="8122952"/>
    <s v="Preferencial"/>
    <n v="27342408"/>
    <s v="Tarjeta"/>
    <n v="10212975"/>
    <n v="2711820"/>
    <n v="483786"/>
    <n v="60"/>
    <d v="2016-05-17T00:00:00"/>
    <x v="0"/>
    <n v="3"/>
    <n v="1"/>
    <n v="2"/>
    <n v="0"/>
    <n v="483786"/>
  </r>
  <r>
    <n v="8122952"/>
    <s v="Preferencial"/>
    <n v="27362528"/>
    <s v="Consumo"/>
    <n v="10212975"/>
    <n v="5436730"/>
    <n v="498016"/>
    <n v="83"/>
    <d v="2016-05-17T00:00:00"/>
    <x v="0"/>
    <n v="3"/>
    <n v="1"/>
    <n v="2"/>
    <n v="1"/>
    <n v="0"/>
  </r>
  <r>
    <n v="8123013"/>
    <s v="Micro pyme"/>
    <n v="27748497"/>
    <s v="Tarjeta"/>
    <n v="579616"/>
    <n v="579616"/>
    <n v="24259"/>
    <n v="30"/>
    <d v="2016-05-18T00:00:00"/>
    <x v="0"/>
    <n v="3"/>
    <n v="2"/>
    <n v="1"/>
    <n v="0"/>
    <n v="0"/>
  </r>
  <r>
    <n v="8140803"/>
    <s v="Micro pyme"/>
    <n v="16471105"/>
    <s v="Tarjeta"/>
    <n v="1779003"/>
    <n v="1779003"/>
    <n v="253535"/>
    <n v="30"/>
    <d v="2016-05-18T00:00:00"/>
    <x v="0"/>
    <n v="3"/>
    <n v="1"/>
    <n v="2"/>
    <n v="0"/>
    <n v="0"/>
  </r>
  <r>
    <n v="8140967"/>
    <s v="Personal"/>
    <n v="1261260"/>
    <s v="Tarjeta"/>
    <n v="2905211"/>
    <n v="1459649"/>
    <n v="39390"/>
    <n v="30"/>
    <d v="2016-05-19T00:00:00"/>
    <x v="0"/>
    <n v="3"/>
    <n v="0"/>
    <n v="3"/>
    <n v="2"/>
    <n v="0"/>
  </r>
  <r>
    <n v="8140967"/>
    <s v="Personal"/>
    <n v="1261261"/>
    <s v="Tarjeta"/>
    <n v="2905211"/>
    <n v="1445561"/>
    <n v="36913"/>
    <n v="30"/>
    <d v="2016-05-28T00:00:00"/>
    <x v="0"/>
    <n v="3"/>
    <n v="1"/>
    <n v="2"/>
    <n v="1"/>
    <n v="0"/>
  </r>
  <r>
    <n v="8141368"/>
    <s v="Micro pyme"/>
    <n v="21108707"/>
    <s v="Tarjeta"/>
    <n v="638651"/>
    <n v="432742"/>
    <n v="432742"/>
    <n v="180"/>
    <d v="2016-04-20T00:00:00"/>
    <x v="2"/>
    <n v="3"/>
    <n v="1"/>
    <n v="2"/>
    <n v="1"/>
    <n v="0"/>
  </r>
  <r>
    <n v="8141661"/>
    <s v="Micro pyme"/>
    <n v="26211389"/>
    <s v="Tarjeta"/>
    <n v="579279"/>
    <n v="579279"/>
    <n v="579279"/>
    <n v="180"/>
    <d v="2016-05-01T00:00:00"/>
    <x v="2"/>
    <n v="3"/>
    <n v="1"/>
    <n v="2"/>
    <n v="0"/>
    <n v="579279"/>
  </r>
  <r>
    <n v="8142131"/>
    <s v="Micro pyme"/>
    <n v="23230686"/>
    <s v="Tarjeta"/>
    <n v="1727978"/>
    <n v="1727978"/>
    <n v="289619"/>
    <n v="30"/>
    <d v="2016-06-01T00:00:00"/>
    <x v="0"/>
    <n v="3"/>
    <n v="1"/>
    <n v="2"/>
    <n v="0"/>
    <n v="0"/>
  </r>
  <r>
    <n v="8142840"/>
    <s v="Micro pyme"/>
    <n v="28584067"/>
    <s v="Tarjeta"/>
    <n v="2838169"/>
    <n v="2838169"/>
    <n v="387037"/>
    <n v="30"/>
    <d v="2016-06-03T00:00:00"/>
    <x v="0"/>
    <n v="3"/>
    <n v="0"/>
    <n v="3"/>
    <n v="2"/>
    <n v="0"/>
  </r>
  <r>
    <n v="8142913"/>
    <s v="Micro pyme"/>
    <n v="15150108"/>
    <s v="Tarjeta"/>
    <n v="514449"/>
    <n v="514449"/>
    <n v="141909"/>
    <n v="30"/>
    <d v="2016-05-18T00:00:00"/>
    <x v="0"/>
    <n v="3"/>
    <n v="1"/>
    <n v="2"/>
    <n v="1"/>
    <n v="70955"/>
  </r>
  <r>
    <n v="8143445"/>
    <s v="Micro pyme"/>
    <n v="27500623"/>
    <s v="Tarjeta"/>
    <n v="584548"/>
    <n v="584548"/>
    <n v="62095"/>
    <n v="30"/>
    <d v="2016-05-19T00:00:00"/>
    <x v="0"/>
    <n v="3"/>
    <n v="1"/>
    <n v="2"/>
    <n v="1"/>
    <n v="0"/>
  </r>
  <r>
    <n v="8143616"/>
    <s v="Micro pyme"/>
    <n v="28579108"/>
    <s v="Tarjeta"/>
    <n v="714564"/>
    <n v="714564"/>
    <n v="58271"/>
    <n v="30"/>
    <d v="2016-06-03T00:00:00"/>
    <x v="2"/>
    <n v="3"/>
    <n v="1"/>
    <n v="2"/>
    <n v="0"/>
    <n v="0"/>
  </r>
  <r>
    <n v="8143620"/>
    <s v="Micro pyme"/>
    <n v="26382097"/>
    <s v="Tarjeta"/>
    <n v="3622598"/>
    <n v="3622598"/>
    <n v="344400"/>
    <n v="30"/>
    <d v="2016-06-01T00:00:00"/>
    <x v="0"/>
    <n v="3"/>
    <n v="1"/>
    <n v="2"/>
    <n v="0"/>
    <n v="0"/>
  </r>
  <r>
    <n v="8143701"/>
    <s v="Micro pyme"/>
    <n v="21781337"/>
    <s v="Tarjeta"/>
    <n v="3167451"/>
    <n v="2711222"/>
    <n v="558354"/>
    <n v="30"/>
    <d v="2016-05-31T00:00:00"/>
    <x v="1"/>
    <n v="3"/>
    <n v="0"/>
    <n v="3"/>
    <n v="2"/>
    <n v="186118"/>
  </r>
  <r>
    <n v="8143941"/>
    <s v="Personal"/>
    <n v="28177048"/>
    <s v="Tarjeta"/>
    <n v="9371478"/>
    <n v="611921"/>
    <n v="208"/>
    <n v="30"/>
    <d v="2016-05-19T00:00:00"/>
    <x v="0"/>
    <n v="3"/>
    <n v="1"/>
    <n v="2"/>
    <n v="1"/>
    <n v="208"/>
  </r>
  <r>
    <n v="8144093"/>
    <s v="Preferencial"/>
    <n v="24256962"/>
    <s v="Tarjeta"/>
    <n v="13727354"/>
    <n v="2617487"/>
    <n v="783085"/>
    <n v="90"/>
    <d v="2016-05-21T00:00:00"/>
    <x v="2"/>
    <n v="3"/>
    <n v="1"/>
    <n v="2"/>
    <n v="1"/>
    <n v="0"/>
  </r>
  <r>
    <n v="8144093"/>
    <s v="Preferencial"/>
    <n v="24257547"/>
    <s v="Tarjeta"/>
    <n v="13727354"/>
    <n v="2791503"/>
    <n v="584222"/>
    <n v="90"/>
    <d v="2016-05-21T00:00:00"/>
    <x v="2"/>
    <n v="3"/>
    <n v="1"/>
    <n v="2"/>
    <n v="0"/>
    <n v="0"/>
  </r>
  <r>
    <n v="8144093"/>
    <s v="Preferencial"/>
    <n v="25328215"/>
    <s v="Consumo"/>
    <n v="13727354"/>
    <n v="8318363"/>
    <n v="1248521"/>
    <n v="108"/>
    <d v="2016-05-21T00:00:00"/>
    <x v="2"/>
    <n v="3"/>
    <n v="2"/>
    <n v="1"/>
    <n v="0"/>
    <n v="1248521"/>
  </r>
  <r>
    <n v="8144982"/>
    <s v="Personal"/>
    <n v="26085369"/>
    <s v="Tarjeta"/>
    <n v="10012836"/>
    <n v="4137778"/>
    <n v="150503"/>
    <n v="30"/>
    <d v="2016-05-31T00:00:00"/>
    <x v="1"/>
    <n v="3"/>
    <n v="1"/>
    <n v="2"/>
    <n v="1"/>
    <n v="0"/>
  </r>
  <r>
    <n v="8145532"/>
    <s v="Personal"/>
    <n v="27443036"/>
    <s v="Tarjeta"/>
    <n v="2978859"/>
    <n v="1352333"/>
    <n v="92233"/>
    <n v="30"/>
    <d v="2016-05-18T00:00:00"/>
    <x v="0"/>
    <n v="3"/>
    <n v="0"/>
    <n v="3"/>
    <n v="1"/>
    <n v="92233"/>
  </r>
  <r>
    <n v="8145532"/>
    <s v="Personal"/>
    <n v="27445813"/>
    <s v="Tarjeta"/>
    <n v="2978859"/>
    <n v="1626526"/>
    <n v="26195"/>
    <n v="30"/>
    <d v="2016-05-19T00:00:00"/>
    <x v="0"/>
    <n v="3"/>
    <n v="1"/>
    <n v="2"/>
    <n v="2"/>
    <n v="1626526"/>
  </r>
  <r>
    <n v="8145600"/>
    <s v="Micro pyme"/>
    <n v="21147053"/>
    <s v="Tarjeta"/>
    <n v="971495"/>
    <n v="971495"/>
    <n v="788769"/>
    <n v="30"/>
    <d v="2016-05-18T00:00:00"/>
    <x v="0"/>
    <n v="3"/>
    <n v="1"/>
    <n v="2"/>
    <n v="0"/>
    <n v="0"/>
  </r>
  <r>
    <n v="8145696"/>
    <s v="Personal"/>
    <n v="1487545"/>
    <s v="Tarjeta"/>
    <n v="5904001"/>
    <n v="3328094"/>
    <n v="108367"/>
    <n v="30"/>
    <d v="2016-05-31T00:00:00"/>
    <x v="1"/>
    <n v="3"/>
    <n v="1"/>
    <n v="2"/>
    <n v="0"/>
    <n v="0"/>
  </r>
  <r>
    <n v="8146040"/>
    <s v="Micro pyme"/>
    <n v="27997103"/>
    <s v="Tarjeta"/>
    <n v="1695036"/>
    <n v="1695036"/>
    <n v="91245"/>
    <n v="30"/>
    <d v="2016-06-01T00:00:00"/>
    <x v="0"/>
    <n v="3"/>
    <n v="1"/>
    <n v="2"/>
    <n v="1"/>
    <n v="0"/>
  </r>
  <r>
    <n v="8146127"/>
    <s v="Personal"/>
    <n v="20815640"/>
    <s v="Tarjeta"/>
    <n v="12776920"/>
    <n v="3251858"/>
    <n v="296607"/>
    <n v="30"/>
    <d v="2016-05-18T00:00:00"/>
    <x v="0"/>
    <n v="3"/>
    <n v="0"/>
    <n v="3"/>
    <n v="1"/>
    <n v="0"/>
  </r>
  <r>
    <n v="8146254"/>
    <s v="Micro pyme"/>
    <n v="25426056"/>
    <s v="Tarjeta"/>
    <n v="448560"/>
    <n v="448560"/>
    <n v="62487"/>
    <n v="30"/>
    <d v="2016-05-19T00:00:00"/>
    <x v="0"/>
    <n v="3"/>
    <n v="1"/>
    <n v="2"/>
    <n v="2"/>
    <n v="20829"/>
  </r>
  <r>
    <n v="8146294"/>
    <s v="Micro pyme"/>
    <n v="26813743"/>
    <s v="Tarjeta"/>
    <n v="1141094"/>
    <n v="1141094"/>
    <n v="1141094"/>
    <n v="120"/>
    <d v="2016-05-19T00:00:00"/>
    <x v="2"/>
    <n v="3"/>
    <n v="1"/>
    <n v="2"/>
    <n v="0"/>
    <n v="0"/>
  </r>
  <r>
    <n v="8146356"/>
    <s v="Preferencial"/>
    <n v="15560223"/>
    <s v="Tarjeta"/>
    <n v="10256139"/>
    <n v="3729360"/>
    <n v="344074"/>
    <n v="30"/>
    <d v="2016-05-31T00:00:00"/>
    <x v="1"/>
    <n v="3"/>
    <n v="1"/>
    <n v="2"/>
    <n v="0"/>
    <n v="344074"/>
  </r>
  <r>
    <n v="8146356"/>
    <s v="Preferencial"/>
    <n v="15560641"/>
    <s v="Tarjeta"/>
    <n v="10256139"/>
    <n v="2786841"/>
    <n v="210978"/>
    <n v="30"/>
    <d v="2016-05-31T00:00:00"/>
    <x v="1"/>
    <n v="3"/>
    <n v="1"/>
    <n v="2"/>
    <n v="1"/>
    <n v="2786841"/>
  </r>
  <r>
    <n v="8146356"/>
    <s v="Preferencial"/>
    <n v="15561187"/>
    <s v="Tarjeta"/>
    <n v="10256139"/>
    <n v="3739938"/>
    <n v="313501"/>
    <n v="30"/>
    <d v="2016-05-31T00:00:00"/>
    <x v="1"/>
    <n v="3"/>
    <n v="0"/>
    <n v="3"/>
    <n v="1"/>
    <n v="156751"/>
  </r>
  <r>
    <n v="8146680"/>
    <s v="Micro pyme"/>
    <n v="10589807"/>
    <s v="Tarjeta"/>
    <n v="663866"/>
    <n v="663866"/>
    <n v="7806"/>
    <n v="30"/>
    <d v="2016-05-31T00:00:00"/>
    <x v="1"/>
    <n v="3"/>
    <n v="1"/>
    <n v="2"/>
    <n v="2"/>
    <n v="0"/>
  </r>
  <r>
    <n v="8147134"/>
    <s v="Micro pyme"/>
    <n v="27154443"/>
    <s v="Tarjeta"/>
    <n v="4602159"/>
    <n v="1478064"/>
    <n v="54829"/>
    <n v="30"/>
    <d v="2016-05-31T00:00:00"/>
    <x v="1"/>
    <n v="3"/>
    <n v="1"/>
    <n v="2"/>
    <n v="0"/>
    <n v="0"/>
  </r>
  <r>
    <n v="8147204"/>
    <s v="Personal"/>
    <n v="27138725"/>
    <s v="Tarjeta"/>
    <n v="11689191"/>
    <n v="5087699"/>
    <n v="143366"/>
    <n v="30"/>
    <d v="2016-05-19T00:00:00"/>
    <x v="0"/>
    <n v="3"/>
    <n v="1"/>
    <n v="2"/>
    <n v="0"/>
    <n v="0"/>
  </r>
  <r>
    <n v="8147976"/>
    <s v="Micro pyme"/>
    <n v="22912840"/>
    <s v="Tarjeta"/>
    <n v="526048"/>
    <n v="526048"/>
    <n v="184168"/>
    <n v="60"/>
    <d v="2016-05-01T00:00:00"/>
    <x v="0"/>
    <n v="3"/>
    <n v="2"/>
    <n v="1"/>
    <n v="1"/>
    <n v="92084"/>
  </r>
  <r>
    <n v="8148012"/>
    <s v="Micro pyme"/>
    <n v="26918078"/>
    <s v="Tarjeta"/>
    <n v="641684"/>
    <n v="639699"/>
    <n v="288051"/>
    <n v="30"/>
    <d v="2016-05-18T00:00:00"/>
    <x v="0"/>
    <n v="3"/>
    <n v="1"/>
    <n v="2"/>
    <n v="0"/>
    <n v="288051"/>
  </r>
  <r>
    <n v="8148012"/>
    <s v="Micro pyme"/>
    <n v="26918957"/>
    <s v="Tarjeta"/>
    <n v="641684"/>
    <n v="1985"/>
    <n v="1985"/>
    <n v="60"/>
    <d v="2016-04-21T00:00:00"/>
    <x v="0"/>
    <n v="3"/>
    <n v="0"/>
    <n v="3"/>
    <n v="2"/>
    <n v="993"/>
  </r>
  <r>
    <n v="8148376"/>
    <s v="Micro pyme"/>
    <n v="16869327"/>
    <s v="Tarjeta"/>
    <n v="740827"/>
    <n v="740827"/>
    <n v="740778"/>
    <n v="30"/>
    <d v="2016-05-18T00:00:00"/>
    <x v="0"/>
    <n v="3"/>
    <n v="1"/>
    <n v="2"/>
    <n v="1"/>
    <n v="246926"/>
  </r>
  <r>
    <n v="8148804"/>
    <s v="Micro pyme"/>
    <n v="24807483"/>
    <s v="Tarjeta"/>
    <n v="1050906"/>
    <n v="1050906"/>
    <n v="79570"/>
    <n v="30"/>
    <d v="2016-05-31T00:00:00"/>
    <x v="1"/>
    <n v="3"/>
    <n v="1"/>
    <n v="2"/>
    <n v="0"/>
    <n v="0"/>
  </r>
  <r>
    <n v="8149563"/>
    <s v="Micro pyme"/>
    <n v="22789135"/>
    <s v="Tarjeta"/>
    <n v="2100422"/>
    <n v="926330"/>
    <n v="3902"/>
    <n v="30"/>
    <d v="2016-05-01T00:00:00"/>
    <x v="0"/>
    <n v="3"/>
    <n v="1"/>
    <n v="2"/>
    <n v="1"/>
    <n v="0"/>
  </r>
  <r>
    <n v="8149563"/>
    <s v="Micro pyme"/>
    <n v="22789722"/>
    <s v="Tarjeta"/>
    <n v="2100422"/>
    <n v="1174092"/>
    <n v="335006"/>
    <n v="60"/>
    <d v="2016-04-30T00:00:00"/>
    <x v="0"/>
    <n v="3"/>
    <n v="1"/>
    <n v="2"/>
    <n v="0"/>
    <n v="0"/>
  </r>
  <r>
    <n v="8149652"/>
    <s v="Preferencial"/>
    <n v="14265682"/>
    <s v="Tarjeta"/>
    <n v="65246007"/>
    <n v="939625"/>
    <n v="81077"/>
    <n v="30"/>
    <d v="2016-05-19T00:00:00"/>
    <x v="2"/>
    <n v="3"/>
    <n v="0"/>
    <n v="3"/>
    <n v="2"/>
    <n v="0"/>
  </r>
  <r>
    <n v="8149652"/>
    <s v="Preferencial"/>
    <n v="16980898"/>
    <s v="Tarjeta"/>
    <n v="65246007"/>
    <n v="8058584"/>
    <n v="473160"/>
    <n v="30"/>
    <d v="2016-05-18T00:00:00"/>
    <x v="2"/>
    <n v="3"/>
    <n v="1"/>
    <n v="2"/>
    <n v="1"/>
    <n v="0"/>
  </r>
  <r>
    <n v="8149652"/>
    <s v="Preferencial"/>
    <n v="23954312"/>
    <s v="Tarjeta"/>
    <n v="65246007"/>
    <n v="3794184"/>
    <n v="568806"/>
    <n v="60"/>
    <d v="2016-04-30T00:00:00"/>
    <x v="2"/>
    <n v="3"/>
    <n v="1"/>
    <n v="2"/>
    <n v="0"/>
    <n v="0"/>
  </r>
  <r>
    <n v="8149873"/>
    <s v="Micro pyme"/>
    <n v="21128782"/>
    <s v="Tarjeta"/>
    <n v="2061818"/>
    <n v="953538"/>
    <n v="7806"/>
    <n v="30"/>
    <d v="2016-05-31T00:00:00"/>
    <x v="1"/>
    <n v="3"/>
    <n v="1"/>
    <n v="2"/>
    <n v="1"/>
    <n v="2602"/>
  </r>
  <r>
    <n v="8149873"/>
    <s v="Micro pyme"/>
    <n v="21130021"/>
    <s v="Tarjeta"/>
    <n v="2061818"/>
    <n v="971400"/>
    <n v="3902"/>
    <n v="30"/>
    <d v="2016-05-31T00:00:00"/>
    <x v="1"/>
    <n v="3"/>
    <n v="1"/>
    <n v="2"/>
    <n v="0"/>
    <n v="3902"/>
  </r>
  <r>
    <n v="8150642"/>
    <s v="Micro pyme"/>
    <n v="21255889"/>
    <s v="Tarjeta"/>
    <n v="1386019"/>
    <n v="1386019"/>
    <n v="204090"/>
    <n v="30"/>
    <d v="2016-05-18T00:00:00"/>
    <x v="0"/>
    <n v="3"/>
    <n v="0"/>
    <n v="3"/>
    <n v="2"/>
    <n v="0"/>
  </r>
  <r>
    <n v="8150722"/>
    <s v="Micro pyme"/>
    <n v="24211866"/>
    <s v="Tarjeta"/>
    <n v="3093246"/>
    <n v="3093246"/>
    <n v="356731"/>
    <n v="30"/>
    <d v="2016-05-18T00:00:00"/>
    <x v="0"/>
    <n v="3"/>
    <n v="1"/>
    <n v="2"/>
    <n v="1"/>
    <n v="356731"/>
  </r>
  <r>
    <n v="8151650"/>
    <s v="Micro pyme"/>
    <n v="25137085"/>
    <s v="Tarjeta"/>
    <n v="416537"/>
    <n v="416537"/>
    <n v="356952"/>
    <n v="60"/>
    <d v="2016-05-01T00:00:00"/>
    <x v="0"/>
    <n v="3"/>
    <n v="1"/>
    <n v="2"/>
    <n v="0"/>
    <n v="0"/>
  </r>
  <r>
    <n v="8151925"/>
    <s v="Micro pyme"/>
    <n v="26319431"/>
    <s v="Tarjeta"/>
    <n v="2306098"/>
    <n v="2030862"/>
    <n v="44541"/>
    <n v="30"/>
    <d v="2016-05-31T00:00:00"/>
    <x v="1"/>
    <n v="3"/>
    <n v="1"/>
    <n v="2"/>
    <n v="1"/>
    <n v="0"/>
  </r>
  <r>
    <n v="8152781"/>
    <s v="Micro pyme"/>
    <n v="26226398"/>
    <s v="Tarjeta"/>
    <n v="735580"/>
    <n v="735580"/>
    <n v="215434"/>
    <n v="90"/>
    <d v="2016-05-28T00:00:00"/>
    <x v="0"/>
    <n v="3"/>
    <n v="2"/>
    <n v="1"/>
    <n v="0"/>
    <n v="0"/>
  </r>
  <r>
    <n v="8153448"/>
    <s v="Personal"/>
    <n v="26125116"/>
    <s v="Tarjeta"/>
    <n v="12267114"/>
    <n v="2972446"/>
    <n v="969253"/>
    <n v="90"/>
    <d v="2016-05-21T00:00:00"/>
    <x v="2"/>
    <n v="3"/>
    <n v="1"/>
    <n v="2"/>
    <n v="1"/>
    <n v="2972446"/>
  </r>
  <r>
    <n v="8153448"/>
    <s v="Personal"/>
    <n v="26129875"/>
    <s v="Consumo"/>
    <n v="12267114"/>
    <n v="9294668"/>
    <n v="1167353"/>
    <n v="107"/>
    <d v="2016-05-21T00:00:00"/>
    <x v="2"/>
    <n v="3"/>
    <n v="0"/>
    <n v="3"/>
    <n v="1"/>
    <n v="389117"/>
  </r>
  <r>
    <n v="8153540"/>
    <s v="Preferencial"/>
    <n v="25028738"/>
    <s v="Tarjeta"/>
    <n v="14509525"/>
    <n v="545213"/>
    <n v="84309"/>
    <n v="30"/>
    <d v="2016-05-18T00:00:00"/>
    <x v="0"/>
    <n v="3"/>
    <n v="1"/>
    <n v="2"/>
    <n v="1"/>
    <n v="545213"/>
  </r>
  <r>
    <n v="8153540"/>
    <s v="Preferencial"/>
    <n v="26813496"/>
    <s v="Tarjeta"/>
    <n v="14509525"/>
    <n v="737987"/>
    <n v="133769"/>
    <n v="30"/>
    <d v="2016-05-18T00:00:00"/>
    <x v="0"/>
    <n v="3"/>
    <n v="1"/>
    <n v="2"/>
    <n v="1"/>
    <n v="66884"/>
  </r>
  <r>
    <n v="8153587"/>
    <s v="Micro pyme"/>
    <n v="24000694"/>
    <s v="Tarjeta"/>
    <n v="1407469"/>
    <n v="728831"/>
    <n v="147704"/>
    <n v="30"/>
    <d v="2016-05-31T00:00:00"/>
    <x v="1"/>
    <n v="3"/>
    <n v="1"/>
    <n v="2"/>
    <n v="0"/>
    <n v="0"/>
  </r>
  <r>
    <n v="8159247"/>
    <s v="Micro pyme"/>
    <n v="24925294"/>
    <s v="Tarjeta"/>
    <n v="995802"/>
    <n v="493530"/>
    <n v="493530"/>
    <n v="90"/>
    <d v="2016-05-18T00:00:00"/>
    <x v="0"/>
    <n v="3"/>
    <n v="1"/>
    <n v="2"/>
    <n v="1"/>
    <n v="0"/>
  </r>
  <r>
    <n v="8159247"/>
    <s v="Micro pyme"/>
    <n v="24925514"/>
    <s v="Tarjeta"/>
    <n v="995802"/>
    <n v="502273"/>
    <n v="502273"/>
    <n v="90"/>
    <d v="2016-05-18T00:00:00"/>
    <x v="0"/>
    <n v="3"/>
    <n v="0"/>
    <n v="3"/>
    <n v="1"/>
    <n v="0"/>
  </r>
  <r>
    <n v="8159304"/>
    <s v="Micro pyme"/>
    <n v="25008009"/>
    <s v="Tarjeta"/>
    <n v="897545"/>
    <n v="897545"/>
    <n v="132"/>
    <n v="30"/>
    <d v="2016-05-19T00:00:00"/>
    <x v="0"/>
    <n v="3"/>
    <n v="1"/>
    <n v="2"/>
    <n v="1"/>
    <n v="66"/>
  </r>
  <r>
    <n v="8159820"/>
    <s v="Personal"/>
    <n v="22290865"/>
    <s v="Tarjeta"/>
    <n v="8319888"/>
    <n v="2253800"/>
    <n v="495559"/>
    <n v="90"/>
    <d v="2016-05-18T00:00:00"/>
    <x v="2"/>
    <n v="3"/>
    <n v="1"/>
    <n v="2"/>
    <n v="1"/>
    <n v="0"/>
  </r>
  <r>
    <n v="8159820"/>
    <s v="Personal"/>
    <n v="22291304"/>
    <s v="Tarjeta"/>
    <n v="8319888"/>
    <n v="3189842"/>
    <n v="621391"/>
    <n v="90"/>
    <d v="2016-05-18T00:00:00"/>
    <x v="2"/>
    <n v="3"/>
    <n v="1"/>
    <n v="2"/>
    <n v="0"/>
    <n v="207131"/>
  </r>
  <r>
    <n v="8159820"/>
    <s v="Personal"/>
    <n v="24951061"/>
    <s v="Tarjeta"/>
    <n v="8319888"/>
    <n v="2876246"/>
    <n v="2876246"/>
    <n v="240"/>
    <d v="2016-02-28T00:00:00"/>
    <x v="2"/>
    <n v="3"/>
    <n v="1"/>
    <n v="2"/>
    <n v="1"/>
    <n v="2876246"/>
  </r>
  <r>
    <n v="8160167"/>
    <s v="Micro pyme"/>
    <n v="2861483"/>
    <s v="Tarjeta"/>
    <n v="707139"/>
    <n v="707139"/>
    <n v="108136"/>
    <n v="30"/>
    <d v="2016-05-31T00:00:00"/>
    <x v="1"/>
    <n v="3"/>
    <n v="0"/>
    <n v="3"/>
    <n v="1"/>
    <n v="108136"/>
  </r>
  <r>
    <n v="8160262"/>
    <s v="Micro pyme"/>
    <n v="26180107"/>
    <s v="Tarjeta"/>
    <n v="603239"/>
    <n v="603239"/>
    <n v="135668"/>
    <n v="30"/>
    <d v="2016-05-18T00:00:00"/>
    <x v="0"/>
    <n v="3"/>
    <n v="1"/>
    <n v="2"/>
    <n v="1"/>
    <n v="135668"/>
  </r>
  <r>
    <n v="8160270"/>
    <s v="Micro pyme"/>
    <n v="27760880"/>
    <s v="Tarjeta"/>
    <n v="803940"/>
    <n v="803940"/>
    <n v="19433"/>
    <n v="30"/>
    <d v="2016-05-31T00:00:00"/>
    <x v="1"/>
    <n v="3"/>
    <n v="1"/>
    <n v="2"/>
    <n v="1"/>
    <n v="9717"/>
  </r>
  <r>
    <n v="8160623"/>
    <s v="Personal"/>
    <n v="21313010"/>
    <s v="Consumo"/>
    <n v="3283505"/>
    <n v="2290843"/>
    <n v="388958"/>
    <n v="92"/>
    <d v="2016-06-07T00:00:00"/>
    <x v="2"/>
    <n v="3"/>
    <n v="1"/>
    <n v="2"/>
    <n v="0"/>
    <n v="2290843"/>
  </r>
  <r>
    <n v="8160623"/>
    <s v="Personal"/>
    <n v="27645067"/>
    <s v="Tarjeta"/>
    <n v="3283505"/>
    <n v="992662"/>
    <n v="496923"/>
    <n v="90"/>
    <d v="2016-06-07T00:00:00"/>
    <x v="2"/>
    <n v="3"/>
    <n v="2"/>
    <n v="1"/>
    <n v="1"/>
    <n v="165641"/>
  </r>
  <r>
    <n v="8160956"/>
    <s v="Personal"/>
    <n v="21942759"/>
    <s v="Tarjeta"/>
    <n v="3650022"/>
    <n v="1273964"/>
    <n v="3429"/>
    <n v="30"/>
    <d v="2016-04-21T00:00:00"/>
    <x v="0"/>
    <n v="3"/>
    <n v="1"/>
    <n v="2"/>
    <n v="0"/>
    <n v="3429"/>
  </r>
  <r>
    <n v="8160956"/>
    <s v="Personal"/>
    <n v="21943359"/>
    <s v="Tarjeta"/>
    <n v="3650022"/>
    <n v="1144768"/>
    <n v="3902"/>
    <n v="30"/>
    <d v="2016-04-27T00:00:00"/>
    <x v="0"/>
    <n v="3"/>
    <n v="0"/>
    <n v="3"/>
    <n v="1"/>
    <n v="3902"/>
  </r>
  <r>
    <n v="8160956"/>
    <s v="Personal"/>
    <n v="21943838"/>
    <s v="Tarjeta"/>
    <n v="3650022"/>
    <n v="1231290"/>
    <n v="3902"/>
    <n v="30"/>
    <d v="2016-04-20T00:00:00"/>
    <x v="0"/>
    <n v="3"/>
    <n v="1"/>
    <n v="2"/>
    <n v="2"/>
    <n v="0"/>
  </r>
  <r>
    <n v="8161759"/>
    <s v="Micro pyme"/>
    <n v="24392059"/>
    <s v="Tarjeta"/>
    <n v="1594542"/>
    <n v="1594542"/>
    <n v="135805"/>
    <n v="30"/>
    <d v="2016-05-31T00:00:00"/>
    <x v="1"/>
    <n v="3"/>
    <n v="1"/>
    <n v="2"/>
    <n v="0"/>
    <n v="0"/>
  </r>
  <r>
    <n v="8161857"/>
    <s v="Micro pyme"/>
    <n v="28595455"/>
    <s v="Tarjeta"/>
    <n v="1818144"/>
    <n v="1818144"/>
    <n v="74653"/>
    <n v="30"/>
    <d v="2016-06-03T00:00:00"/>
    <x v="0"/>
    <n v="3"/>
    <n v="1"/>
    <n v="2"/>
    <n v="1"/>
    <n v="0"/>
  </r>
  <r>
    <n v="8162090"/>
    <s v="Personal"/>
    <n v="12041523"/>
    <s v="Tarjeta"/>
    <n v="7587364"/>
    <n v="4680569"/>
    <n v="291811"/>
    <n v="30"/>
    <d v="2016-05-18T00:00:00"/>
    <x v="0"/>
    <n v="3"/>
    <n v="1"/>
    <n v="2"/>
    <n v="0"/>
    <n v="0"/>
  </r>
  <r>
    <n v="8162090"/>
    <s v="Personal"/>
    <n v="20732916"/>
    <s v="Tarjeta"/>
    <n v="7587364"/>
    <n v="52554"/>
    <n v="26360"/>
    <n v="30"/>
    <d v="2016-05-28T00:00:00"/>
    <x v="0"/>
    <n v="3"/>
    <n v="0"/>
    <n v="3"/>
    <n v="1"/>
    <n v="0"/>
  </r>
  <r>
    <n v="8162090"/>
    <s v="Personal"/>
    <n v="20736069"/>
    <s v="Tarjeta"/>
    <n v="7587364"/>
    <n v="2854242"/>
    <n v="222018"/>
    <n v="30"/>
    <d v="2016-05-29T00:00:00"/>
    <x v="0"/>
    <n v="3"/>
    <n v="1"/>
    <n v="2"/>
    <n v="2"/>
    <n v="74006"/>
  </r>
  <r>
    <n v="8162545"/>
    <s v="Personal"/>
    <n v="20841513"/>
    <s v="Libranza"/>
    <n v="4789448"/>
    <n v="1784835"/>
    <n v="121322"/>
    <n v="3"/>
    <d v="2016-06-08T00:00:00"/>
    <x v="1"/>
    <n v="3"/>
    <n v="1"/>
    <n v="2"/>
    <n v="0"/>
    <n v="0"/>
  </r>
  <r>
    <n v="8162545"/>
    <s v="Personal"/>
    <n v="22625570"/>
    <s v="Tarjeta"/>
    <n v="4789448"/>
    <n v="3004613"/>
    <n v="199087"/>
    <n v="30"/>
    <d v="2016-05-31T00:00:00"/>
    <x v="1"/>
    <n v="3"/>
    <n v="1"/>
    <n v="2"/>
    <n v="1"/>
    <n v="0"/>
  </r>
  <r>
    <n v="8162900"/>
    <s v="Personal"/>
    <n v="26490081"/>
    <s v="Tarjeta"/>
    <n v="13614874"/>
    <n v="195147"/>
    <n v="66210"/>
    <n v="60"/>
    <d v="2016-05-01T00:00:00"/>
    <x v="0"/>
    <n v="3"/>
    <n v="1"/>
    <n v="2"/>
    <n v="0"/>
    <n v="0"/>
  </r>
  <r>
    <n v="8163083"/>
    <s v="Micro pyme"/>
    <n v="26691394"/>
    <s v="Tarjeta"/>
    <n v="1363259"/>
    <n v="1363259"/>
    <n v="185711"/>
    <n v="30"/>
    <d v="2016-05-18T00:00:00"/>
    <x v="0"/>
    <n v="3"/>
    <n v="0"/>
    <n v="3"/>
    <n v="1"/>
    <n v="0"/>
  </r>
  <r>
    <n v="8163089"/>
    <s v="Micro pyme"/>
    <n v="23261406"/>
    <s v="Tarjeta"/>
    <n v="173215"/>
    <n v="173215"/>
    <n v="173215"/>
    <n v="150"/>
    <d v="2016-05-18T00:00:00"/>
    <x v="2"/>
    <n v="3"/>
    <n v="1"/>
    <n v="2"/>
    <n v="2"/>
    <n v="173215"/>
  </r>
  <r>
    <n v="8163206"/>
    <s v="Micro pyme"/>
    <n v="21051982"/>
    <s v="Tarjeta"/>
    <n v="1887250"/>
    <n v="1887250"/>
    <n v="667225"/>
    <n v="60"/>
    <d v="2016-04-20T00:00:00"/>
    <x v="0"/>
    <n v="3"/>
    <n v="1"/>
    <n v="2"/>
    <n v="0"/>
    <n v="0"/>
  </r>
  <r>
    <n v="8163225"/>
    <s v="Personal"/>
    <n v="14785233"/>
    <s v="Tarjeta"/>
    <n v="9848543"/>
    <n v="3347684"/>
    <n v="281931"/>
    <n v="30"/>
    <d v="2016-05-18T00:00:00"/>
    <x v="0"/>
    <n v="3"/>
    <n v="1"/>
    <n v="2"/>
    <n v="1"/>
    <n v="140966"/>
  </r>
  <r>
    <n v="8163225"/>
    <s v="Personal"/>
    <n v="24997522"/>
    <s v="Tarjeta"/>
    <n v="9848543"/>
    <n v="2543713"/>
    <n v="663683"/>
    <n v="60"/>
    <d v="2016-04-30T00:00:00"/>
    <x v="0"/>
    <n v="3"/>
    <n v="2"/>
    <n v="1"/>
    <n v="0"/>
    <n v="663683"/>
  </r>
  <r>
    <n v="8163268"/>
    <s v="Micro pyme"/>
    <n v="27339206"/>
    <s v="Tarjeta"/>
    <n v="1697982"/>
    <n v="1697982"/>
    <n v="128466"/>
    <n v="30"/>
    <d v="2016-05-31T00:00:00"/>
    <x v="1"/>
    <n v="3"/>
    <n v="1"/>
    <n v="2"/>
    <n v="0"/>
    <n v="128466"/>
  </r>
  <r>
    <n v="8163501"/>
    <s v="Preferencial"/>
    <n v="21616089"/>
    <s v="Tarjeta"/>
    <n v="16654937"/>
    <n v="3638964"/>
    <n v="307844"/>
    <n v="30"/>
    <d v="2016-05-18T00:00:00"/>
    <x v="0"/>
    <n v="3"/>
    <n v="0"/>
    <n v="3"/>
    <n v="2"/>
    <n v="0"/>
  </r>
  <r>
    <n v="8163501"/>
    <s v="Preferencial"/>
    <n v="21618226"/>
    <s v="Tarjeta"/>
    <n v="16654937"/>
    <n v="3654564"/>
    <n v="306548"/>
    <n v="30"/>
    <d v="2016-05-19T00:00:00"/>
    <x v="0"/>
    <n v="3"/>
    <n v="1"/>
    <n v="2"/>
    <n v="1"/>
    <n v="306548"/>
  </r>
  <r>
    <n v="8163501"/>
    <s v="Preferencial"/>
    <n v="21621233"/>
    <s v="Tarjeta"/>
    <n v="16654937"/>
    <n v="5630941"/>
    <n v="495485"/>
    <n v="30"/>
    <d v="2016-05-18T00:00:00"/>
    <x v="0"/>
    <n v="3"/>
    <n v="1"/>
    <n v="2"/>
    <n v="1"/>
    <n v="0"/>
  </r>
  <r>
    <n v="8163501"/>
    <s v="Preferencial"/>
    <n v="24110082"/>
    <s v="Consumo"/>
    <n v="16654937"/>
    <n v="3730468"/>
    <n v="181423"/>
    <n v="27"/>
    <d v="2016-05-18T00:00:00"/>
    <x v="0"/>
    <n v="3"/>
    <n v="1"/>
    <n v="2"/>
    <n v="0"/>
    <n v="181423"/>
  </r>
  <r>
    <n v="8163541"/>
    <s v="Micro pyme"/>
    <n v="24920834"/>
    <s v="Tarjeta"/>
    <n v="809042"/>
    <n v="809042"/>
    <n v="28822"/>
    <n v="30"/>
    <d v="2016-05-31T00:00:00"/>
    <x v="1"/>
    <n v="3"/>
    <n v="1"/>
    <n v="2"/>
    <n v="0"/>
    <n v="809042"/>
  </r>
  <r>
    <n v="8163778"/>
    <s v="Micro pyme"/>
    <n v="27381420"/>
    <s v="Tarjeta"/>
    <n v="1205746"/>
    <n v="1205746"/>
    <n v="178639"/>
    <n v="30"/>
    <d v="2016-05-31T00:00:00"/>
    <x v="1"/>
    <n v="3"/>
    <n v="0"/>
    <n v="3"/>
    <n v="2"/>
    <n v="59546"/>
  </r>
  <r>
    <n v="8163809"/>
    <s v="Micro pyme"/>
    <n v="26370927"/>
    <s v="Tarjeta"/>
    <n v="2843356"/>
    <n v="2843356"/>
    <n v="2843356"/>
    <n v="150"/>
    <d v="2016-05-29T00:00:00"/>
    <x v="2"/>
    <n v="3"/>
    <n v="1"/>
    <n v="2"/>
    <n v="1"/>
    <n v="0"/>
  </r>
  <r>
    <n v="8163832"/>
    <s v="Micro pyme"/>
    <n v="24843109"/>
    <s v="Tarjeta"/>
    <n v="179012"/>
    <n v="179012"/>
    <n v="52061"/>
    <n v="30"/>
    <d v="2016-05-31T00:00:00"/>
    <x v="1"/>
    <n v="3"/>
    <n v="1"/>
    <n v="2"/>
    <n v="1"/>
    <n v="0"/>
  </r>
  <r>
    <n v="8164317"/>
    <s v="Personal"/>
    <n v="24836777"/>
    <s v="Tarjeta"/>
    <n v="10945736"/>
    <n v="1221509"/>
    <n v="7399"/>
    <n v="30"/>
    <d v="2016-05-31T00:00:00"/>
    <x v="1"/>
    <n v="3"/>
    <n v="1"/>
    <n v="2"/>
    <n v="0"/>
    <n v="0"/>
  </r>
  <r>
    <n v="8164706"/>
    <s v="Micro pyme"/>
    <n v="27675670"/>
    <s v="Tarjeta"/>
    <n v="406792"/>
    <n v="406792"/>
    <n v="189556"/>
    <n v="60"/>
    <d v="2016-04-20T00:00:00"/>
    <x v="0"/>
    <n v="3"/>
    <n v="1"/>
    <n v="2"/>
    <n v="0"/>
    <n v="94778"/>
  </r>
  <r>
    <n v="8164716"/>
    <s v="Micro pyme"/>
    <n v="23812101"/>
    <s v="Tarjeta"/>
    <n v="3716003"/>
    <n v="3044833"/>
    <n v="170877"/>
    <n v="30"/>
    <d v="2016-05-31T00:00:00"/>
    <x v="1"/>
    <n v="3"/>
    <n v="0"/>
    <n v="3"/>
    <n v="2"/>
    <n v="0"/>
  </r>
  <r>
    <n v="8164846"/>
    <s v="Personal"/>
    <n v="24213987"/>
    <s v="Tarjeta"/>
    <n v="5550455"/>
    <n v="1934160"/>
    <n v="177245"/>
    <n v="30"/>
    <d v="2016-05-31T00:00:00"/>
    <x v="1"/>
    <n v="3"/>
    <n v="1"/>
    <n v="2"/>
    <n v="1"/>
    <n v="88622"/>
  </r>
  <r>
    <n v="8164886"/>
    <s v="Personal"/>
    <n v="26205139"/>
    <s v="Tarjeta"/>
    <n v="3445579"/>
    <n v="2030467"/>
    <n v="2030467"/>
    <n v="150"/>
    <d v="2016-05-29T00:00:00"/>
    <x v="2"/>
    <n v="3"/>
    <n v="1"/>
    <n v="2"/>
    <n v="1"/>
    <n v="0"/>
  </r>
  <r>
    <n v="8164886"/>
    <s v="Personal"/>
    <n v="26206180"/>
    <s v="Tarjeta"/>
    <n v="3445579"/>
    <n v="1415112"/>
    <n v="1415112"/>
    <n v="330"/>
    <d v="2016-04-27T00:00:00"/>
    <x v="2"/>
    <n v="3"/>
    <n v="1"/>
    <n v="2"/>
    <n v="0"/>
    <n v="0"/>
  </r>
  <r>
    <n v="8164974"/>
    <s v="Micro pyme"/>
    <n v="25826418"/>
    <s v="Tarjeta"/>
    <n v="3300498"/>
    <n v="1584462"/>
    <n v="59970"/>
    <n v="30"/>
    <d v="2016-05-31T00:00:00"/>
    <x v="1"/>
    <n v="3"/>
    <n v="2"/>
    <n v="1"/>
    <n v="0"/>
    <n v="59970"/>
  </r>
  <r>
    <n v="8165150"/>
    <s v="Personal"/>
    <n v="25261181"/>
    <s v="Tarjeta"/>
    <n v="6824068"/>
    <n v="1076164"/>
    <n v="79965"/>
    <n v="30"/>
    <d v="2016-05-18T00:00:00"/>
    <x v="0"/>
    <n v="3"/>
    <n v="1"/>
    <n v="2"/>
    <n v="1"/>
    <n v="1076164"/>
  </r>
  <r>
    <n v="8165309"/>
    <s v="Micro pyme"/>
    <n v="27696033"/>
    <s v="Tarjeta"/>
    <n v="1721703"/>
    <n v="1721703"/>
    <n v="219902"/>
    <n v="30"/>
    <d v="2016-05-31T00:00:00"/>
    <x v="1"/>
    <n v="3"/>
    <n v="0"/>
    <n v="3"/>
    <n v="1"/>
    <n v="0"/>
  </r>
  <r>
    <n v="8165415"/>
    <s v="Micro pyme"/>
    <n v="21264525"/>
    <s v="Tarjeta"/>
    <n v="2621305"/>
    <n v="1527596"/>
    <n v="144873"/>
    <n v="30"/>
    <d v="2016-05-18T00:00:00"/>
    <x v="0"/>
    <n v="3"/>
    <n v="1"/>
    <n v="2"/>
    <n v="2"/>
    <n v="48291"/>
  </r>
  <r>
    <n v="8165415"/>
    <s v="Micro pyme"/>
    <n v="28584076"/>
    <s v="Tarjeta"/>
    <n v="2621305"/>
    <n v="1093709"/>
    <n v="101794"/>
    <n v="30"/>
    <d v="2016-06-02T00:00:00"/>
    <x v="0"/>
    <n v="3"/>
    <n v="1"/>
    <n v="2"/>
    <n v="0"/>
    <n v="0"/>
  </r>
  <r>
    <n v="8165420"/>
    <s v="Personal"/>
    <n v="27823013"/>
    <s v="Tarjeta"/>
    <n v="9910905"/>
    <n v="4294731"/>
    <n v="121438"/>
    <n v="30"/>
    <d v="2016-05-31T00:00:00"/>
    <x v="1"/>
    <n v="3"/>
    <n v="1"/>
    <n v="2"/>
    <n v="0"/>
    <n v="0"/>
  </r>
  <r>
    <n v="8165423"/>
    <s v="Micro pyme"/>
    <n v="27019405"/>
    <s v="Tarjeta"/>
    <n v="634044"/>
    <n v="634044"/>
    <n v="54703"/>
    <n v="30"/>
    <d v="2016-05-31T00:00:00"/>
    <x v="1"/>
    <n v="3"/>
    <n v="1"/>
    <n v="2"/>
    <n v="1"/>
    <n v="54703"/>
  </r>
  <r>
    <n v="8165559"/>
    <s v="Micro pyme"/>
    <n v="24129857"/>
    <s v="Tarjeta"/>
    <n v="3081302"/>
    <n v="1817577"/>
    <n v="43937"/>
    <n v="30"/>
    <d v="2016-05-31T00:00:00"/>
    <x v="1"/>
    <n v="3"/>
    <n v="0"/>
    <n v="3"/>
    <n v="1"/>
    <n v="14645"/>
  </r>
  <r>
    <n v="8165867"/>
    <s v="Micro pyme"/>
    <n v="28083468"/>
    <s v="Tarjeta"/>
    <n v="4942952"/>
    <n v="4942952"/>
    <n v="449976"/>
    <n v="30"/>
    <d v="2016-05-31T00:00:00"/>
    <x v="1"/>
    <n v="3"/>
    <n v="1"/>
    <n v="2"/>
    <n v="2"/>
    <n v="0"/>
  </r>
  <r>
    <n v="8165887"/>
    <s v="Preferencial"/>
    <n v="11364019"/>
    <s v="Tarjeta"/>
    <n v="28577063"/>
    <n v="3030970"/>
    <n v="798098"/>
    <n v="90"/>
    <d v="2016-05-11T00:00:00"/>
    <x v="2"/>
    <n v="3"/>
    <n v="1"/>
    <n v="2"/>
    <n v="0"/>
    <n v="798098"/>
  </r>
  <r>
    <n v="8165887"/>
    <s v="Preferencial"/>
    <n v="26704806"/>
    <s v="Vehiculo"/>
    <n v="28577063"/>
    <n v="25546093"/>
    <n v="3211113"/>
    <n v="118"/>
    <d v="2016-05-11T00:00:00"/>
    <x v="2"/>
    <n v="3"/>
    <n v="1"/>
    <n v="2"/>
    <n v="0"/>
    <n v="1070371"/>
  </r>
  <r>
    <n v="8165993"/>
    <s v="Preferencial"/>
    <n v="4366591"/>
    <s v="Hipotercario"/>
    <n v="21196708"/>
    <n v="19369075"/>
    <n v="442959"/>
    <n v="2"/>
    <d v="2016-06-08T00:00:00"/>
    <x v="1"/>
    <n v="3"/>
    <n v="1"/>
    <n v="2"/>
    <n v="1"/>
    <n v="221480"/>
  </r>
  <r>
    <n v="8165993"/>
    <s v="Preferencial"/>
    <n v="26466300"/>
    <s v="Tarjeta"/>
    <n v="21196708"/>
    <n v="1827633"/>
    <n v="621228"/>
    <n v="30"/>
    <d v="2016-05-31T00:00:00"/>
    <x v="1"/>
    <n v="3"/>
    <n v="0"/>
    <n v="3"/>
    <n v="1"/>
    <n v="0"/>
  </r>
  <r>
    <n v="8165995"/>
    <s v="Personal"/>
    <n v="19787114"/>
    <s v="Tarjeta"/>
    <n v="6788101"/>
    <n v="2577289"/>
    <n v="1400872"/>
    <n v="60"/>
    <d v="2016-05-01T00:00:00"/>
    <x v="0"/>
    <n v="3"/>
    <n v="1"/>
    <n v="2"/>
    <n v="2"/>
    <n v="466957"/>
  </r>
  <r>
    <n v="8165995"/>
    <s v="Personal"/>
    <n v="28584115"/>
    <s v="Tarjeta"/>
    <n v="6788101"/>
    <n v="4210812"/>
    <n v="623889"/>
    <n v="60"/>
    <d v="2016-06-02T00:00:00"/>
    <x v="0"/>
    <n v="3"/>
    <n v="1"/>
    <n v="2"/>
    <n v="0"/>
    <n v="623889"/>
  </r>
  <r>
    <n v="8166018"/>
    <s v="Micro pyme"/>
    <n v="26407894"/>
    <s v="Tarjeta"/>
    <n v="252395"/>
    <n v="252395"/>
    <n v="70129"/>
    <n v="30"/>
    <d v="2016-05-31T00:00:00"/>
    <x v="1"/>
    <n v="3"/>
    <n v="1"/>
    <n v="2"/>
    <n v="0"/>
    <n v="70129"/>
  </r>
  <r>
    <n v="8166066"/>
    <s v="Micro pyme"/>
    <n v="25450737"/>
    <s v="Tarjeta"/>
    <n v="378038"/>
    <n v="378038"/>
    <n v="378038"/>
    <n v="150"/>
    <d v="2016-05-18T00:00:00"/>
    <x v="2"/>
    <n v="3"/>
    <n v="2"/>
    <n v="1"/>
    <n v="1"/>
    <n v="0"/>
  </r>
  <r>
    <n v="8166124"/>
    <s v="Micro pyme"/>
    <n v="25535320"/>
    <s v="Tarjeta"/>
    <n v="1926711"/>
    <n v="739228"/>
    <n v="264812"/>
    <n v="90"/>
    <d v="2016-04-16T00:00:00"/>
    <x v="2"/>
    <n v="3"/>
    <n v="1"/>
    <n v="2"/>
    <n v="0"/>
    <n v="0"/>
  </r>
  <r>
    <n v="8166124"/>
    <s v="Micro pyme"/>
    <n v="27177694"/>
    <s v="Tarjeta"/>
    <n v="1926711"/>
    <n v="1187483"/>
    <n v="1187483"/>
    <n v="180"/>
    <d v="2016-04-21T00:00:00"/>
    <x v="2"/>
    <n v="3"/>
    <n v="0"/>
    <n v="3"/>
    <n v="2"/>
    <n v="0"/>
  </r>
  <r>
    <n v="8166205"/>
    <s v="Personal"/>
    <n v="20943764"/>
    <s v="Tarjeta"/>
    <n v="8319218"/>
    <n v="1365396"/>
    <n v="142091"/>
    <n v="30"/>
    <d v="2016-05-31T00:00:00"/>
    <x v="1"/>
    <n v="3"/>
    <n v="1"/>
    <n v="2"/>
    <n v="1"/>
    <n v="1365396"/>
  </r>
  <r>
    <n v="8166205"/>
    <s v="Personal"/>
    <n v="20946217"/>
    <s v="Tarjeta"/>
    <n v="8319218"/>
    <n v="1967227"/>
    <n v="248321"/>
    <n v="30"/>
    <d v="2016-05-31T00:00:00"/>
    <x v="1"/>
    <n v="3"/>
    <n v="1"/>
    <n v="2"/>
    <n v="0"/>
    <n v="124161"/>
  </r>
  <r>
    <n v="8166235"/>
    <s v="Personal"/>
    <n v="22194960"/>
    <s v="Tarjeta"/>
    <n v="5955786"/>
    <n v="3008696"/>
    <n v="395182"/>
    <n v="30"/>
    <d v="2016-05-18T00:00:00"/>
    <x v="0"/>
    <n v="3"/>
    <n v="1"/>
    <n v="2"/>
    <n v="1"/>
    <n v="0"/>
  </r>
  <r>
    <n v="8166235"/>
    <s v="Personal"/>
    <n v="23293642"/>
    <s v="Tarjeta"/>
    <n v="5955786"/>
    <n v="2947090"/>
    <n v="354842"/>
    <n v="30"/>
    <d v="2016-05-18T00:00:00"/>
    <x v="0"/>
    <n v="3"/>
    <n v="1"/>
    <n v="2"/>
    <n v="0"/>
    <n v="0"/>
  </r>
  <r>
    <n v="8166389"/>
    <s v="Micro pyme"/>
    <n v="26935836"/>
    <s v="Tarjeta"/>
    <n v="1750281"/>
    <n v="1750281"/>
    <n v="248728"/>
    <n v="60"/>
    <d v="2016-05-29T00:00:00"/>
    <x v="0"/>
    <n v="3"/>
    <n v="0"/>
    <n v="3"/>
    <n v="2"/>
    <n v="248728"/>
  </r>
  <r>
    <n v="8166412"/>
    <s v="Micro pyme"/>
    <n v="28040121"/>
    <s v="Tarjeta"/>
    <n v="744968"/>
    <n v="744968"/>
    <n v="88702"/>
    <n v="30"/>
    <d v="2016-05-31T00:00:00"/>
    <x v="1"/>
    <n v="3"/>
    <n v="1"/>
    <n v="2"/>
    <n v="1"/>
    <n v="0"/>
  </r>
  <r>
    <n v="8166533"/>
    <s v="Micro pyme"/>
    <n v="27048470"/>
    <s v="Tarjeta"/>
    <n v="370758"/>
    <n v="370758"/>
    <n v="36789"/>
    <n v="30"/>
    <d v="2016-04-20T00:00:00"/>
    <x v="0"/>
    <n v="3"/>
    <n v="1"/>
    <n v="2"/>
    <n v="0"/>
    <n v="36789"/>
  </r>
  <r>
    <n v="8166876"/>
    <s v="Personal"/>
    <n v="25427986"/>
    <s v="Tarjeta"/>
    <n v="9342267"/>
    <n v="1423007"/>
    <n v="49461"/>
    <n v="30"/>
    <d v="2016-05-18T00:00:00"/>
    <x v="2"/>
    <n v="3"/>
    <n v="1"/>
    <n v="2"/>
    <n v="1"/>
    <n v="24731"/>
  </r>
  <r>
    <n v="8166876"/>
    <s v="Personal"/>
    <n v="25433531"/>
    <s v="Consumo"/>
    <n v="9342267"/>
    <n v="5417097"/>
    <n v="171660"/>
    <n v="29"/>
    <d v="2016-05-11T00:00:00"/>
    <x v="2"/>
    <n v="3"/>
    <n v="1"/>
    <n v="2"/>
    <n v="0"/>
    <n v="0"/>
  </r>
  <r>
    <n v="8166895"/>
    <s v="Micro pyme"/>
    <n v="17937860"/>
    <s v="Tarjeta"/>
    <n v="1359116"/>
    <n v="1359116"/>
    <n v="183894"/>
    <n v="30"/>
    <d v="2016-05-31T00:00:00"/>
    <x v="1"/>
    <n v="3"/>
    <n v="0"/>
    <n v="3"/>
    <n v="2"/>
    <n v="0"/>
  </r>
  <r>
    <n v="8167005"/>
    <s v="Personal"/>
    <n v="25382403"/>
    <s v="Tarjeta"/>
    <n v="4731519"/>
    <n v="734787"/>
    <n v="7806"/>
    <n v="30"/>
    <d v="2016-05-28T00:00:00"/>
    <x v="0"/>
    <n v="3"/>
    <n v="1"/>
    <n v="2"/>
    <n v="1"/>
    <n v="2602"/>
  </r>
  <r>
    <n v="8167005"/>
    <s v="Personal"/>
    <n v="27609725"/>
    <s v="Tarjeta"/>
    <n v="4731519"/>
    <n v="1037574"/>
    <n v="11709"/>
    <n v="30"/>
    <d v="2016-05-18T00:00:00"/>
    <x v="0"/>
    <n v="3"/>
    <n v="1"/>
    <n v="2"/>
    <n v="0"/>
    <n v="11709"/>
  </r>
  <r>
    <n v="8167406"/>
    <s v="Micro pyme"/>
    <n v="18535343"/>
    <s v="Tarjeta"/>
    <n v="1495475"/>
    <n v="1495475"/>
    <n v="418091"/>
    <n v="30"/>
    <d v="2016-05-31T00:00:00"/>
    <x v="1"/>
    <n v="3"/>
    <n v="1"/>
    <n v="2"/>
    <n v="1"/>
    <n v="0"/>
  </r>
  <r>
    <n v="8167480"/>
    <s v="Personal"/>
    <n v="24965165"/>
    <s v="Tarjeta"/>
    <n v="5793752"/>
    <n v="2019650"/>
    <n v="2019650"/>
    <n v="150"/>
    <d v="2016-05-01T00:00:00"/>
    <x v="2"/>
    <n v="3"/>
    <n v="2"/>
    <n v="1"/>
    <n v="0"/>
    <n v="2019650"/>
  </r>
  <r>
    <n v="8167480"/>
    <s v="Personal"/>
    <n v="24967274"/>
    <s v="Tarjeta"/>
    <n v="5793752"/>
    <n v="1799454"/>
    <n v="1799454"/>
    <n v="120"/>
    <d v="2016-05-01T00:00:00"/>
    <x v="2"/>
    <n v="3"/>
    <n v="1"/>
    <n v="2"/>
    <n v="1"/>
    <n v="0"/>
  </r>
  <r>
    <n v="8167480"/>
    <s v="Personal"/>
    <n v="25550360"/>
    <s v="Tarjeta"/>
    <n v="5793752"/>
    <n v="1974648"/>
    <n v="1974648"/>
    <n v="150"/>
    <d v="2016-05-01T00:00:00"/>
    <x v="2"/>
    <n v="3"/>
    <n v="0"/>
    <n v="3"/>
    <n v="1"/>
    <n v="0"/>
  </r>
  <r>
    <n v="8167498"/>
    <s v="Micro pyme"/>
    <n v="14496476"/>
    <s v="Tarjeta"/>
    <n v="1063853"/>
    <n v="1063853"/>
    <n v="1063853"/>
    <n v="360"/>
    <d v="2016-04-25T00:00:00"/>
    <x v="2"/>
    <n v="3"/>
    <n v="1"/>
    <n v="2"/>
    <n v="1"/>
    <n v="0"/>
  </r>
  <r>
    <n v="8167510"/>
    <s v="Micro pyme"/>
    <n v="24373132"/>
    <s v="Tarjeta"/>
    <n v="205477"/>
    <n v="205477"/>
    <n v="106820"/>
    <n v="60"/>
    <d v="2016-04-20T00:00:00"/>
    <x v="0"/>
    <n v="3"/>
    <n v="1"/>
    <n v="2"/>
    <n v="1"/>
    <n v="0"/>
  </r>
  <r>
    <n v="8167543"/>
    <s v="Micro pyme"/>
    <n v="14590137"/>
    <s v="Tarjeta"/>
    <n v="564584"/>
    <n v="564584"/>
    <n v="458921"/>
    <n v="60"/>
    <d v="2016-04-21T00:00:00"/>
    <x v="0"/>
    <n v="3"/>
    <n v="1"/>
    <n v="2"/>
    <n v="0"/>
    <n v="0"/>
  </r>
  <r>
    <n v="8167778"/>
    <s v="Micro pyme"/>
    <n v="27145364"/>
    <s v="Tarjeta"/>
    <n v="3777955"/>
    <n v="1843829"/>
    <n v="319741"/>
    <n v="60"/>
    <d v="2016-04-21T00:00:00"/>
    <x v="0"/>
    <n v="3"/>
    <n v="1"/>
    <n v="2"/>
    <n v="1"/>
    <n v="319741"/>
  </r>
  <r>
    <n v="8167784"/>
    <s v="Micro pyme"/>
    <n v="21647828"/>
    <s v="Tarjeta"/>
    <n v="23487"/>
    <n v="23487"/>
    <n v="16068"/>
    <n v="30"/>
    <d v="2016-05-31T00:00:00"/>
    <x v="1"/>
    <n v="3"/>
    <n v="0"/>
    <n v="3"/>
    <n v="1"/>
    <n v="5356"/>
  </r>
  <r>
    <n v="8167985"/>
    <s v="Micro pyme"/>
    <n v="21128781"/>
    <s v="Tarjeta"/>
    <n v="1701266"/>
    <n v="1701266"/>
    <n v="154225"/>
    <n v="30"/>
    <d v="2016-05-31T00:00:00"/>
    <x v="1"/>
    <n v="3"/>
    <n v="1"/>
    <n v="2"/>
    <n v="1"/>
    <n v="154225"/>
  </r>
  <r>
    <n v="8168164"/>
    <s v="Micro pyme"/>
    <n v="27255677"/>
    <s v="Tarjeta"/>
    <n v="1713019"/>
    <n v="1713019"/>
    <n v="113740"/>
    <n v="30"/>
    <d v="2016-05-18T00:00:00"/>
    <x v="0"/>
    <n v="3"/>
    <n v="1"/>
    <n v="2"/>
    <n v="1"/>
    <n v="0"/>
  </r>
  <r>
    <n v="8168198"/>
    <s v="Micro pyme"/>
    <n v="23820381"/>
    <s v="Tarjeta"/>
    <n v="2351175"/>
    <n v="780934"/>
    <n v="208200"/>
    <n v="30"/>
    <d v="2016-05-31T00:00:00"/>
    <x v="1"/>
    <n v="3"/>
    <n v="1"/>
    <n v="2"/>
    <n v="0"/>
    <n v="0"/>
  </r>
  <r>
    <n v="8168200"/>
    <s v="Micro pyme"/>
    <n v="24390372"/>
    <s v="Tarjeta"/>
    <n v="4045042"/>
    <n v="4045042"/>
    <n v="312381"/>
    <n v="30"/>
    <d v="2016-06-01T00:00:00"/>
    <x v="0"/>
    <n v="3"/>
    <n v="1"/>
    <n v="2"/>
    <n v="1"/>
    <n v="156191"/>
  </r>
  <r>
    <n v="8168429"/>
    <s v="Personal"/>
    <n v="28586542"/>
    <s v="Tarjeta"/>
    <n v="12009370"/>
    <n v="2268817"/>
    <n v="62110"/>
    <n v="30"/>
    <d v="2016-06-03T00:00:00"/>
    <x v="0"/>
    <n v="3"/>
    <n v="0"/>
    <n v="3"/>
    <n v="1"/>
    <n v="31055"/>
  </r>
  <r>
    <n v="8168460"/>
    <s v="Micro pyme"/>
    <n v="2891486"/>
    <s v="Tarjeta"/>
    <n v="573993"/>
    <n v="573993"/>
    <n v="65242"/>
    <n v="30"/>
    <d v="2016-05-31T00:00:00"/>
    <x v="1"/>
    <n v="3"/>
    <n v="1"/>
    <n v="2"/>
    <n v="1"/>
    <n v="0"/>
  </r>
  <r>
    <n v="8168855"/>
    <s v="Micro pyme"/>
    <n v="19612833"/>
    <s v="Tarjeta"/>
    <n v="1627420"/>
    <n v="1627420"/>
    <n v="215240"/>
    <n v="30"/>
    <d v="2016-05-18T00:00:00"/>
    <x v="0"/>
    <n v="3"/>
    <n v="1"/>
    <n v="2"/>
    <n v="1"/>
    <n v="0"/>
  </r>
  <r>
    <n v="8168905"/>
    <s v="Micro pyme"/>
    <n v="27915388"/>
    <s v="Tarjeta"/>
    <n v="2992447"/>
    <n v="2992447"/>
    <n v="266325"/>
    <n v="30"/>
    <d v="2016-05-31T00:00:00"/>
    <x v="1"/>
    <n v="3"/>
    <n v="1"/>
    <n v="2"/>
    <n v="0"/>
    <n v="266325"/>
  </r>
  <r>
    <n v="8168937"/>
    <s v="Personal"/>
    <n v="21552660"/>
    <s v="Tarjeta"/>
    <n v="6618994"/>
    <n v="1642928"/>
    <n v="387007"/>
    <n v="60"/>
    <d v="2016-04-20T00:00:00"/>
    <x v="0"/>
    <n v="3"/>
    <n v="2"/>
    <n v="1"/>
    <n v="1"/>
    <n v="0"/>
  </r>
  <r>
    <n v="8169074"/>
    <s v="Micro pyme"/>
    <n v="25017414"/>
    <s v="Tarjeta"/>
    <n v="2021021"/>
    <n v="991716"/>
    <n v="294586"/>
    <n v="60"/>
    <d v="2016-05-01T00:00:00"/>
    <x v="0"/>
    <n v="3"/>
    <n v="1"/>
    <n v="2"/>
    <n v="0"/>
    <n v="294586"/>
  </r>
  <r>
    <n v="8169074"/>
    <s v="Micro pyme"/>
    <n v="25018031"/>
    <s v="Tarjeta"/>
    <n v="2021021"/>
    <n v="1029305"/>
    <n v="296680"/>
    <n v="60"/>
    <d v="2016-04-30T00:00:00"/>
    <x v="0"/>
    <n v="3"/>
    <n v="0"/>
    <n v="3"/>
    <n v="1"/>
    <n v="1029305"/>
  </r>
  <r>
    <n v="8169102"/>
    <s v="Micro pyme"/>
    <n v="25450537"/>
    <s v="Tarjeta"/>
    <n v="719082"/>
    <n v="719082"/>
    <n v="103698"/>
    <n v="30"/>
    <d v="2016-05-18T00:00:00"/>
    <x v="0"/>
    <n v="3"/>
    <n v="1"/>
    <n v="2"/>
    <n v="2"/>
    <n v="103698"/>
  </r>
  <r>
    <n v="8169114"/>
    <s v="Personal"/>
    <n v="28219094"/>
    <s v="Tarjeta"/>
    <n v="8556160"/>
    <n v="4153892"/>
    <n v="84414"/>
    <n v="30"/>
    <d v="2016-05-31T00:00:00"/>
    <x v="1"/>
    <n v="3"/>
    <n v="1"/>
    <n v="2"/>
    <n v="0"/>
    <n v="42207"/>
  </r>
  <r>
    <n v="8169123"/>
    <s v="Micro pyme"/>
    <n v="23737110"/>
    <s v="Tarjeta"/>
    <n v="4789710"/>
    <n v="4789710"/>
    <n v="415801"/>
    <n v="30"/>
    <d v="2016-05-18T00:00:00"/>
    <x v="0"/>
    <n v="3"/>
    <n v="1"/>
    <n v="2"/>
    <n v="1"/>
    <n v="138600"/>
  </r>
  <r>
    <n v="8169305"/>
    <s v="Personal"/>
    <n v="23981315"/>
    <s v="Tarjeta"/>
    <n v="7172558"/>
    <n v="4095822"/>
    <n v="1735554"/>
    <n v="90"/>
    <d v="2016-05-29T00:00:00"/>
    <x v="0"/>
    <n v="3"/>
    <n v="1"/>
    <n v="2"/>
    <n v="0"/>
    <n v="4095822"/>
  </r>
  <r>
    <n v="8169312"/>
    <s v="Micro pyme"/>
    <n v="27097133"/>
    <s v="Tarjeta"/>
    <n v="1646465"/>
    <n v="1646465"/>
    <n v="256848"/>
    <n v="30"/>
    <d v="2016-05-31T00:00:00"/>
    <x v="1"/>
    <n v="3"/>
    <n v="0"/>
    <n v="3"/>
    <n v="1"/>
    <n v="0"/>
  </r>
  <r>
    <n v="8169455"/>
    <s v="Micro pyme"/>
    <n v="17140148"/>
    <s v="Tarjeta"/>
    <n v="1007996"/>
    <n v="1007996"/>
    <n v="328142"/>
    <n v="60"/>
    <d v="2016-04-30T00:00:00"/>
    <x v="0"/>
    <n v="3"/>
    <n v="1"/>
    <n v="2"/>
    <n v="2"/>
    <n v="164071"/>
  </r>
  <r>
    <n v="8169800"/>
    <s v="Micro pyme"/>
    <n v="27338499"/>
    <s v="Tarjeta"/>
    <n v="1894254"/>
    <n v="1894254"/>
    <n v="350572"/>
    <n v="30"/>
    <d v="2016-05-31T00:00:00"/>
    <x v="1"/>
    <n v="3"/>
    <n v="1"/>
    <n v="2"/>
    <n v="0"/>
    <n v="0"/>
  </r>
  <r>
    <n v="8169896"/>
    <s v="Personal"/>
    <n v="23435595"/>
    <s v="Tarjeta"/>
    <n v="2691763"/>
    <n v="1347698"/>
    <n v="468209"/>
    <n v="90"/>
    <d v="2016-05-18T00:00:00"/>
    <x v="0"/>
    <n v="3"/>
    <n v="1"/>
    <n v="2"/>
    <n v="1"/>
    <n v="0"/>
  </r>
  <r>
    <n v="8169896"/>
    <s v="Personal"/>
    <n v="23435865"/>
    <s v="Tarjeta"/>
    <n v="2691763"/>
    <n v="1344064"/>
    <n v="397486"/>
    <n v="90"/>
    <d v="2016-05-18T00:00:00"/>
    <x v="0"/>
    <n v="3"/>
    <n v="1"/>
    <n v="2"/>
    <n v="0"/>
    <n v="0"/>
  </r>
  <r>
    <n v="8169918"/>
    <s v="Micro pyme"/>
    <n v="25753095"/>
    <s v="Tarjeta"/>
    <n v="783257"/>
    <n v="783257"/>
    <n v="783257"/>
    <n v="180"/>
    <d v="2016-04-20T00:00:00"/>
    <x v="2"/>
    <n v="3"/>
    <n v="0"/>
    <n v="3"/>
    <n v="1"/>
    <n v="783257"/>
  </r>
  <r>
    <n v="8169981"/>
    <s v="Personal"/>
    <n v="27032129"/>
    <s v="Tarjeta"/>
    <n v="5113212"/>
    <n v="2487286"/>
    <n v="392482"/>
    <n v="60"/>
    <d v="2016-04-20T00:00:00"/>
    <x v="0"/>
    <n v="3"/>
    <n v="1"/>
    <n v="2"/>
    <n v="2"/>
    <n v="130827"/>
  </r>
  <r>
    <n v="8169981"/>
    <s v="Personal"/>
    <n v="27033156"/>
    <s v="Tarjeta"/>
    <n v="5113212"/>
    <n v="2625926"/>
    <n v="429219"/>
    <n v="60"/>
    <d v="2016-04-21T00:00:00"/>
    <x v="0"/>
    <n v="3"/>
    <n v="1"/>
    <n v="2"/>
    <n v="0"/>
    <n v="143073"/>
  </r>
  <r>
    <n v="8170036"/>
    <s v="Micro pyme"/>
    <n v="21447860"/>
    <s v="Tarjeta"/>
    <n v="1760563"/>
    <n v="1742797"/>
    <n v="91656"/>
    <n v="30"/>
    <d v="2016-05-31T00:00:00"/>
    <x v="1"/>
    <n v="3"/>
    <n v="1"/>
    <n v="2"/>
    <n v="1"/>
    <n v="91656"/>
  </r>
  <r>
    <n v="8170123"/>
    <s v="Micro pyme"/>
    <n v="25601009"/>
    <s v="Tarjeta"/>
    <n v="947845"/>
    <n v="947845"/>
    <n v="947845"/>
    <n v="150"/>
    <d v="2016-05-19T00:00:00"/>
    <x v="2"/>
    <n v="3"/>
    <n v="2"/>
    <n v="1"/>
    <n v="0"/>
    <n v="0"/>
  </r>
  <r>
    <n v="8170382"/>
    <s v="Preferencial"/>
    <n v="26499265"/>
    <s v="Libranza"/>
    <n v="22577038"/>
    <n v="18218649"/>
    <n v="389043"/>
    <n v="3"/>
    <d v="2016-06-08T00:00:00"/>
    <x v="0"/>
    <n v="3"/>
    <n v="1"/>
    <n v="2"/>
    <n v="0"/>
    <n v="389043"/>
  </r>
  <r>
    <n v="8170382"/>
    <s v="Preferencial"/>
    <n v="28063744"/>
    <s v="Tarjeta"/>
    <n v="22577038"/>
    <n v="2140266"/>
    <n v="427254"/>
    <n v="30"/>
    <d v="2016-05-18T00:00:00"/>
    <x v="0"/>
    <n v="3"/>
    <n v="0"/>
    <n v="3"/>
    <n v="2"/>
    <n v="427254"/>
  </r>
  <r>
    <n v="8170382"/>
    <s v="Preferencial"/>
    <n v="28065349"/>
    <s v="Tarjeta"/>
    <n v="22577038"/>
    <n v="2218123"/>
    <n v="329619"/>
    <n v="30"/>
    <d v="2016-05-19T00:00:00"/>
    <x v="0"/>
    <n v="3"/>
    <n v="1"/>
    <n v="2"/>
    <n v="1"/>
    <n v="0"/>
  </r>
  <r>
    <n v="8170439"/>
    <s v="Micro pyme"/>
    <n v="27843990"/>
    <s v="Tarjeta"/>
    <n v="3697789"/>
    <n v="3697789"/>
    <n v="342226"/>
    <n v="30"/>
    <d v="2016-05-19T00:00:00"/>
    <x v="0"/>
    <n v="3"/>
    <n v="1"/>
    <n v="2"/>
    <n v="1"/>
    <n v="342226"/>
  </r>
  <r>
    <n v="8170763"/>
    <s v="Personal"/>
    <n v="26772925"/>
    <s v="Libranza"/>
    <n v="7161947"/>
    <n v="6615699"/>
    <n v="142107"/>
    <n v="7"/>
    <d v="2016-06-07T00:00:00"/>
    <x v="2"/>
    <n v="3"/>
    <n v="1"/>
    <n v="2"/>
    <n v="0"/>
    <n v="0"/>
  </r>
  <r>
    <n v="8170763"/>
    <s v="Personal"/>
    <n v="27233973"/>
    <s v="Tarjeta"/>
    <n v="7161947"/>
    <n v="546248"/>
    <n v="546248"/>
    <n v="120"/>
    <d v="2016-05-28T00:00:00"/>
    <x v="2"/>
    <n v="3"/>
    <n v="1"/>
    <n v="2"/>
    <n v="0"/>
    <n v="546248"/>
  </r>
  <r>
    <n v="8170768"/>
    <s v="Micro pyme"/>
    <n v="25300694"/>
    <s v="Tarjeta"/>
    <n v="2146760"/>
    <n v="673220"/>
    <n v="680640"/>
    <n v="240"/>
    <d v="2016-02-17T00:00:00"/>
    <x v="2"/>
    <n v="3"/>
    <n v="0"/>
    <n v="3"/>
    <n v="2"/>
    <n v="444690"/>
  </r>
  <r>
    <n v="8170777"/>
    <s v="Personal"/>
    <n v="26247384"/>
    <s v="Tarjeta"/>
    <n v="8741727"/>
    <n v="3429567"/>
    <n v="719109"/>
    <n v="90"/>
    <d v="2016-05-18T00:00:00"/>
    <x v="0"/>
    <n v="3"/>
    <n v="1"/>
    <n v="2"/>
    <n v="1"/>
    <n v="3429567"/>
  </r>
  <r>
    <n v="8170777"/>
    <s v="Personal"/>
    <n v="27130922"/>
    <s v="Tarjeta"/>
    <n v="8741727"/>
    <n v="5312160"/>
    <n v="764532"/>
    <n v="60"/>
    <d v="2016-05-18T00:00:00"/>
    <x v="0"/>
    <n v="3"/>
    <n v="1"/>
    <n v="2"/>
    <n v="1"/>
    <n v="382266"/>
  </r>
  <r>
    <n v="8170803"/>
    <s v="Micro pyme"/>
    <n v="25962079"/>
    <s v="Tarjeta"/>
    <n v="1434936"/>
    <n v="1434936"/>
    <n v="476789"/>
    <n v="60"/>
    <d v="2016-05-01T00:00:00"/>
    <x v="0"/>
    <n v="3"/>
    <n v="1"/>
    <n v="2"/>
    <n v="0"/>
    <n v="238395"/>
  </r>
  <r>
    <n v="8170829"/>
    <s v="Personal"/>
    <n v="27287702"/>
    <s v="Tarjeta"/>
    <n v="3045836"/>
    <n v="1352706"/>
    <n v="557681"/>
    <n v="60"/>
    <d v="2016-05-19T00:00:00"/>
    <x v="2"/>
    <n v="3"/>
    <n v="1"/>
    <n v="2"/>
    <n v="0"/>
    <n v="185894"/>
  </r>
  <r>
    <n v="8170829"/>
    <s v="Personal"/>
    <n v="27289838"/>
    <s v="Tarjeta"/>
    <n v="3045836"/>
    <n v="1693130"/>
    <n v="1693130"/>
    <n v="120"/>
    <d v="2016-05-19T00:00:00"/>
    <x v="2"/>
    <n v="3"/>
    <n v="0"/>
    <n v="3"/>
    <n v="2"/>
    <n v="0"/>
  </r>
  <r>
    <n v="8170851"/>
    <s v="Micro pyme"/>
    <n v="27057377"/>
    <s v="Tarjeta"/>
    <n v="2440789"/>
    <n v="1341555"/>
    <n v="178016"/>
    <n v="30"/>
    <d v="2016-05-31T00:00:00"/>
    <x v="1"/>
    <n v="3"/>
    <n v="1"/>
    <n v="2"/>
    <n v="1"/>
    <n v="1341555"/>
  </r>
  <r>
    <n v="8170902"/>
    <s v="Personal"/>
    <n v="4617082"/>
    <s v="Tarjeta"/>
    <n v="2717763"/>
    <n v="1667020"/>
    <n v="317673"/>
    <n v="30"/>
    <d v="2016-05-31T00:00:00"/>
    <x v="2"/>
    <n v="3"/>
    <n v="1"/>
    <n v="2"/>
    <n v="1"/>
    <n v="105891"/>
  </r>
  <r>
    <n v="8170902"/>
    <s v="Personal"/>
    <n v="11334214"/>
    <s v="Vehiculo"/>
    <n v="2717763"/>
    <n v="1050743"/>
    <n v="1053435"/>
    <n v="339"/>
    <d v="2016-04-23T00:00:00"/>
    <x v="2"/>
    <n v="3"/>
    <n v="1"/>
    <n v="2"/>
    <n v="0"/>
    <n v="1050743"/>
  </r>
  <r>
    <n v="8171445"/>
    <s v="Micro pyme"/>
    <n v="23926424"/>
    <s v="Tarjeta"/>
    <n v="572418"/>
    <n v="572418"/>
    <n v="26887"/>
    <n v="30"/>
    <d v="2016-05-18T00:00:00"/>
    <x v="0"/>
    <n v="3"/>
    <n v="2"/>
    <n v="1"/>
    <n v="0"/>
    <n v="0"/>
  </r>
  <r>
    <n v="8171508"/>
    <s v="Micro pyme"/>
    <n v="27924163"/>
    <s v="Tarjeta"/>
    <n v="32898"/>
    <n v="32898"/>
    <n v="26455"/>
    <n v="30"/>
    <d v="2016-05-18T00:00:00"/>
    <x v="0"/>
    <n v="3"/>
    <n v="1"/>
    <n v="2"/>
    <n v="1"/>
    <n v="0"/>
  </r>
  <r>
    <n v="8171519"/>
    <s v="Personal"/>
    <n v="24829797"/>
    <s v="Tarjeta"/>
    <n v="5541861"/>
    <n v="4532330"/>
    <n v="1694160"/>
    <n v="120"/>
    <d v="2016-05-20T00:00:00"/>
    <x v="2"/>
    <n v="3"/>
    <n v="0"/>
    <n v="3"/>
    <n v="1"/>
    <n v="0"/>
  </r>
  <r>
    <n v="8171519"/>
    <s v="Personal"/>
    <n v="25310605"/>
    <s v="Consumo"/>
    <n v="5541861"/>
    <n v="1009531"/>
    <n v="432483"/>
    <n v="110"/>
    <d v="2016-05-20T00:00:00"/>
    <x v="2"/>
    <n v="3"/>
    <n v="1"/>
    <n v="2"/>
    <n v="2"/>
    <n v="0"/>
  </r>
  <r>
    <n v="8171572"/>
    <s v="Preferencial"/>
    <n v="26893789"/>
    <s v="Libranza"/>
    <n v="45081146"/>
    <n v="31475289"/>
    <n v="2642183"/>
    <n v="65"/>
    <d v="2016-06-08T00:00:00"/>
    <x v="2"/>
    <n v="3"/>
    <n v="1"/>
    <n v="2"/>
    <n v="0"/>
    <n v="0"/>
  </r>
  <r>
    <n v="8171572"/>
    <s v="Preferencial"/>
    <n v="27857046"/>
    <s v="Tarjeta"/>
    <n v="45081146"/>
    <n v="6553880"/>
    <n v="1425676"/>
    <n v="60"/>
    <d v="2016-06-08T00:00:00"/>
    <x v="2"/>
    <n v="3"/>
    <n v="1"/>
    <n v="2"/>
    <n v="0"/>
    <n v="0"/>
  </r>
  <r>
    <n v="8171572"/>
    <s v="Preferencial"/>
    <n v="27858009"/>
    <s v="Tarjeta"/>
    <n v="45081146"/>
    <n v="7051976"/>
    <n v="1782848"/>
    <n v="60"/>
    <d v="2016-06-08T00:00:00"/>
    <x v="2"/>
    <n v="3"/>
    <n v="1"/>
    <n v="2"/>
    <n v="1"/>
    <n v="1782848"/>
  </r>
  <r>
    <n v="8171608"/>
    <s v="Micro pyme"/>
    <n v="27717868"/>
    <s v="Tarjeta"/>
    <n v="4006310"/>
    <n v="1091894"/>
    <n v="28275"/>
    <n v="30"/>
    <d v="2016-05-19T00:00:00"/>
    <x v="0"/>
    <n v="3"/>
    <n v="0"/>
    <n v="3"/>
    <n v="1"/>
    <n v="0"/>
  </r>
  <r>
    <n v="8171628"/>
    <s v="Micro pyme"/>
    <n v="25979102"/>
    <s v="Tarjeta"/>
    <n v="4327540"/>
    <n v="1424622"/>
    <n v="121021"/>
    <n v="30"/>
    <d v="2016-05-19T00:00:00"/>
    <x v="0"/>
    <n v="3"/>
    <n v="1"/>
    <n v="2"/>
    <n v="2"/>
    <n v="121021"/>
  </r>
  <r>
    <n v="8171685"/>
    <s v="Micro pyme"/>
    <n v="27541896"/>
    <s v="Tarjeta"/>
    <n v="4894974"/>
    <n v="733768"/>
    <n v="163316"/>
    <n v="60"/>
    <d v="2016-05-01T00:00:00"/>
    <x v="0"/>
    <n v="3"/>
    <n v="1"/>
    <n v="2"/>
    <n v="0"/>
    <n v="0"/>
  </r>
  <r>
    <n v="8171798"/>
    <s v="Micro pyme"/>
    <n v="24099866"/>
    <s v="Tarjeta"/>
    <n v="634474"/>
    <n v="634474"/>
    <n v="149154"/>
    <n v="30"/>
    <d v="2016-05-31T00:00:00"/>
    <x v="1"/>
    <n v="3"/>
    <n v="1"/>
    <n v="2"/>
    <n v="0"/>
    <n v="0"/>
  </r>
  <r>
    <n v="8171800"/>
    <s v="Micro pyme"/>
    <n v="26378227"/>
    <s v="Tarjeta"/>
    <n v="1258246"/>
    <n v="1258246"/>
    <n v="1259479"/>
    <n v="150"/>
    <d v="2016-05-29T00:00:00"/>
    <x v="2"/>
    <n v="3"/>
    <n v="1"/>
    <n v="2"/>
    <n v="1"/>
    <n v="629740"/>
  </r>
  <r>
    <n v="8171807"/>
    <s v="Micro pyme"/>
    <n v="14659275"/>
    <s v="Tarjeta"/>
    <n v="967821"/>
    <n v="967821"/>
    <n v="176387"/>
    <n v="30"/>
    <d v="2016-05-31T00:00:00"/>
    <x v="1"/>
    <n v="3"/>
    <n v="0"/>
    <n v="3"/>
    <n v="1"/>
    <n v="0"/>
  </r>
  <r>
    <n v="8171812"/>
    <s v="Micro pyme"/>
    <n v="10480436"/>
    <s v="Tarjeta"/>
    <n v="767429"/>
    <n v="767429"/>
    <n v="95888"/>
    <n v="30"/>
    <d v="2016-05-18T00:00:00"/>
    <x v="0"/>
    <n v="3"/>
    <n v="1"/>
    <n v="2"/>
    <n v="2"/>
    <n v="0"/>
  </r>
  <r>
    <n v="8171817"/>
    <s v="Micro pyme"/>
    <n v="21620879"/>
    <s v="Tarjeta"/>
    <n v="1595165"/>
    <n v="1595165"/>
    <n v="88261"/>
    <n v="30"/>
    <d v="2016-05-31T00:00:00"/>
    <x v="1"/>
    <n v="3"/>
    <n v="1"/>
    <n v="2"/>
    <n v="0"/>
    <n v="0"/>
  </r>
  <r>
    <n v="8171824"/>
    <s v="Micro pyme"/>
    <n v="21483616"/>
    <s v="Tarjeta"/>
    <n v="567250"/>
    <n v="567250"/>
    <n v="74403"/>
    <n v="30"/>
    <d v="2016-05-31T00:00:00"/>
    <x v="1"/>
    <n v="3"/>
    <n v="1"/>
    <n v="2"/>
    <n v="0"/>
    <n v="37202"/>
  </r>
  <r>
    <n v="8171975"/>
    <s v="Personal"/>
    <n v="16563072"/>
    <s v="Vehiculo"/>
    <n v="3244174"/>
    <n v="1391394"/>
    <n v="337456"/>
    <n v="18"/>
    <d v="2016-05-18T00:00:00"/>
    <x v="0"/>
    <n v="3"/>
    <n v="2"/>
    <n v="1"/>
    <n v="1"/>
    <n v="112485"/>
  </r>
  <r>
    <n v="8171975"/>
    <s v="Personal"/>
    <n v="25481844"/>
    <s v="Tarjeta"/>
    <n v="3244174"/>
    <n v="1852780"/>
    <n v="285747"/>
    <n v="30"/>
    <d v="2016-05-18T00:00:00"/>
    <x v="0"/>
    <n v="3"/>
    <n v="1"/>
    <n v="2"/>
    <n v="0"/>
    <n v="285747"/>
  </r>
  <r>
    <n v="8172057"/>
    <s v="Micro pyme"/>
    <n v="26227202"/>
    <s v="Tarjeta"/>
    <n v="631938"/>
    <n v="631938"/>
    <n v="12281"/>
    <n v="30"/>
    <d v="2016-05-31T00:00:00"/>
    <x v="1"/>
    <n v="3"/>
    <n v="0"/>
    <n v="3"/>
    <n v="2"/>
    <n v="12281"/>
  </r>
  <r>
    <n v="8172184"/>
    <s v="Micro pyme"/>
    <n v="10919528"/>
    <s v="Tarjeta"/>
    <n v="5158829"/>
    <n v="5158829"/>
    <n v="437630"/>
    <n v="30"/>
    <d v="2016-05-31T00:00:00"/>
    <x v="1"/>
    <n v="3"/>
    <n v="1"/>
    <n v="2"/>
    <n v="1"/>
    <n v="0"/>
  </r>
  <r>
    <n v="8172545"/>
    <s v="Personal"/>
    <n v="25644851"/>
    <s v="Tarjeta"/>
    <n v="4572600"/>
    <n v="1831678"/>
    <n v="530870"/>
    <n v="60"/>
    <d v="2016-05-18T00:00:00"/>
    <x v="0"/>
    <n v="3"/>
    <n v="1"/>
    <n v="2"/>
    <n v="0"/>
    <n v="0"/>
  </r>
  <r>
    <n v="8172545"/>
    <s v="Personal"/>
    <n v="25646668"/>
    <s v="Tarjeta"/>
    <n v="4572600"/>
    <n v="687934"/>
    <n v="322080"/>
    <n v="90"/>
    <d v="2016-05-18T00:00:00"/>
    <x v="0"/>
    <n v="3"/>
    <n v="1"/>
    <n v="2"/>
    <n v="1"/>
    <n v="0"/>
  </r>
  <r>
    <n v="8172545"/>
    <s v="Personal"/>
    <n v="26004598"/>
    <s v="Tarjeta"/>
    <n v="4572600"/>
    <n v="2052987"/>
    <n v="970410"/>
    <n v="90"/>
    <d v="2016-05-18T00:00:00"/>
    <x v="0"/>
    <n v="3"/>
    <n v="1"/>
    <n v="2"/>
    <n v="0"/>
    <n v="970410"/>
  </r>
  <r>
    <n v="8172550"/>
    <s v="Personal"/>
    <n v="25090717"/>
    <s v="Tarjeta"/>
    <n v="5905484"/>
    <n v="2256151"/>
    <n v="473970"/>
    <n v="60"/>
    <d v="2016-04-30T00:00:00"/>
    <x v="0"/>
    <n v="3"/>
    <n v="0"/>
    <n v="3"/>
    <n v="2"/>
    <n v="0"/>
  </r>
  <r>
    <n v="8172550"/>
    <s v="Personal"/>
    <n v="25277134"/>
    <s v="Tarjeta"/>
    <n v="5905484"/>
    <n v="3649333"/>
    <n v="484498"/>
    <n v="30"/>
    <d v="2016-05-19T00:00:00"/>
    <x v="0"/>
    <n v="3"/>
    <n v="1"/>
    <n v="2"/>
    <n v="1"/>
    <n v="3649333"/>
  </r>
  <r>
    <n v="8172608"/>
    <s v="Micro pyme"/>
    <n v="26813449"/>
    <s v="Tarjeta"/>
    <n v="495316"/>
    <n v="495316"/>
    <n v="151335"/>
    <n v="60"/>
    <d v="2016-04-20T00:00:00"/>
    <x v="0"/>
    <n v="3"/>
    <n v="1"/>
    <n v="2"/>
    <n v="0"/>
    <n v="0"/>
  </r>
  <r>
    <n v="8172822"/>
    <s v="Micro pyme"/>
    <n v="24100634"/>
    <s v="Tarjeta"/>
    <n v="512309"/>
    <n v="512309"/>
    <n v="512309"/>
    <n v="60"/>
    <d v="2016-03-19T00:00:00"/>
    <x v="0"/>
    <n v="3"/>
    <n v="1"/>
    <n v="2"/>
    <n v="1"/>
    <n v="0"/>
  </r>
  <r>
    <n v="8172834"/>
    <s v="Micro pyme"/>
    <n v="21754177"/>
    <s v="Tarjeta"/>
    <n v="1460293"/>
    <n v="476381"/>
    <n v="98782"/>
    <n v="30"/>
    <d v="2016-05-18T00:00:00"/>
    <x v="0"/>
    <n v="3"/>
    <n v="1"/>
    <n v="2"/>
    <n v="0"/>
    <n v="49391"/>
  </r>
  <r>
    <n v="8172834"/>
    <s v="Micro pyme"/>
    <n v="25341571"/>
    <s v="Tarjeta"/>
    <n v="1460293"/>
    <n v="983912"/>
    <n v="155771"/>
    <n v="30"/>
    <d v="2016-05-18T00:00:00"/>
    <x v="0"/>
    <n v="3"/>
    <n v="0"/>
    <n v="3"/>
    <n v="2"/>
    <n v="0"/>
  </r>
  <r>
    <n v="8172857"/>
    <s v="Personal"/>
    <n v="27565008"/>
    <s v="Tarjeta"/>
    <n v="7793750"/>
    <n v="4003435"/>
    <n v="284345"/>
    <n v="30"/>
    <d v="2016-05-18T00:00:00"/>
    <x v="0"/>
    <n v="3"/>
    <n v="1"/>
    <n v="2"/>
    <n v="1"/>
    <n v="0"/>
  </r>
  <r>
    <n v="8172884"/>
    <s v="Personal"/>
    <n v="21348233"/>
    <s v="Libranza"/>
    <n v="5533706"/>
    <n v="2366830"/>
    <n v="129247"/>
    <n v="3"/>
    <d v="2016-06-08T00:00:00"/>
    <x v="0"/>
    <n v="3"/>
    <n v="1"/>
    <n v="2"/>
    <n v="0"/>
    <n v="43082"/>
  </r>
  <r>
    <n v="8172884"/>
    <s v="Personal"/>
    <n v="23312798"/>
    <s v="Tarjeta"/>
    <n v="5533706"/>
    <n v="2328942"/>
    <n v="238589"/>
    <n v="30"/>
    <d v="2016-05-18T00:00:00"/>
    <x v="0"/>
    <n v="3"/>
    <n v="1"/>
    <n v="2"/>
    <n v="1"/>
    <n v="238589"/>
  </r>
  <r>
    <n v="8172884"/>
    <s v="Personal"/>
    <n v="23313640"/>
    <s v="Tarjeta"/>
    <n v="5533706"/>
    <n v="837934"/>
    <n v="101429"/>
    <n v="30"/>
    <d v="2016-05-19T00:00:00"/>
    <x v="0"/>
    <n v="3"/>
    <n v="2"/>
    <n v="1"/>
    <n v="0"/>
    <n v="50715"/>
  </r>
  <r>
    <n v="8172906"/>
    <s v="Micro pyme"/>
    <n v="25709096"/>
    <s v="Tarjeta"/>
    <n v="14203"/>
    <n v="14203"/>
    <n v="8825"/>
    <n v="60"/>
    <d v="2016-05-18T00:00:00"/>
    <x v="0"/>
    <n v="3"/>
    <n v="1"/>
    <n v="2"/>
    <n v="1"/>
    <n v="14203"/>
  </r>
  <r>
    <n v="8172916"/>
    <s v="Micro pyme"/>
    <n v="28122029"/>
    <s v="Tarjeta"/>
    <n v="862649"/>
    <n v="862649"/>
    <n v="115396"/>
    <n v="30"/>
    <d v="2016-05-31T00:00:00"/>
    <x v="1"/>
    <n v="3"/>
    <n v="0"/>
    <n v="3"/>
    <n v="1"/>
    <n v="0"/>
  </r>
  <r>
    <n v="8172935"/>
    <s v="Micro pyme"/>
    <n v="27864939"/>
    <s v="Tarjeta"/>
    <n v="735308"/>
    <n v="735308"/>
    <n v="92451"/>
    <n v="30"/>
    <d v="2016-05-31T00:00:00"/>
    <x v="1"/>
    <n v="3"/>
    <n v="1"/>
    <n v="2"/>
    <n v="1"/>
    <n v="92451"/>
  </r>
  <r>
    <n v="8173426"/>
    <s v="Micro pyme"/>
    <n v="27096953"/>
    <s v="Tarjeta"/>
    <n v="2661563"/>
    <n v="1229518"/>
    <n v="101724"/>
    <n v="30"/>
    <d v="2016-05-31T00:00:00"/>
    <x v="1"/>
    <n v="3"/>
    <n v="1"/>
    <n v="2"/>
    <n v="1"/>
    <n v="33908"/>
  </r>
  <r>
    <n v="8173437"/>
    <s v="Personal"/>
    <n v="26476759"/>
    <s v="Libranza"/>
    <n v="7507596"/>
    <n v="7079429"/>
    <n v="203394"/>
    <n v="3"/>
    <d v="2016-06-08T00:00:00"/>
    <x v="1"/>
    <n v="3"/>
    <n v="1"/>
    <n v="2"/>
    <n v="0"/>
    <n v="0"/>
  </r>
  <r>
    <n v="8173437"/>
    <s v="Personal"/>
    <n v="26774236"/>
    <s v="Tarjeta"/>
    <n v="7507596"/>
    <n v="428167"/>
    <n v="67451"/>
    <n v="30"/>
    <d v="2016-05-31T00:00:00"/>
    <x v="1"/>
    <n v="3"/>
    <n v="1"/>
    <n v="2"/>
    <n v="1"/>
    <n v="0"/>
  </r>
  <r>
    <n v="8173444"/>
    <s v="Micro pyme"/>
    <n v="27690468"/>
    <s v="Tarjeta"/>
    <n v="622345"/>
    <n v="622345"/>
    <n v="219415"/>
    <n v="90"/>
    <d v="2016-05-28T00:00:00"/>
    <x v="0"/>
    <n v="3"/>
    <n v="0"/>
    <n v="3"/>
    <n v="1"/>
    <n v="0"/>
  </r>
  <r>
    <n v="8173552"/>
    <s v="Micro pyme"/>
    <n v="15784792"/>
    <s v="Tarjeta"/>
    <n v="1924813"/>
    <n v="1092794"/>
    <n v="1092794"/>
    <n v="150"/>
    <d v="2016-05-18T00:00:00"/>
    <x v="2"/>
    <n v="3"/>
    <n v="1"/>
    <n v="2"/>
    <n v="1"/>
    <n v="364265"/>
  </r>
  <r>
    <n v="8173552"/>
    <s v="Micro pyme"/>
    <n v="20787125"/>
    <s v="Tarjeta"/>
    <n v="1924813"/>
    <n v="832019"/>
    <n v="427866"/>
    <n v="60"/>
    <d v="2016-04-30T00:00:00"/>
    <x v="2"/>
    <n v="3"/>
    <n v="1"/>
    <n v="2"/>
    <n v="1"/>
    <n v="0"/>
  </r>
  <r>
    <n v="8173554"/>
    <s v="Personal"/>
    <n v="26936631"/>
    <s v="Tarjeta"/>
    <n v="2878382"/>
    <n v="1788847"/>
    <n v="442215"/>
    <n v="60"/>
    <d v="2016-04-30T00:00:00"/>
    <x v="0"/>
    <n v="3"/>
    <n v="1"/>
    <n v="2"/>
    <n v="0"/>
    <n v="0"/>
  </r>
  <r>
    <n v="8173554"/>
    <s v="Personal"/>
    <n v="28584103"/>
    <s v="Tarjeta"/>
    <n v="2878382"/>
    <n v="1089535"/>
    <n v="215560"/>
    <n v="60"/>
    <d v="2016-06-02T00:00:00"/>
    <x v="0"/>
    <n v="3"/>
    <n v="1"/>
    <n v="2"/>
    <n v="1"/>
    <n v="1089535"/>
  </r>
  <r>
    <n v="8173659"/>
    <s v="Preferencial"/>
    <n v="22424854"/>
    <s v="Vehiculo"/>
    <n v="22962426"/>
    <n v="21529474"/>
    <n v="4104396"/>
    <n v="151"/>
    <d v="2016-03-11T00:00:00"/>
    <x v="2"/>
    <n v="3"/>
    <n v="0"/>
    <n v="3"/>
    <n v="1"/>
    <n v="0"/>
  </r>
  <r>
    <n v="8173659"/>
    <s v="Preferencial"/>
    <n v="26356232"/>
    <s v="Tarjeta"/>
    <n v="22962426"/>
    <n v="1432951"/>
    <n v="687631"/>
    <n v="60"/>
    <d v="2016-04-20T00:00:00"/>
    <x v="2"/>
    <n v="3"/>
    <n v="1"/>
    <n v="2"/>
    <n v="1"/>
    <n v="0"/>
  </r>
  <r>
    <n v="8173751"/>
    <s v="Micro pyme"/>
    <n v="23390348"/>
    <s v="Tarjeta"/>
    <n v="873703"/>
    <n v="873703"/>
    <n v="5705"/>
    <n v="30"/>
    <d v="2016-05-18T00:00:00"/>
    <x v="0"/>
    <n v="3"/>
    <n v="1"/>
    <n v="2"/>
    <n v="1"/>
    <n v="0"/>
  </r>
  <r>
    <n v="8173877"/>
    <s v="Personal"/>
    <n v="23856527"/>
    <s v="Tarjeta"/>
    <n v="10088882"/>
    <n v="4381811"/>
    <n v="4381811"/>
    <n v="360"/>
    <d v="2016-04-27T00:00:00"/>
    <x v="2"/>
    <n v="3"/>
    <n v="1"/>
    <n v="2"/>
    <n v="0"/>
    <n v="0"/>
  </r>
  <r>
    <n v="8173935"/>
    <s v="Micro pyme"/>
    <n v="26913436"/>
    <s v="Tarjeta"/>
    <n v="2249865"/>
    <n v="2249865"/>
    <n v="212808"/>
    <n v="30"/>
    <d v="2016-05-18T00:00:00"/>
    <x v="0"/>
    <n v="3"/>
    <n v="2"/>
    <n v="1"/>
    <n v="1"/>
    <n v="0"/>
  </r>
  <r>
    <n v="8173944"/>
    <s v="Micro pyme"/>
    <n v="21732738"/>
    <s v="Tarjeta"/>
    <n v="211662"/>
    <n v="211662"/>
    <n v="89563"/>
    <n v="60"/>
    <d v="2016-05-01T00:00:00"/>
    <x v="0"/>
    <n v="3"/>
    <n v="1"/>
    <n v="2"/>
    <n v="0"/>
    <n v="0"/>
  </r>
  <r>
    <n v="8173948"/>
    <s v="Micro pyme"/>
    <n v="12213655"/>
    <s v="Tarjeta"/>
    <n v="57228"/>
    <n v="57228"/>
    <n v="8578"/>
    <n v="30"/>
    <d v="2016-05-18T00:00:00"/>
    <x v="0"/>
    <n v="3"/>
    <n v="0"/>
    <n v="3"/>
    <n v="1"/>
    <n v="0"/>
  </r>
  <r>
    <n v="8174057"/>
    <s v="Preferencial"/>
    <n v="25232710"/>
    <s v="Tarjeta"/>
    <n v="28330895"/>
    <n v="20221250"/>
    <n v="1935578"/>
    <n v="30"/>
    <d v="2016-05-18T00:00:00"/>
    <x v="0"/>
    <n v="3"/>
    <n v="1"/>
    <n v="2"/>
    <n v="2"/>
    <n v="967789"/>
  </r>
  <r>
    <n v="8174057"/>
    <s v="Preferencial"/>
    <n v="26383422"/>
    <s v="Rotativo"/>
    <n v="28330895"/>
    <n v="4854544"/>
    <n v="462851"/>
    <n v="54"/>
    <d v="2016-04-21T00:00:00"/>
    <x v="0"/>
    <n v="3"/>
    <n v="1"/>
    <n v="2"/>
    <n v="0"/>
    <n v="0"/>
  </r>
  <r>
    <n v="8174057"/>
    <s v="Preferencial"/>
    <n v="26909240"/>
    <s v="Rotativo"/>
    <n v="28330895"/>
    <n v="176853"/>
    <n v="60413"/>
    <n v="54"/>
    <d v="2016-04-21T00:00:00"/>
    <x v="0"/>
    <n v="3"/>
    <n v="1"/>
    <n v="2"/>
    <n v="1"/>
    <n v="0"/>
  </r>
  <r>
    <n v="8174057"/>
    <s v="Preferencial"/>
    <n v="28215222"/>
    <s v="Rotativo"/>
    <n v="28330895"/>
    <n v="735265"/>
    <n v="38822"/>
    <n v="24"/>
    <d v="2016-05-17T00:00:00"/>
    <x v="0"/>
    <n v="3"/>
    <n v="1"/>
    <n v="2"/>
    <n v="0"/>
    <n v="0"/>
  </r>
  <r>
    <n v="8174059"/>
    <s v="Personal"/>
    <n v="22099246"/>
    <s v="Tarjeta"/>
    <n v="2997089"/>
    <n v="389510"/>
    <n v="74041"/>
    <n v="60"/>
    <d v="2016-05-18T00:00:00"/>
    <x v="2"/>
    <n v="3"/>
    <n v="0"/>
    <n v="3"/>
    <n v="1"/>
    <n v="74041"/>
  </r>
  <r>
    <n v="8174059"/>
    <s v="Personal"/>
    <n v="23427410"/>
    <s v="Tarjeta"/>
    <n v="2997089"/>
    <n v="2607579"/>
    <n v="2607579"/>
    <n v="120"/>
    <d v="2016-05-18T00:00:00"/>
    <x v="2"/>
    <n v="3"/>
    <n v="1"/>
    <n v="2"/>
    <n v="2"/>
    <n v="0"/>
  </r>
  <r>
    <n v="8174167"/>
    <s v="Micro pyme"/>
    <n v="22474920"/>
    <s v="Tarjeta"/>
    <n v="4085316"/>
    <n v="4085316"/>
    <n v="451375"/>
    <n v="30"/>
    <d v="2016-05-18T00:00:00"/>
    <x v="0"/>
    <n v="3"/>
    <n v="1"/>
    <n v="2"/>
    <n v="0"/>
    <n v="0"/>
  </r>
  <r>
    <n v="8174228"/>
    <s v="Personal"/>
    <n v="25119402"/>
    <s v="Tarjeta"/>
    <n v="14585454"/>
    <n v="5223502"/>
    <n v="300425"/>
    <n v="30"/>
    <d v="2016-05-14T00:00:00"/>
    <x v="2"/>
    <n v="3"/>
    <n v="1"/>
    <n v="2"/>
    <n v="1"/>
    <n v="0"/>
  </r>
  <r>
    <n v="8174723"/>
    <s v="Personal"/>
    <n v="20516171"/>
    <s v="Tarjeta"/>
    <n v="9012644"/>
    <n v="1862360"/>
    <n v="1862360"/>
    <n v="270"/>
    <d v="2016-04-27T00:00:00"/>
    <x v="2"/>
    <n v="3"/>
    <n v="1"/>
    <n v="2"/>
    <n v="0"/>
    <n v="1862360"/>
  </r>
  <r>
    <n v="8174723"/>
    <s v="Personal"/>
    <n v="22647176"/>
    <s v="Libranza"/>
    <n v="9012644"/>
    <n v="7150283"/>
    <n v="1619568"/>
    <n v="204"/>
    <d v="2016-03-17T00:00:00"/>
    <x v="2"/>
    <n v="3"/>
    <n v="0"/>
    <n v="3"/>
    <n v="1"/>
    <n v="0"/>
  </r>
  <r>
    <n v="8174927"/>
    <s v="Micro pyme"/>
    <n v="25357564"/>
    <s v="Tarjeta"/>
    <n v="58864"/>
    <n v="58864"/>
    <n v="19716"/>
    <n v="30"/>
    <d v="2016-05-31T00:00:00"/>
    <x v="1"/>
    <n v="3"/>
    <n v="1"/>
    <n v="2"/>
    <n v="2"/>
    <n v="0"/>
  </r>
  <r>
    <n v="8175003"/>
    <s v="Micro pyme"/>
    <n v="11405813"/>
    <s v="Tarjeta"/>
    <n v="2606591"/>
    <n v="926229"/>
    <n v="134045"/>
    <n v="30"/>
    <d v="2016-05-31T00:00:00"/>
    <x v="1"/>
    <n v="3"/>
    <n v="1"/>
    <n v="2"/>
    <n v="0"/>
    <n v="134045"/>
  </r>
  <r>
    <n v="8175087"/>
    <s v="Micro pyme"/>
    <n v="26656234"/>
    <s v="Tarjeta"/>
    <n v="2177151"/>
    <n v="2177151"/>
    <n v="2177151"/>
    <n v="120"/>
    <d v="2016-05-18T00:00:00"/>
    <x v="2"/>
    <n v="3"/>
    <n v="1"/>
    <n v="2"/>
    <n v="1"/>
    <n v="2177151"/>
  </r>
  <r>
    <n v="8175094"/>
    <s v="Micro pyme"/>
    <n v="25678340"/>
    <s v="Tarjeta"/>
    <n v="1028114"/>
    <n v="1028114"/>
    <n v="120863"/>
    <n v="30"/>
    <d v="2016-05-31T00:00:00"/>
    <x v="1"/>
    <n v="3"/>
    <n v="2"/>
    <n v="1"/>
    <n v="0"/>
    <n v="1028114"/>
  </r>
  <r>
    <n v="8175117"/>
    <s v="Micro pyme"/>
    <n v="21924524"/>
    <s v="Tarjeta"/>
    <n v="2312783"/>
    <n v="1693015"/>
    <n v="164418"/>
    <n v="30"/>
    <d v="2016-05-18T00:00:00"/>
    <x v="0"/>
    <n v="3"/>
    <n v="1"/>
    <n v="2"/>
    <n v="0"/>
    <n v="54806"/>
  </r>
  <r>
    <n v="8175117"/>
    <s v="Micro pyme"/>
    <n v="24163237"/>
    <s v="Tarjeta"/>
    <n v="2312783"/>
    <n v="619769"/>
    <n v="48528"/>
    <n v="30"/>
    <d v="2016-05-29T00:00:00"/>
    <x v="0"/>
    <n v="3"/>
    <n v="0"/>
    <n v="3"/>
    <n v="2"/>
    <n v="0"/>
  </r>
  <r>
    <n v="8175233"/>
    <s v="Micro pyme"/>
    <n v="27048969"/>
    <s v="Tarjeta"/>
    <n v="1756228"/>
    <n v="1756228"/>
    <n v="166626"/>
    <n v="30"/>
    <d v="2016-05-31T00:00:00"/>
    <x v="1"/>
    <n v="3"/>
    <n v="1"/>
    <n v="2"/>
    <n v="1"/>
    <n v="83313"/>
  </r>
  <r>
    <n v="8175412"/>
    <s v="Micro pyme"/>
    <n v="27722229"/>
    <s v="Tarjeta"/>
    <n v="2779403"/>
    <n v="1230688"/>
    <n v="11709"/>
    <n v="30"/>
    <d v="2016-04-20T00:00:00"/>
    <x v="0"/>
    <n v="3"/>
    <n v="1"/>
    <n v="2"/>
    <n v="1"/>
    <n v="11709"/>
  </r>
  <r>
    <n v="8175432"/>
    <s v="Personal"/>
    <n v="26725384"/>
    <s v="Tarjeta"/>
    <n v="19550598"/>
    <n v="905521"/>
    <n v="55875"/>
    <n v="30"/>
    <d v="2016-05-31T00:00:00"/>
    <x v="1"/>
    <n v="3"/>
    <n v="1"/>
    <n v="2"/>
    <n v="0"/>
    <n v="0"/>
  </r>
  <r>
    <n v="8175434"/>
    <s v="Preferencial"/>
    <n v="21490702"/>
    <s v="Consumo"/>
    <n v="38184408"/>
    <n v="3305009"/>
    <n v="3305009"/>
    <n v="454"/>
    <d v="2015-11-20T00:00:00"/>
    <x v="2"/>
    <n v="3"/>
    <n v="1"/>
    <n v="2"/>
    <n v="0"/>
    <n v="3305009"/>
  </r>
  <r>
    <n v="8175434"/>
    <s v="Preferencial"/>
    <n v="22984080"/>
    <s v="Rotativo"/>
    <n v="38184408"/>
    <n v="1247624"/>
    <n v="847109"/>
    <n v="329"/>
    <d v="2015-11-20T00:00:00"/>
    <x v="2"/>
    <n v="3"/>
    <n v="0"/>
    <n v="3"/>
    <n v="2"/>
    <n v="423554"/>
  </r>
  <r>
    <n v="8175434"/>
    <s v="Preferencial"/>
    <n v="22984353"/>
    <s v="Rotativo"/>
    <n v="38184408"/>
    <n v="1603173"/>
    <n v="1088545"/>
    <n v="329"/>
    <d v="2015-11-20T00:00:00"/>
    <x v="2"/>
    <n v="3"/>
    <n v="1"/>
    <n v="2"/>
    <n v="1"/>
    <n v="0"/>
  </r>
  <r>
    <n v="8175434"/>
    <s v="Preferencial"/>
    <n v="23068002"/>
    <s v="Rotativo"/>
    <n v="38184408"/>
    <n v="1829873"/>
    <n v="1153476"/>
    <n v="329"/>
    <d v="2015-11-20T00:00:00"/>
    <x v="2"/>
    <n v="3"/>
    <n v="1"/>
    <n v="2"/>
    <n v="1"/>
    <n v="0"/>
  </r>
  <r>
    <n v="8175434"/>
    <s v="Preferencial"/>
    <n v="23123539"/>
    <s v="Rotativo"/>
    <n v="38184408"/>
    <n v="2897450"/>
    <n v="2211719"/>
    <n v="571"/>
    <d v="2015-11-20T00:00:00"/>
    <x v="2"/>
    <n v="3"/>
    <n v="1"/>
    <n v="2"/>
    <n v="0"/>
    <n v="2211719"/>
  </r>
  <r>
    <n v="8175434"/>
    <s v="Preferencial"/>
    <n v="23827455"/>
    <s v="Tarjeta"/>
    <n v="38184408"/>
    <n v="4065749"/>
    <n v="4065749"/>
    <n v="360"/>
    <d v="2015-11-20T00:00:00"/>
    <x v="2"/>
    <n v="3"/>
    <n v="1"/>
    <n v="2"/>
    <n v="0"/>
    <n v="4065749"/>
  </r>
  <r>
    <n v="8175434"/>
    <s v="Preferencial"/>
    <n v="24903975"/>
    <s v="Rotativo"/>
    <n v="38184408"/>
    <n v="2170233"/>
    <n v="1334071"/>
    <n v="602"/>
    <d v="2015-11-20T00:00:00"/>
    <x v="2"/>
    <n v="3"/>
    <n v="0"/>
    <n v="3"/>
    <n v="2"/>
    <n v="444690"/>
  </r>
  <r>
    <n v="8175521"/>
    <s v="Micro pyme"/>
    <n v="28584078"/>
    <s v="Tarjeta"/>
    <n v="2257448"/>
    <n v="935943"/>
    <n v="82164"/>
    <n v="30"/>
    <d v="2016-06-03T00:00:00"/>
    <x v="0"/>
    <n v="3"/>
    <n v="1"/>
    <n v="2"/>
    <n v="1"/>
    <n v="82164"/>
  </r>
  <r>
    <n v="8177174"/>
    <s v="Micro pyme"/>
    <n v="16031676"/>
    <s v="Tarjeta"/>
    <n v="2250334"/>
    <n v="1140847"/>
    <n v="403364"/>
    <n v="60"/>
    <d v="2016-04-30T00:00:00"/>
    <x v="0"/>
    <n v="3"/>
    <n v="1"/>
    <n v="2"/>
    <n v="1"/>
    <n v="134455"/>
  </r>
  <r>
    <n v="8177174"/>
    <s v="Micro pyme"/>
    <n v="17210228"/>
    <s v="Tarjeta"/>
    <n v="2250334"/>
    <n v="1109487"/>
    <n v="372978"/>
    <n v="60"/>
    <d v="2016-05-01T00:00:00"/>
    <x v="0"/>
    <n v="3"/>
    <n v="1"/>
    <n v="2"/>
    <n v="0"/>
    <n v="372978"/>
  </r>
  <r>
    <n v="8177716"/>
    <s v="Micro pyme"/>
    <n v="26262210"/>
    <s v="Tarjeta"/>
    <n v="1542416"/>
    <n v="1542416"/>
    <n v="338657"/>
    <n v="60"/>
    <d v="2016-05-01T00:00:00"/>
    <x v="0"/>
    <n v="3"/>
    <n v="2"/>
    <n v="1"/>
    <n v="0"/>
    <n v="1542416"/>
  </r>
  <r>
    <n v="8177887"/>
    <s v="Personal"/>
    <n v="26004795"/>
    <s v="Tarjeta"/>
    <n v="16645036"/>
    <n v="4070571"/>
    <n v="4070571"/>
    <n v="360"/>
    <d v="2015-11-28T00:00:00"/>
    <x v="2"/>
    <n v="3"/>
    <n v="1"/>
    <n v="2"/>
    <n v="1"/>
    <n v="423554"/>
  </r>
  <r>
    <n v="8178293"/>
    <s v="Micro pyme"/>
    <n v="19935619"/>
    <s v="Tarjeta"/>
    <n v="190232"/>
    <n v="190232"/>
    <n v="14567"/>
    <n v="30"/>
    <d v="2016-05-18T00:00:00"/>
    <x v="0"/>
    <n v="3"/>
    <n v="0"/>
    <n v="3"/>
    <n v="1"/>
    <n v="0"/>
  </r>
  <r>
    <n v="8178346"/>
    <s v="Personal"/>
    <n v="26154252"/>
    <s v="Tarjeta"/>
    <n v="8304178"/>
    <n v="2221749"/>
    <n v="403716"/>
    <n v="30"/>
    <d v="2016-05-29T00:00:00"/>
    <x v="0"/>
    <n v="3"/>
    <n v="1"/>
    <n v="2"/>
    <n v="2"/>
    <n v="0"/>
  </r>
  <r>
    <n v="8180768"/>
    <s v="Micro pyme"/>
    <n v="1438298"/>
    <s v="Tarjeta"/>
    <n v="1927436"/>
    <n v="1927436"/>
    <n v="81599"/>
    <n v="30"/>
    <d v="2016-05-31T00:00:00"/>
    <x v="1"/>
    <n v="3"/>
    <n v="1"/>
    <n v="2"/>
    <n v="0"/>
    <n v="0"/>
  </r>
  <r>
    <n v="8181055"/>
    <s v="Personal"/>
    <n v="21622993"/>
    <s v="Tarjeta"/>
    <n v="7170559"/>
    <n v="1436715"/>
    <n v="1436715"/>
    <n v="360"/>
    <d v="2016-03-14T00:00:00"/>
    <x v="2"/>
    <n v="3"/>
    <n v="1"/>
    <n v="2"/>
    <n v="0"/>
    <n v="478905"/>
  </r>
  <r>
    <n v="8181055"/>
    <s v="Personal"/>
    <n v="21623286"/>
    <s v="Tarjeta"/>
    <n v="7170559"/>
    <n v="2282558"/>
    <n v="2282558"/>
    <n v="360"/>
    <d v="2016-04-27T00:00:00"/>
    <x v="2"/>
    <n v="3"/>
    <n v="1"/>
    <n v="2"/>
    <n v="1"/>
    <n v="760853"/>
  </r>
  <r>
    <n v="8181850"/>
    <s v="Micro pyme"/>
    <n v="16943512"/>
    <s v="Tarjeta"/>
    <n v="3150543"/>
    <n v="3150543"/>
    <n v="356551"/>
    <n v="30"/>
    <d v="2016-05-18T00:00:00"/>
    <x v="0"/>
    <n v="3"/>
    <n v="0"/>
    <n v="3"/>
    <n v="1"/>
    <n v="0"/>
  </r>
  <r>
    <n v="8182206"/>
    <s v="Preferencial"/>
    <n v="12411571"/>
    <s v="Tarjeta"/>
    <n v="24483414"/>
    <n v="4750021"/>
    <n v="4750021"/>
    <n v="360"/>
    <d v="2015-11-21T00:00:00"/>
    <x v="2"/>
    <n v="3"/>
    <n v="1"/>
    <n v="2"/>
    <n v="2"/>
    <n v="0"/>
  </r>
  <r>
    <n v="8182206"/>
    <s v="Preferencial"/>
    <n v="15355963"/>
    <s v="Tarjeta"/>
    <n v="24483414"/>
    <n v="4749692"/>
    <n v="4749692"/>
    <n v="360"/>
    <d v="2015-11-21T00:00:00"/>
    <x v="2"/>
    <n v="3"/>
    <n v="1"/>
    <n v="2"/>
    <n v="0"/>
    <n v="0"/>
  </r>
  <r>
    <n v="8182206"/>
    <s v="Preferencial"/>
    <n v="15356943"/>
    <s v="Tarjeta"/>
    <n v="24483414"/>
    <n v="4910018"/>
    <n v="4910018"/>
    <n v="360"/>
    <d v="2015-11-21T00:00:00"/>
    <x v="2"/>
    <n v="3"/>
    <n v="1"/>
    <n v="2"/>
    <n v="0"/>
    <n v="0"/>
  </r>
  <r>
    <n v="8182453"/>
    <s v="Preferencial"/>
    <n v="4284933"/>
    <s v="Tarjeta"/>
    <n v="19225783"/>
    <n v="1976706"/>
    <n v="306376"/>
    <n v="60"/>
    <d v="2016-04-30T00:00:00"/>
    <x v="0"/>
    <n v="3"/>
    <n v="1"/>
    <n v="2"/>
    <n v="1"/>
    <n v="306376"/>
  </r>
  <r>
    <n v="8182453"/>
    <s v="Preferencial"/>
    <n v="10408712"/>
    <s v="Tarjeta"/>
    <n v="19225783"/>
    <n v="4206613"/>
    <n v="338481"/>
    <n v="30"/>
    <d v="2016-05-18T00:00:00"/>
    <x v="0"/>
    <n v="3"/>
    <n v="0"/>
    <n v="3"/>
    <n v="1"/>
    <n v="338481"/>
  </r>
  <r>
    <n v="8182453"/>
    <s v="Preferencial"/>
    <n v="15475872"/>
    <s v="Tarjeta"/>
    <n v="19225783"/>
    <n v="5046959"/>
    <n v="513749"/>
    <n v="30"/>
    <d v="2016-05-29T00:00:00"/>
    <x v="0"/>
    <n v="3"/>
    <n v="1"/>
    <n v="2"/>
    <n v="2"/>
    <n v="0"/>
  </r>
  <r>
    <n v="8183550"/>
    <s v="Micro pyme"/>
    <n v="25922154"/>
    <s v="Tarjeta"/>
    <n v="1817928"/>
    <n v="747521"/>
    <n v="91498"/>
    <n v="30"/>
    <d v="2016-05-31T00:00:00"/>
    <x v="1"/>
    <n v="3"/>
    <n v="1"/>
    <n v="2"/>
    <n v="0"/>
    <n v="0"/>
  </r>
  <r>
    <n v="8183593"/>
    <s v="Personal"/>
    <n v="3487181"/>
    <s v="Tarjeta"/>
    <n v="5664055"/>
    <n v="3395196"/>
    <n v="3395196"/>
    <n v="150"/>
    <d v="2016-04-20T00:00:00"/>
    <x v="2"/>
    <n v="3"/>
    <n v="1"/>
    <n v="2"/>
    <n v="0"/>
    <n v="3395196"/>
  </r>
  <r>
    <n v="8183593"/>
    <s v="Personal"/>
    <n v="3487537"/>
    <s v="Tarjeta"/>
    <n v="5664055"/>
    <n v="2268860"/>
    <n v="2268860"/>
    <n v="150"/>
    <d v="2016-04-30T00:00:00"/>
    <x v="2"/>
    <n v="3"/>
    <n v="2"/>
    <n v="1"/>
    <n v="1"/>
    <n v="0"/>
  </r>
  <r>
    <n v="8183881"/>
    <s v="Micro pyme"/>
    <n v="25845909"/>
    <s v="Tarjeta"/>
    <n v="1935142"/>
    <n v="909660"/>
    <n v="133003"/>
    <n v="90"/>
    <d v="2016-04-21T00:00:00"/>
    <x v="2"/>
    <n v="3"/>
    <n v="1"/>
    <n v="2"/>
    <n v="0"/>
    <n v="133003"/>
  </r>
  <r>
    <n v="8183881"/>
    <s v="Micro pyme"/>
    <n v="25846725"/>
    <s v="Tarjeta"/>
    <n v="1935142"/>
    <n v="1025482"/>
    <n v="1025482"/>
    <n v="150"/>
    <d v="2016-05-19T00:00:00"/>
    <x v="2"/>
    <n v="3"/>
    <n v="0"/>
    <n v="3"/>
    <n v="2"/>
    <n v="0"/>
  </r>
  <r>
    <n v="8184628"/>
    <s v="Micro pyme"/>
    <n v="24982681"/>
    <s v="Tarjeta"/>
    <n v="1018077"/>
    <n v="1018077"/>
    <n v="113865"/>
    <n v="30"/>
    <d v="2016-05-19T00:00:00"/>
    <x v="0"/>
    <n v="3"/>
    <n v="1"/>
    <n v="2"/>
    <n v="1"/>
    <n v="0"/>
  </r>
  <r>
    <n v="8184681"/>
    <s v="Micro pyme"/>
    <n v="21188298"/>
    <s v="Tarjeta"/>
    <n v="2297800"/>
    <n v="851335"/>
    <n v="65115"/>
    <n v="30"/>
    <d v="2016-06-01T00:00:00"/>
    <x v="0"/>
    <n v="3"/>
    <n v="1"/>
    <n v="2"/>
    <n v="0"/>
    <n v="65115"/>
  </r>
  <r>
    <n v="8184854"/>
    <s v="Preferencial"/>
    <n v="22156065"/>
    <s v="Tarjeta"/>
    <n v="64339037"/>
    <n v="2272100"/>
    <n v="2272100"/>
    <n v="360"/>
    <d v="2016-05-16T00:00:00"/>
    <x v="2"/>
    <n v="3"/>
    <n v="1"/>
    <n v="2"/>
    <n v="1"/>
    <n v="0"/>
  </r>
  <r>
    <n v="8185898"/>
    <s v="Micro pyme"/>
    <n v="26379550"/>
    <s v="Tarjeta"/>
    <n v="1193925"/>
    <n v="1193925"/>
    <n v="58785"/>
    <n v="30"/>
    <d v="2016-05-18T00:00:00"/>
    <x v="0"/>
    <n v="3"/>
    <n v="1"/>
    <n v="2"/>
    <n v="0"/>
    <n v="1193925"/>
  </r>
  <r>
    <n v="8186426"/>
    <s v="Micro pyme"/>
    <n v="22931031"/>
    <s v="Tarjeta"/>
    <n v="80992"/>
    <n v="80992"/>
    <n v="77981"/>
    <n v="210"/>
    <d v="2016-03-18T00:00:00"/>
    <x v="2"/>
    <n v="3"/>
    <n v="0"/>
    <n v="3"/>
    <n v="2"/>
    <n v="80992"/>
  </r>
  <r>
    <n v="8187113"/>
    <s v="Micro pyme"/>
    <n v="21767160"/>
    <s v="Tarjeta"/>
    <n v="950272"/>
    <n v="950272"/>
    <n v="339772"/>
    <n v="60"/>
    <d v="2016-04-20T00:00:00"/>
    <x v="0"/>
    <n v="3"/>
    <n v="1"/>
    <n v="2"/>
    <n v="1"/>
    <n v="169887"/>
  </r>
  <r>
    <n v="8187231"/>
    <s v="Micro pyme"/>
    <n v="28056854"/>
    <s v="Tarjeta"/>
    <n v="1217947"/>
    <n v="1217947"/>
    <n v="155692"/>
    <n v="30"/>
    <d v="2016-06-01T00:00:00"/>
    <x v="0"/>
    <n v="3"/>
    <n v="1"/>
    <n v="2"/>
    <n v="0"/>
    <n v="0"/>
  </r>
  <r>
    <n v="8187553"/>
    <s v="Micro pyme"/>
    <n v="27233220"/>
    <s v="Tarjeta"/>
    <n v="711171"/>
    <n v="711171"/>
    <n v="711171"/>
    <n v="150"/>
    <d v="2016-05-18T00:00:00"/>
    <x v="2"/>
    <n v="3"/>
    <n v="1"/>
    <n v="2"/>
    <n v="1"/>
    <n v="355586"/>
  </r>
  <r>
    <n v="8187734"/>
    <s v="Micro pyme"/>
    <n v="10938673"/>
    <s v="Tarjeta"/>
    <n v="3234783"/>
    <n v="585862"/>
    <n v="80085"/>
    <n v="30"/>
    <d v="2016-06-01T00:00:00"/>
    <x v="0"/>
    <n v="3"/>
    <n v="1"/>
    <n v="2"/>
    <n v="0"/>
    <n v="0"/>
  </r>
  <r>
    <n v="8187955"/>
    <s v="Micro pyme"/>
    <n v="22742458"/>
    <s v="Tarjeta"/>
    <n v="352233"/>
    <n v="352233"/>
    <n v="73589"/>
    <n v="30"/>
    <d v="2016-05-31T00:00:00"/>
    <x v="1"/>
    <n v="3"/>
    <n v="0"/>
    <n v="3"/>
    <n v="2"/>
    <n v="24530"/>
  </r>
  <r>
    <n v="8188190"/>
    <s v="Preferencial"/>
    <n v="22079343"/>
    <s v="Consumo"/>
    <n v="12483625"/>
    <n v="7036041"/>
    <n v="1419385"/>
    <n v="67"/>
    <d v="2016-06-02T00:00:00"/>
    <x v="0"/>
    <n v="3"/>
    <n v="1"/>
    <n v="2"/>
    <n v="1"/>
    <n v="709693"/>
  </r>
  <r>
    <n v="8188190"/>
    <s v="Preferencial"/>
    <n v="23063678"/>
    <s v="Tarjeta"/>
    <n v="12483625"/>
    <n v="1753736"/>
    <n v="175160"/>
    <n v="30"/>
    <d v="2016-06-02T00:00:00"/>
    <x v="0"/>
    <n v="3"/>
    <n v="1"/>
    <n v="2"/>
    <n v="0"/>
    <n v="0"/>
  </r>
  <r>
    <n v="8188190"/>
    <s v="Preferencial"/>
    <n v="23064775"/>
    <s v="Tarjeta"/>
    <n v="12483625"/>
    <n v="3693847"/>
    <n v="557137"/>
    <n v="60"/>
    <d v="2016-06-02T00:00:00"/>
    <x v="0"/>
    <n v="3"/>
    <n v="1"/>
    <n v="2"/>
    <n v="1"/>
    <n v="0"/>
  </r>
  <r>
    <n v="8188778"/>
    <s v="Personal"/>
    <n v="24100840"/>
    <s v="Tarjeta"/>
    <n v="7439754"/>
    <n v="908827"/>
    <n v="283675"/>
    <n v="60"/>
    <d v="2016-04-27T00:00:00"/>
    <x v="0"/>
    <n v="3"/>
    <n v="2"/>
    <n v="1"/>
    <n v="0"/>
    <n v="0"/>
  </r>
  <r>
    <n v="8188778"/>
    <s v="Personal"/>
    <n v="24358304"/>
    <s v="Tarjeta"/>
    <n v="7439754"/>
    <n v="2816341"/>
    <n v="971609"/>
    <n v="60"/>
    <d v="2016-04-21T00:00:00"/>
    <x v="0"/>
    <n v="3"/>
    <n v="1"/>
    <n v="2"/>
    <n v="1"/>
    <n v="2816341"/>
  </r>
  <r>
    <n v="8188778"/>
    <s v="Personal"/>
    <n v="24359949"/>
    <s v="Tarjeta"/>
    <n v="7439754"/>
    <n v="3714585"/>
    <n v="1184221"/>
    <n v="60"/>
    <d v="2016-04-20T00:00:00"/>
    <x v="0"/>
    <n v="3"/>
    <n v="0"/>
    <n v="3"/>
    <n v="1"/>
    <n v="0"/>
  </r>
  <r>
    <n v="8188922"/>
    <s v="Preferencial"/>
    <n v="25276234"/>
    <s v="Tarjeta"/>
    <n v="42140387"/>
    <n v="2865296"/>
    <n v="1302447"/>
    <n v="90"/>
    <d v="2016-03-30T00:00:00"/>
    <x v="2"/>
    <n v="3"/>
    <n v="1"/>
    <n v="2"/>
    <n v="1"/>
    <n v="2865296"/>
  </r>
  <r>
    <n v="8188922"/>
    <s v="Preferencial"/>
    <n v="25278013"/>
    <s v="Tarjeta"/>
    <n v="42140387"/>
    <n v="2100174"/>
    <n v="1245483"/>
    <n v="90"/>
    <d v="2016-04-27T00:00:00"/>
    <x v="2"/>
    <n v="3"/>
    <n v="1"/>
    <n v="2"/>
    <n v="1"/>
    <n v="0"/>
  </r>
  <r>
    <n v="8188922"/>
    <s v="Preferencial"/>
    <n v="25291355"/>
    <s v="Tarjeta"/>
    <n v="42140387"/>
    <n v="3082649"/>
    <n v="1744432"/>
    <n v="90"/>
    <d v="2016-03-19T00:00:00"/>
    <x v="2"/>
    <n v="3"/>
    <n v="1"/>
    <n v="2"/>
    <n v="0"/>
    <n v="0"/>
  </r>
  <r>
    <n v="8188922"/>
    <s v="Preferencial"/>
    <n v="26207742"/>
    <s v="Vehiculo"/>
    <n v="42140387"/>
    <n v="34092268"/>
    <n v="3610861"/>
    <n v="62"/>
    <d v="2016-04-08T00:00:00"/>
    <x v="2"/>
    <n v="3"/>
    <n v="1"/>
    <n v="2"/>
    <n v="1"/>
    <n v="3610861"/>
  </r>
  <r>
    <n v="8241775"/>
    <s v="Micro pyme"/>
    <n v="25340462"/>
    <s v="Tarjeta"/>
    <n v="1888459"/>
    <n v="1136361"/>
    <n v="25878"/>
    <n v="30"/>
    <d v="2016-04-27T00:00:00"/>
    <x v="0"/>
    <n v="3"/>
    <n v="0"/>
    <n v="3"/>
    <n v="1"/>
    <n v="25878"/>
  </r>
  <r>
    <n v="8241793"/>
    <s v="Micro pyme"/>
    <n v="25338590"/>
    <s v="Tarjeta"/>
    <n v="2624528"/>
    <n v="702535"/>
    <n v="178447"/>
    <n v="60"/>
    <d v="2016-05-31T00:00:00"/>
    <x v="1"/>
    <n v="3"/>
    <n v="1"/>
    <n v="2"/>
    <n v="1"/>
    <n v="178447"/>
  </r>
  <r>
    <n v="8241793"/>
    <s v="Micro pyme"/>
    <n v="27398392"/>
    <s v="Tarjeta"/>
    <n v="2624528"/>
    <n v="1007442"/>
    <n v="110538"/>
    <n v="30"/>
    <d v="2016-05-31T00:00:00"/>
    <x v="1"/>
    <n v="3"/>
    <n v="1"/>
    <n v="2"/>
    <n v="1"/>
    <n v="0"/>
  </r>
  <r>
    <n v="8250710"/>
    <s v="Micro pyme"/>
    <n v="27049625"/>
    <s v="Tarjeta"/>
    <n v="1435778"/>
    <n v="1435778"/>
    <n v="147013"/>
    <n v="30"/>
    <d v="2016-05-31T00:00:00"/>
    <x v="1"/>
    <n v="3"/>
    <n v="1"/>
    <n v="2"/>
    <n v="0"/>
    <n v="0"/>
  </r>
  <r>
    <n v="8250963"/>
    <s v="Micro pyme"/>
    <n v="27064250"/>
    <s v="Tarjeta"/>
    <n v="408549"/>
    <n v="385735"/>
    <n v="11529"/>
    <n v="30"/>
    <d v="2016-05-18T00:00:00"/>
    <x v="0"/>
    <n v="3"/>
    <n v="1"/>
    <n v="2"/>
    <n v="1"/>
    <n v="0"/>
  </r>
  <r>
    <n v="8251019"/>
    <s v="Personal"/>
    <n v="23719460"/>
    <s v="Tarjeta"/>
    <n v="6326884"/>
    <n v="1649900"/>
    <n v="1649900"/>
    <n v="210"/>
    <d v="2016-04-01T00:00:00"/>
    <x v="2"/>
    <n v="3"/>
    <n v="0"/>
    <n v="3"/>
    <n v="1"/>
    <n v="824950"/>
  </r>
  <r>
    <n v="8251019"/>
    <s v="Personal"/>
    <n v="25290944"/>
    <s v="Tarjeta"/>
    <n v="6326884"/>
    <n v="4676984"/>
    <n v="4676984"/>
    <n v="210"/>
    <d v="2016-04-02T00:00:00"/>
    <x v="2"/>
    <n v="3"/>
    <n v="1"/>
    <n v="2"/>
    <n v="1"/>
    <n v="4676984"/>
  </r>
  <r>
    <n v="8251177"/>
    <s v="Micro pyme"/>
    <n v="21128914"/>
    <s v="Tarjeta"/>
    <n v="1027904"/>
    <n v="982169"/>
    <n v="982169"/>
    <n v="150"/>
    <d v="2016-05-28T00:00:00"/>
    <x v="2"/>
    <n v="3"/>
    <n v="1"/>
    <n v="2"/>
    <n v="1"/>
    <n v="0"/>
  </r>
  <r>
    <n v="8251177"/>
    <s v="Micro pyme"/>
    <n v="21131643"/>
    <s v="Tarjeta"/>
    <n v="1027904"/>
    <n v="26121"/>
    <n v="26121"/>
    <n v="210"/>
    <d v="2016-04-27T00:00:00"/>
    <x v="2"/>
    <n v="3"/>
    <n v="1"/>
    <n v="2"/>
    <n v="0"/>
    <n v="26121"/>
  </r>
  <r>
    <n v="8259541"/>
    <s v="Micro pyme"/>
    <n v="25529977"/>
    <s v="Tarjeta"/>
    <n v="538227"/>
    <n v="533217"/>
    <n v="6040"/>
    <n v="30"/>
    <d v="2016-05-18T00:00:00"/>
    <x v="0"/>
    <n v="3"/>
    <n v="2"/>
    <n v="1"/>
    <n v="1"/>
    <n v="0"/>
  </r>
  <r>
    <n v="8259637"/>
    <s v="Preferencial"/>
    <n v="22944995"/>
    <s v="Tarjeta"/>
    <n v="57385481"/>
    <n v="280444"/>
    <n v="102265"/>
    <n v="30"/>
    <d v="2016-05-31T00:00:00"/>
    <x v="2"/>
    <n v="3"/>
    <n v="1"/>
    <n v="2"/>
    <n v="0"/>
    <n v="102265"/>
  </r>
  <r>
    <n v="8259892"/>
    <s v="Personal"/>
    <n v="27130647"/>
    <s v="Tarjeta"/>
    <n v="20889493"/>
    <n v="1901677"/>
    <n v="7024"/>
    <n v="30"/>
    <d v="2016-05-19T00:00:00"/>
    <x v="0"/>
    <n v="3"/>
    <n v="0"/>
    <n v="3"/>
    <n v="1"/>
    <n v="0"/>
  </r>
  <r>
    <n v="8259910"/>
    <s v="Micro pyme"/>
    <n v="25711831"/>
    <s v="Tarjeta"/>
    <n v="946958"/>
    <n v="946958"/>
    <n v="170212"/>
    <n v="30"/>
    <d v="2016-05-18T00:00:00"/>
    <x v="0"/>
    <n v="3"/>
    <n v="1"/>
    <n v="2"/>
    <n v="2"/>
    <n v="0"/>
  </r>
  <r>
    <n v="8259919"/>
    <s v="Preferencial"/>
    <n v="22073982"/>
    <s v="Tarjeta"/>
    <n v="55348576"/>
    <n v="1314630"/>
    <n v="343824"/>
    <n v="30"/>
    <d v="2016-05-18T00:00:00"/>
    <x v="2"/>
    <n v="3"/>
    <n v="1"/>
    <n v="2"/>
    <n v="0"/>
    <n v="114608"/>
  </r>
  <r>
    <n v="8260027"/>
    <s v="Micro pyme"/>
    <n v="24186163"/>
    <s v="Tarjeta"/>
    <n v="802918"/>
    <n v="802918"/>
    <n v="111844"/>
    <n v="30"/>
    <d v="2016-05-18T00:00:00"/>
    <x v="0"/>
    <n v="3"/>
    <n v="1"/>
    <n v="2"/>
    <n v="1"/>
    <n v="111844"/>
  </r>
  <r>
    <n v="8260069"/>
    <s v="Preferencial"/>
    <n v="25090532"/>
    <s v="Tarjeta"/>
    <n v="162087161"/>
    <n v="15118744"/>
    <n v="1958206"/>
    <n v="30"/>
    <d v="2016-05-29T00:00:00"/>
    <x v="2"/>
    <n v="3"/>
    <n v="1"/>
    <n v="2"/>
    <n v="0"/>
    <n v="652735"/>
  </r>
  <r>
    <n v="8260078"/>
    <s v="Personal"/>
    <n v="21721963"/>
    <s v="Tarjeta"/>
    <n v="8143730"/>
    <n v="1232261"/>
    <n v="236792"/>
    <n v="30"/>
    <d v="2016-05-18T00:00:00"/>
    <x v="0"/>
    <n v="3"/>
    <n v="0"/>
    <n v="3"/>
    <n v="1"/>
    <n v="0"/>
  </r>
  <r>
    <n v="8260078"/>
    <s v="Personal"/>
    <n v="21777819"/>
    <s v="Libranza"/>
    <n v="8143730"/>
    <n v="6911469"/>
    <n v="306634"/>
    <n v="2"/>
    <d v="2016-06-08T00:00:00"/>
    <x v="0"/>
    <n v="3"/>
    <n v="1"/>
    <n v="2"/>
    <n v="2"/>
    <n v="0"/>
  </r>
  <r>
    <n v="8260160"/>
    <s v="Personal"/>
    <n v="27607686"/>
    <s v="Tarjeta"/>
    <n v="12687850"/>
    <n v="5115955"/>
    <n v="255813"/>
    <n v="30"/>
    <d v="2016-05-31T00:00:00"/>
    <x v="1"/>
    <n v="3"/>
    <n v="1"/>
    <n v="2"/>
    <n v="0"/>
    <n v="127907"/>
  </r>
  <r>
    <n v="8260578"/>
    <s v="Micro pyme"/>
    <n v="27404616"/>
    <s v="Tarjeta"/>
    <n v="557414"/>
    <n v="557414"/>
    <n v="36010"/>
    <n v="30"/>
    <d v="2016-05-31T00:00:00"/>
    <x v="1"/>
    <n v="3"/>
    <n v="1"/>
    <n v="2"/>
    <n v="1"/>
    <n v="0"/>
  </r>
  <r>
    <n v="8260654"/>
    <s v="Personal"/>
    <n v="25058357"/>
    <s v="Tarjeta"/>
    <n v="4867793"/>
    <n v="3599130"/>
    <n v="420207"/>
    <n v="30"/>
    <d v="2016-05-31T00:00:00"/>
    <x v="1"/>
    <n v="3"/>
    <n v="1"/>
    <n v="2"/>
    <n v="0"/>
    <n v="0"/>
  </r>
  <r>
    <n v="8260654"/>
    <s v="Personal"/>
    <n v="25097727"/>
    <s v="Tarjeta"/>
    <n v="4867793"/>
    <n v="1268664"/>
    <n v="409175"/>
    <n v="30"/>
    <d v="2016-05-31T00:00:00"/>
    <x v="1"/>
    <n v="3"/>
    <n v="0"/>
    <n v="3"/>
    <n v="1"/>
    <n v="409175"/>
  </r>
  <r>
    <n v="8260684"/>
    <s v="Preferencial"/>
    <n v="25807487"/>
    <s v="Libranza"/>
    <n v="25632418"/>
    <n v="11165793"/>
    <n v="620809"/>
    <n v="57"/>
    <d v="2016-05-14T00:00:00"/>
    <x v="0"/>
    <n v="3"/>
    <n v="1"/>
    <n v="2"/>
    <n v="2"/>
    <n v="620809"/>
  </r>
  <r>
    <n v="8260684"/>
    <s v="Preferencial"/>
    <n v="26368969"/>
    <s v="Tarjeta"/>
    <n v="25632418"/>
    <n v="4851055"/>
    <n v="659246"/>
    <n v="60"/>
    <d v="2016-05-14T00:00:00"/>
    <x v="0"/>
    <n v="3"/>
    <n v="1"/>
    <n v="2"/>
    <n v="0"/>
    <n v="329623"/>
  </r>
  <r>
    <n v="8260684"/>
    <s v="Preferencial"/>
    <n v="26369715"/>
    <s v="Tarjeta"/>
    <n v="25632418"/>
    <n v="4832117"/>
    <n v="1149668"/>
    <n v="60"/>
    <d v="2016-05-14T00:00:00"/>
    <x v="0"/>
    <n v="3"/>
    <n v="1"/>
    <n v="2"/>
    <n v="1"/>
    <n v="0"/>
  </r>
  <r>
    <n v="8260684"/>
    <s v="Preferencial"/>
    <n v="27853647"/>
    <s v="Rotativo"/>
    <n v="25632418"/>
    <n v="4783453"/>
    <n v="551701"/>
    <n v="85"/>
    <d v="2016-05-14T00:00:00"/>
    <x v="0"/>
    <n v="3"/>
    <n v="2"/>
    <n v="1"/>
    <n v="0"/>
    <n v="0"/>
  </r>
  <r>
    <n v="8260719"/>
    <s v="Micro pyme"/>
    <n v="20150113"/>
    <s v="Tarjeta"/>
    <n v="540083"/>
    <n v="540083"/>
    <n v="37180"/>
    <n v="30"/>
    <d v="2016-05-31T00:00:00"/>
    <x v="1"/>
    <n v="3"/>
    <n v="1"/>
    <n v="2"/>
    <n v="0"/>
    <n v="540083"/>
  </r>
  <r>
    <n v="8260923"/>
    <s v="Micro pyme"/>
    <n v="23139966"/>
    <s v="Tarjeta"/>
    <n v="1462673"/>
    <n v="925865"/>
    <n v="208919"/>
    <n v="90"/>
    <d v="2016-04-27T00:00:00"/>
    <x v="2"/>
    <n v="3"/>
    <n v="0"/>
    <n v="3"/>
    <n v="2"/>
    <n v="104460"/>
  </r>
  <r>
    <n v="8260923"/>
    <s v="Micro pyme"/>
    <n v="23216432"/>
    <s v="Consumo"/>
    <n v="1462673"/>
    <n v="536809"/>
    <n v="71830"/>
    <n v="19"/>
    <d v="2016-05-21T00:00:00"/>
    <x v="2"/>
    <n v="3"/>
    <n v="1"/>
    <n v="2"/>
    <n v="1"/>
    <n v="0"/>
  </r>
  <r>
    <n v="8261115"/>
    <s v="Personal"/>
    <n v="21710750"/>
    <s v="Tarjeta"/>
    <n v="6088213"/>
    <n v="4767348"/>
    <n v="4767348"/>
    <n v="150"/>
    <d v="2016-05-29T00:00:00"/>
    <x v="2"/>
    <n v="3"/>
    <n v="1"/>
    <n v="2"/>
    <n v="1"/>
    <n v="4767348"/>
  </r>
  <r>
    <n v="8261115"/>
    <s v="Personal"/>
    <n v="25119832"/>
    <s v="Tarjeta"/>
    <n v="6088213"/>
    <n v="1320865"/>
    <n v="317546"/>
    <n v="90"/>
    <d v="2016-04-30T00:00:00"/>
    <x v="2"/>
    <n v="3"/>
    <n v="1"/>
    <n v="2"/>
    <n v="0"/>
    <n v="0"/>
  </r>
  <r>
    <n v="8261154"/>
    <s v="Preferencial"/>
    <n v="14966446"/>
    <s v="Tarjeta"/>
    <n v="29198608"/>
    <n v="1661588"/>
    <n v="95288"/>
    <n v="30"/>
    <d v="2016-05-18T00:00:00"/>
    <x v="0"/>
    <n v="3"/>
    <n v="1"/>
    <n v="2"/>
    <n v="0"/>
    <n v="0"/>
  </r>
  <r>
    <n v="8261154"/>
    <s v="Preferencial"/>
    <n v="27689534"/>
    <s v="Consumo"/>
    <n v="29198608"/>
    <n v="27537020"/>
    <n v="1828818"/>
    <n v="33"/>
    <d v="2016-05-18T00:00:00"/>
    <x v="0"/>
    <n v="3"/>
    <n v="0"/>
    <n v="3"/>
    <n v="2"/>
    <n v="1828818"/>
  </r>
  <r>
    <n v="8261236"/>
    <s v="Personal"/>
    <n v="9671809"/>
    <s v="Sobregiro"/>
    <n v="10449011"/>
    <n v="694334"/>
    <n v="694334"/>
    <n v="18"/>
    <d v="2016-05-16T00:00:00"/>
    <x v="2"/>
    <n v="3"/>
    <n v="1"/>
    <n v="2"/>
    <n v="1"/>
    <n v="0"/>
  </r>
  <r>
    <n v="8261236"/>
    <s v="Personal"/>
    <n v="9845561"/>
    <s v="Tarjeta"/>
    <n v="10449011"/>
    <n v="4775170"/>
    <n v="539427"/>
    <n v="30"/>
    <d v="2016-05-29T00:00:00"/>
    <x v="2"/>
    <n v="3"/>
    <n v="1"/>
    <n v="2"/>
    <n v="1"/>
    <n v="0"/>
  </r>
  <r>
    <n v="8261363"/>
    <s v="Micro pyme"/>
    <n v="26328981"/>
    <s v="Tarjeta"/>
    <n v="2288724"/>
    <n v="1116964"/>
    <n v="1116964"/>
    <n v="210"/>
    <d v="2016-03-31T00:00:00"/>
    <x v="2"/>
    <n v="3"/>
    <n v="1"/>
    <n v="2"/>
    <n v="0"/>
    <n v="0"/>
  </r>
  <r>
    <n v="8261363"/>
    <s v="Micro pyme"/>
    <n v="26330652"/>
    <s v="Tarjeta"/>
    <n v="2288724"/>
    <n v="1171761"/>
    <n v="1171761"/>
    <n v="240"/>
    <d v="2016-02-18T00:00:00"/>
    <x v="2"/>
    <n v="3"/>
    <n v="1"/>
    <n v="2"/>
    <n v="0"/>
    <n v="0"/>
  </r>
  <r>
    <n v="8261433"/>
    <s v="Preferencial"/>
    <n v="23671002"/>
    <s v="Tarjeta"/>
    <n v="9198150"/>
    <n v="2656363"/>
    <n v="155480"/>
    <n v="30"/>
    <d v="2016-05-19T00:00:00"/>
    <x v="0"/>
    <n v="3"/>
    <n v="0"/>
    <n v="3"/>
    <n v="2"/>
    <n v="51827"/>
  </r>
  <r>
    <n v="8261433"/>
    <s v="Preferencial"/>
    <n v="23672387"/>
    <s v="Tarjeta"/>
    <n v="9198150"/>
    <n v="2613151"/>
    <n v="143276"/>
    <n v="30"/>
    <d v="2016-04-20T00:00:00"/>
    <x v="0"/>
    <n v="3"/>
    <n v="1"/>
    <n v="2"/>
    <n v="1"/>
    <n v="0"/>
  </r>
  <r>
    <n v="8261433"/>
    <s v="Preferencial"/>
    <n v="25964110"/>
    <s v="Tarjeta"/>
    <n v="9198150"/>
    <n v="3928636"/>
    <n v="383736"/>
    <n v="30"/>
    <d v="2016-05-18T00:00:00"/>
    <x v="0"/>
    <n v="3"/>
    <n v="1"/>
    <n v="2"/>
    <n v="1"/>
    <n v="191868"/>
  </r>
  <r>
    <n v="8261458"/>
    <s v="Micro pyme"/>
    <n v="28570206"/>
    <s v="Tarjeta"/>
    <n v="929764"/>
    <n v="585365"/>
    <n v="25138"/>
    <n v="30"/>
    <d v="2016-06-03T00:00:00"/>
    <x v="0"/>
    <n v="3"/>
    <n v="1"/>
    <n v="2"/>
    <n v="0"/>
    <n v="0"/>
  </r>
  <r>
    <n v="8261475"/>
    <s v="Personal"/>
    <n v="26270252"/>
    <s v="Tarjeta"/>
    <n v="5164426"/>
    <n v="2086216"/>
    <n v="2086216"/>
    <n v="210"/>
    <d v="2016-03-18T00:00:00"/>
    <x v="2"/>
    <n v="3"/>
    <n v="2"/>
    <n v="1"/>
    <n v="0"/>
    <n v="1043109"/>
  </r>
  <r>
    <n v="8261475"/>
    <s v="Personal"/>
    <n v="26272747"/>
    <s v="Tarjeta"/>
    <n v="5164426"/>
    <n v="3078210"/>
    <n v="3078210"/>
    <n v="210"/>
    <d v="2016-03-19T00:00:00"/>
    <x v="2"/>
    <n v="3"/>
    <n v="1"/>
    <n v="2"/>
    <n v="1"/>
    <n v="1026070"/>
  </r>
  <r>
    <n v="8261570"/>
    <s v="Preferencial"/>
    <n v="25379962"/>
    <s v="Consumo"/>
    <n v="35696317"/>
    <n v="17452863"/>
    <n v="313538"/>
    <n v="7"/>
    <d v="2016-06-02T00:00:00"/>
    <x v="1"/>
    <n v="3"/>
    <n v="0"/>
    <n v="3"/>
    <n v="1"/>
    <n v="0"/>
  </r>
  <r>
    <n v="8261570"/>
    <s v="Preferencial"/>
    <n v="27224146"/>
    <s v="Tarjeta"/>
    <n v="35696317"/>
    <n v="12300316"/>
    <n v="305942"/>
    <n v="30"/>
    <d v="2016-05-31T00:00:00"/>
    <x v="1"/>
    <n v="3"/>
    <n v="1"/>
    <n v="2"/>
    <n v="2"/>
    <n v="101981"/>
  </r>
  <r>
    <n v="8261611"/>
    <s v="Micro pyme"/>
    <n v="26389240"/>
    <s v="Tarjeta"/>
    <n v="1823094"/>
    <n v="1823094"/>
    <n v="133727"/>
    <n v="30"/>
    <d v="2016-06-01T00:00:00"/>
    <x v="0"/>
    <n v="3"/>
    <n v="1"/>
    <n v="2"/>
    <n v="0"/>
    <n v="133727"/>
  </r>
  <r>
    <n v="8261866"/>
    <s v="Micro pyme"/>
    <n v="25129407"/>
    <s v="Tarjeta"/>
    <n v="719486"/>
    <n v="719486"/>
    <n v="232136"/>
    <n v="60"/>
    <d v="2016-04-20T00:00:00"/>
    <x v="0"/>
    <n v="3"/>
    <n v="1"/>
    <n v="2"/>
    <n v="0"/>
    <n v="0"/>
  </r>
  <r>
    <n v="8261875"/>
    <s v="Personal"/>
    <n v="25550442"/>
    <s v="Tarjeta"/>
    <n v="3706603"/>
    <n v="1761381"/>
    <n v="178361"/>
    <n v="30"/>
    <d v="2016-05-31T00:00:00"/>
    <x v="1"/>
    <n v="3"/>
    <n v="1"/>
    <n v="2"/>
    <n v="1"/>
    <n v="0"/>
  </r>
  <r>
    <n v="8261875"/>
    <s v="Personal"/>
    <n v="25550928"/>
    <s v="Tarjeta"/>
    <n v="3706603"/>
    <n v="1945222"/>
    <n v="433848"/>
    <n v="30"/>
    <d v="2016-05-31T00:00:00"/>
    <x v="1"/>
    <n v="3"/>
    <n v="0"/>
    <n v="3"/>
    <n v="1"/>
    <n v="0"/>
  </r>
  <r>
    <n v="8262049"/>
    <s v="Micro pyme"/>
    <n v="25202484"/>
    <s v="Tarjeta"/>
    <n v="239186"/>
    <n v="239186"/>
    <n v="119528"/>
    <n v="30"/>
    <d v="2016-05-18T00:00:00"/>
    <x v="0"/>
    <n v="3"/>
    <n v="1"/>
    <n v="2"/>
    <n v="2"/>
    <n v="0"/>
  </r>
  <r>
    <n v="8262517"/>
    <s v="Personal"/>
    <n v="2978036"/>
    <s v="Tarjeta"/>
    <n v="7386162"/>
    <n v="1153827"/>
    <n v="35412"/>
    <n v="30"/>
    <d v="2016-05-19T00:00:00"/>
    <x v="2"/>
    <n v="3"/>
    <n v="1"/>
    <n v="2"/>
    <n v="0"/>
    <n v="35412"/>
  </r>
  <r>
    <n v="8262593"/>
    <s v="Personal"/>
    <n v="27011869"/>
    <s v="Tarjeta"/>
    <n v="5761212"/>
    <n v="2859159"/>
    <n v="221796"/>
    <n v="30"/>
    <d v="2016-05-18T00:00:00"/>
    <x v="0"/>
    <n v="3"/>
    <n v="1"/>
    <n v="2"/>
    <n v="0"/>
    <n v="0"/>
  </r>
  <r>
    <n v="8262593"/>
    <s v="Personal"/>
    <n v="27012894"/>
    <s v="Tarjeta"/>
    <n v="5761212"/>
    <n v="2902054"/>
    <n v="264691"/>
    <n v="30"/>
    <d v="2016-05-19T00:00:00"/>
    <x v="0"/>
    <n v="3"/>
    <n v="1"/>
    <n v="2"/>
    <n v="1"/>
    <n v="0"/>
  </r>
  <r>
    <n v="8262993"/>
    <s v="Micro pyme"/>
    <n v="21194113"/>
    <s v="Tarjeta"/>
    <n v="4286716"/>
    <n v="3009366"/>
    <n v="154613"/>
    <n v="30"/>
    <d v="2016-05-31T00:00:00"/>
    <x v="1"/>
    <n v="3"/>
    <n v="0"/>
    <n v="3"/>
    <n v="1"/>
    <n v="0"/>
  </r>
  <r>
    <n v="8263081"/>
    <s v="Micro pyme"/>
    <n v="25950581"/>
    <s v="Tarjeta"/>
    <n v="666612"/>
    <n v="666612"/>
    <n v="666612"/>
    <n v="150"/>
    <d v="2016-05-28T00:00:00"/>
    <x v="2"/>
    <n v="3"/>
    <n v="1"/>
    <n v="2"/>
    <n v="2"/>
    <n v="666612"/>
  </r>
  <r>
    <n v="8263349"/>
    <s v="Preferencial"/>
    <n v="21676069"/>
    <s v="Tarjeta"/>
    <n v="42608151"/>
    <n v="2157291"/>
    <n v="913479"/>
    <n v="90"/>
    <d v="2016-05-18T00:00:00"/>
    <x v="0"/>
    <n v="3"/>
    <n v="1"/>
    <n v="2"/>
    <n v="0"/>
    <n v="913479"/>
  </r>
  <r>
    <n v="8263349"/>
    <s v="Preferencial"/>
    <n v="21676178"/>
    <s v="Tarjeta"/>
    <n v="42608151"/>
    <n v="2237914"/>
    <n v="873000"/>
    <n v="90"/>
    <d v="2016-05-18T00:00:00"/>
    <x v="0"/>
    <n v="3"/>
    <n v="1"/>
    <n v="2"/>
    <n v="0"/>
    <n v="2237914"/>
  </r>
  <r>
    <n v="8263349"/>
    <s v="Preferencial"/>
    <n v="21676329"/>
    <s v="Tarjeta"/>
    <n v="42608151"/>
    <n v="6435756"/>
    <n v="877425"/>
    <n v="60"/>
    <d v="2016-05-18T00:00:00"/>
    <x v="0"/>
    <n v="3"/>
    <n v="2"/>
    <n v="1"/>
    <n v="1"/>
    <n v="292475"/>
  </r>
  <r>
    <n v="8263436"/>
    <s v="Micro pyme"/>
    <n v="27653166"/>
    <s v="Tarjeta"/>
    <n v="1392266"/>
    <n v="1392266"/>
    <n v="314855"/>
    <n v="60"/>
    <d v="2016-04-21T00:00:00"/>
    <x v="0"/>
    <n v="3"/>
    <n v="1"/>
    <n v="2"/>
    <n v="0"/>
    <n v="157428"/>
  </r>
  <r>
    <n v="8263516"/>
    <s v="Micro pyme"/>
    <n v="15578869"/>
    <s v="Tarjeta"/>
    <n v="2397372"/>
    <n v="999255"/>
    <n v="193225"/>
    <n v="60"/>
    <d v="2016-04-27T00:00:00"/>
    <x v="0"/>
    <n v="3"/>
    <n v="0"/>
    <n v="3"/>
    <n v="2"/>
    <n v="0"/>
  </r>
  <r>
    <n v="8263672"/>
    <s v="Personal"/>
    <n v="15202553"/>
    <s v="Tarjeta"/>
    <n v="6072945"/>
    <n v="602803"/>
    <n v="8120"/>
    <n v="30"/>
    <d v="2016-05-18T00:00:00"/>
    <x v="0"/>
    <n v="3"/>
    <n v="1"/>
    <n v="2"/>
    <n v="1"/>
    <n v="0"/>
  </r>
  <r>
    <n v="8263672"/>
    <s v="Personal"/>
    <n v="20692962"/>
    <s v="Consumo"/>
    <n v="6072945"/>
    <n v="5470142"/>
    <n v="377457"/>
    <n v="11"/>
    <d v="2016-06-01T00:00:00"/>
    <x v="0"/>
    <n v="3"/>
    <n v="1"/>
    <n v="2"/>
    <n v="0"/>
    <n v="125819"/>
  </r>
  <r>
    <n v="8263683"/>
    <s v="Personal"/>
    <n v="25096884"/>
    <s v="Tarjeta"/>
    <n v="9475753"/>
    <n v="3200657"/>
    <n v="120258"/>
    <n v="30"/>
    <d v="2016-05-19T00:00:00"/>
    <x v="0"/>
    <n v="3"/>
    <n v="1"/>
    <n v="2"/>
    <n v="1"/>
    <n v="0"/>
  </r>
  <r>
    <n v="8263683"/>
    <s v="Personal"/>
    <n v="25097831"/>
    <s v="Tarjeta"/>
    <n v="9475753"/>
    <n v="3793078"/>
    <n v="132763"/>
    <n v="30"/>
    <d v="2016-05-18T00:00:00"/>
    <x v="0"/>
    <n v="3"/>
    <n v="1"/>
    <n v="2"/>
    <n v="0"/>
    <n v="0"/>
  </r>
  <r>
    <n v="8290112"/>
    <s v="Micro pyme"/>
    <n v="25098094"/>
    <s v="Tarjeta"/>
    <n v="1725871"/>
    <n v="1725871"/>
    <n v="464745"/>
    <n v="60"/>
    <d v="2016-04-30T00:00:00"/>
    <x v="0"/>
    <n v="3"/>
    <n v="0"/>
    <n v="3"/>
    <n v="2"/>
    <n v="464745"/>
  </r>
  <r>
    <n v="8290119"/>
    <s v="Preferencial"/>
    <n v="25238974"/>
    <s v="Tarjeta"/>
    <n v="22469195"/>
    <n v="516117"/>
    <n v="516117"/>
    <n v="60"/>
    <d v="2016-06-01T00:00:00"/>
    <x v="0"/>
    <n v="3"/>
    <n v="1"/>
    <n v="2"/>
    <n v="1"/>
    <n v="0"/>
  </r>
  <r>
    <n v="8290119"/>
    <s v="Preferencial"/>
    <n v="26623589"/>
    <s v="Consumo"/>
    <n v="22469195"/>
    <n v="9138030"/>
    <n v="658260"/>
    <n v="54"/>
    <d v="2016-06-01T00:00:00"/>
    <x v="0"/>
    <n v="3"/>
    <n v="1"/>
    <n v="2"/>
    <n v="0"/>
    <n v="0"/>
  </r>
  <r>
    <n v="8290119"/>
    <s v="Preferencial"/>
    <n v="27571222"/>
    <s v="Consumo"/>
    <n v="22469195"/>
    <n v="3608054"/>
    <n v="868343"/>
    <n v="53"/>
    <d v="2016-06-01T00:00:00"/>
    <x v="0"/>
    <n v="3"/>
    <n v="1"/>
    <n v="2"/>
    <n v="1"/>
    <n v="868343"/>
  </r>
  <r>
    <n v="8290119"/>
    <s v="Preferencial"/>
    <n v="27817138"/>
    <s v="Consumo"/>
    <n v="22469195"/>
    <n v="9206994"/>
    <n v="1084524"/>
    <n v="68"/>
    <d v="2016-06-01T00:00:00"/>
    <x v="0"/>
    <n v="3"/>
    <n v="1"/>
    <n v="2"/>
    <n v="0"/>
    <n v="9206994"/>
  </r>
  <r>
    <n v="8290233"/>
    <s v="Micro pyme"/>
    <n v="4571968"/>
    <s v="Tarjeta"/>
    <n v="1083171"/>
    <n v="1083171"/>
    <n v="1083171"/>
    <n v="150"/>
    <d v="2016-05-29T00:00:00"/>
    <x v="2"/>
    <n v="3"/>
    <n v="0"/>
    <n v="3"/>
    <n v="2"/>
    <n v="0"/>
  </r>
  <r>
    <n v="8290480"/>
    <s v="Personal"/>
    <n v="25411228"/>
    <s v="Tarjeta"/>
    <n v="9508685"/>
    <n v="89470"/>
    <n v="88795"/>
    <n v="30"/>
    <d v="2016-05-29T00:00:00"/>
    <x v="0"/>
    <n v="3"/>
    <n v="1"/>
    <n v="2"/>
    <n v="1"/>
    <n v="88795"/>
  </r>
  <r>
    <n v="8290480"/>
    <s v="Personal"/>
    <n v="28310909"/>
    <s v="Vehiculo"/>
    <n v="9508685"/>
    <n v="9419215"/>
    <n v="221115"/>
    <n v="19"/>
    <d v="2016-05-21T00:00:00"/>
    <x v="0"/>
    <n v="3"/>
    <n v="1"/>
    <n v="2"/>
    <n v="0"/>
    <n v="0"/>
  </r>
  <r>
    <n v="8290528"/>
    <s v="Preferencial"/>
    <n v="24781042"/>
    <s v="Tarjeta"/>
    <n v="17691983"/>
    <n v="1014862"/>
    <n v="306681"/>
    <n v="60"/>
    <d v="2016-04-30T00:00:00"/>
    <x v="0"/>
    <n v="3"/>
    <n v="1"/>
    <n v="2"/>
    <n v="1"/>
    <n v="153341"/>
  </r>
  <r>
    <n v="8290528"/>
    <s v="Preferencial"/>
    <n v="24951190"/>
    <s v="Tarjeta"/>
    <n v="17691983"/>
    <n v="551382"/>
    <n v="162116"/>
    <n v="60"/>
    <d v="2016-05-01T00:00:00"/>
    <x v="0"/>
    <n v="3"/>
    <n v="2"/>
    <n v="1"/>
    <n v="0"/>
    <n v="54039"/>
  </r>
  <r>
    <n v="8290588"/>
    <s v="Micro pyme"/>
    <n v="28040498"/>
    <s v="Tarjeta"/>
    <n v="2249011"/>
    <n v="1709371"/>
    <n v="67876"/>
    <n v="30"/>
    <d v="2016-05-18T00:00:00"/>
    <x v="0"/>
    <n v="3"/>
    <n v="1"/>
    <n v="2"/>
    <n v="1"/>
    <n v="0"/>
  </r>
  <r>
    <n v="8290811"/>
    <s v="Preferencial"/>
    <n v="21139953"/>
    <s v="Tarjeta"/>
    <n v="14369893"/>
    <n v="6042161"/>
    <n v="509145"/>
    <n v="30"/>
    <d v="2016-05-31T00:00:00"/>
    <x v="1"/>
    <n v="3"/>
    <n v="0"/>
    <n v="3"/>
    <n v="1"/>
    <n v="254572"/>
  </r>
  <r>
    <n v="8290811"/>
    <s v="Preferencial"/>
    <n v="22295364"/>
    <s v="Libranza"/>
    <n v="14369893"/>
    <n v="8327732"/>
    <n v="646898"/>
    <n v="3"/>
    <d v="2016-06-08T00:00:00"/>
    <x v="1"/>
    <n v="3"/>
    <n v="1"/>
    <n v="2"/>
    <n v="1"/>
    <n v="646898"/>
  </r>
  <r>
    <n v="8290882"/>
    <s v="Personal"/>
    <n v="23606029"/>
    <s v="Tarjeta"/>
    <n v="3305356"/>
    <n v="2238793"/>
    <n v="239524"/>
    <n v="30"/>
    <d v="2016-05-31T00:00:00"/>
    <x v="1"/>
    <n v="3"/>
    <n v="1"/>
    <n v="2"/>
    <n v="1"/>
    <n v="239524"/>
  </r>
  <r>
    <n v="8290882"/>
    <s v="Personal"/>
    <n v="24187730"/>
    <s v="Tarjeta"/>
    <n v="3305356"/>
    <n v="1066564"/>
    <n v="106457"/>
    <n v="30"/>
    <d v="2016-05-31T00:00:00"/>
    <x v="1"/>
    <n v="3"/>
    <n v="1"/>
    <n v="2"/>
    <n v="0"/>
    <n v="0"/>
  </r>
  <r>
    <n v="8290902"/>
    <s v="Micro pyme"/>
    <n v="23811559"/>
    <s v="Tarjeta"/>
    <n v="2454616"/>
    <n v="2454616"/>
    <n v="439253"/>
    <n v="30"/>
    <d v="2016-05-18T00:00:00"/>
    <x v="0"/>
    <n v="3"/>
    <n v="1"/>
    <n v="2"/>
    <n v="1"/>
    <n v="219626"/>
  </r>
  <r>
    <n v="8291182"/>
    <s v="Micro pyme"/>
    <n v="27917878"/>
    <s v="Tarjeta"/>
    <n v="3694003"/>
    <n v="3694003"/>
    <n v="1972390"/>
    <n v="60"/>
    <d v="2016-05-01T00:00:00"/>
    <x v="0"/>
    <n v="3"/>
    <n v="0"/>
    <n v="3"/>
    <n v="1"/>
    <n v="0"/>
  </r>
  <r>
    <n v="8291274"/>
    <s v="Micro pyme"/>
    <n v="22367717"/>
    <s v="Tarjeta"/>
    <n v="1216364"/>
    <n v="1216364"/>
    <n v="257893"/>
    <n v="60"/>
    <d v="2016-04-27T00:00:00"/>
    <x v="0"/>
    <n v="3"/>
    <n v="1"/>
    <n v="2"/>
    <n v="1"/>
    <n v="0"/>
  </r>
  <r>
    <n v="8291307"/>
    <s v="Personal"/>
    <n v="19789068"/>
    <s v="Tarjeta"/>
    <n v="7557438"/>
    <n v="7557438"/>
    <n v="2294434"/>
    <n v="60"/>
    <d v="2016-04-20T00:00:00"/>
    <x v="2"/>
    <n v="3"/>
    <n v="1"/>
    <n v="2"/>
    <n v="1"/>
    <n v="764811"/>
  </r>
  <r>
    <n v="8291401"/>
    <s v="Preferencial"/>
    <n v="26664011"/>
    <s v="Vehiculo"/>
    <n v="26702217"/>
    <n v="20258947"/>
    <n v="1203480"/>
    <n v="68"/>
    <d v="2016-04-28T00:00:00"/>
    <x v="0"/>
    <n v="3"/>
    <n v="1"/>
    <n v="2"/>
    <n v="0"/>
    <n v="1203480"/>
  </r>
  <r>
    <n v="8291401"/>
    <s v="Preferencial"/>
    <n v="27049838"/>
    <s v="Tarjeta"/>
    <n v="26702217"/>
    <n v="901276"/>
    <n v="112839"/>
    <n v="30"/>
    <d v="2016-05-29T00:00:00"/>
    <x v="0"/>
    <n v="3"/>
    <n v="1"/>
    <n v="2"/>
    <n v="1"/>
    <n v="56419"/>
  </r>
  <r>
    <n v="8291401"/>
    <s v="Preferencial"/>
    <n v="27785613"/>
    <s v="Vehiculo"/>
    <n v="26702217"/>
    <n v="5541995"/>
    <n v="291298"/>
    <n v="1"/>
    <d v="2016-06-03T00:00:00"/>
    <x v="0"/>
    <n v="3"/>
    <n v="0"/>
    <n v="3"/>
    <n v="1"/>
    <n v="0"/>
  </r>
  <r>
    <n v="8291427"/>
    <s v="Micro pyme"/>
    <n v="22621938"/>
    <s v="Tarjeta"/>
    <n v="1704897"/>
    <n v="1704897"/>
    <n v="15612"/>
    <n v="30"/>
    <d v="2016-05-31T00:00:00"/>
    <x v="1"/>
    <n v="3"/>
    <n v="1"/>
    <n v="2"/>
    <n v="1"/>
    <n v="0"/>
  </r>
  <r>
    <n v="8291467"/>
    <s v="Micro pyme"/>
    <n v="27243058"/>
    <s v="Tarjeta"/>
    <n v="3582299"/>
    <n v="2035240"/>
    <n v="45624"/>
    <n v="30"/>
    <d v="2016-05-31T00:00:00"/>
    <x v="1"/>
    <n v="3"/>
    <n v="1"/>
    <n v="2"/>
    <n v="1"/>
    <n v="45624"/>
  </r>
  <r>
    <n v="8291545"/>
    <s v="Micro pyme"/>
    <n v="27047202"/>
    <s v="Tarjeta"/>
    <n v="2062706"/>
    <n v="2062706"/>
    <n v="66225"/>
    <n v="30"/>
    <d v="2016-05-31T00:00:00"/>
    <x v="1"/>
    <n v="3"/>
    <n v="1"/>
    <n v="2"/>
    <n v="0"/>
    <n v="22075"/>
  </r>
  <r>
    <n v="8291631"/>
    <s v="Personal"/>
    <n v="25284857"/>
    <s v="Tarjeta"/>
    <n v="10428095"/>
    <n v="4478644"/>
    <n v="7806"/>
    <n v="30"/>
    <d v="2016-05-31T00:00:00"/>
    <x v="1"/>
    <n v="3"/>
    <n v="2"/>
    <n v="1"/>
    <n v="1"/>
    <n v="0"/>
  </r>
  <r>
    <n v="8291662"/>
    <s v="Personal"/>
    <n v="27245072"/>
    <s v="Tarjeta"/>
    <n v="8108857"/>
    <n v="5426233"/>
    <n v="176202"/>
    <n v="30"/>
    <d v="2016-05-31T00:00:00"/>
    <x v="1"/>
    <n v="3"/>
    <n v="1"/>
    <n v="2"/>
    <n v="0"/>
    <n v="0"/>
  </r>
  <r>
    <n v="8291666"/>
    <s v="Micro pyme"/>
    <n v="25136314"/>
    <s v="Tarjeta"/>
    <n v="1470798"/>
    <n v="1470798"/>
    <n v="152117"/>
    <n v="30"/>
    <d v="2016-05-18T00:00:00"/>
    <x v="0"/>
    <n v="3"/>
    <n v="0"/>
    <n v="3"/>
    <n v="1"/>
    <n v="152117"/>
  </r>
  <r>
    <n v="8291695"/>
    <s v="Micro pyme"/>
    <n v="23721045"/>
    <s v="Tarjeta"/>
    <n v="596946"/>
    <n v="516958"/>
    <n v="51494"/>
    <n v="30"/>
    <d v="2016-05-18T00:00:00"/>
    <x v="0"/>
    <n v="3"/>
    <n v="1"/>
    <n v="2"/>
    <n v="2"/>
    <n v="0"/>
  </r>
  <r>
    <n v="8291734"/>
    <s v="Micro pyme"/>
    <n v="26115306"/>
    <s v="Tarjeta"/>
    <n v="5115713"/>
    <n v="5115713"/>
    <n v="42558"/>
    <n v="30"/>
    <d v="2016-05-18T00:00:00"/>
    <x v="0"/>
    <n v="3"/>
    <n v="1"/>
    <n v="2"/>
    <n v="0"/>
    <n v="0"/>
  </r>
  <r>
    <n v="8291748"/>
    <s v="Micro pyme"/>
    <n v="26162028"/>
    <s v="Tarjeta"/>
    <n v="2389022"/>
    <n v="1136494"/>
    <n v="119200"/>
    <n v="30"/>
    <d v="2016-05-31T00:00:00"/>
    <x v="1"/>
    <n v="3"/>
    <n v="1"/>
    <n v="2"/>
    <n v="1"/>
    <n v="119200"/>
  </r>
  <r>
    <n v="8291785"/>
    <s v="Micro pyme"/>
    <n v="22084852"/>
    <s v="Tarjeta"/>
    <n v="874146"/>
    <n v="874146"/>
    <n v="874146"/>
    <n v="150"/>
    <d v="2016-04-27T00:00:00"/>
    <x v="2"/>
    <n v="3"/>
    <n v="1"/>
    <n v="2"/>
    <n v="0"/>
    <n v="0"/>
  </r>
  <r>
    <n v="8291961"/>
    <s v="Personal"/>
    <n v="22494166"/>
    <s v="Consumo"/>
    <n v="6775736"/>
    <n v="2382667"/>
    <n v="1587469"/>
    <n v="155"/>
    <d v="2016-05-05T00:00:00"/>
    <x v="2"/>
    <n v="3"/>
    <n v="0"/>
    <n v="3"/>
    <n v="1"/>
    <n v="793735"/>
  </r>
  <r>
    <n v="8291961"/>
    <s v="Personal"/>
    <n v="24906889"/>
    <s v="Tarjeta"/>
    <n v="6775736"/>
    <n v="4393069"/>
    <n v="4393069"/>
    <n v="150"/>
    <d v="2016-05-29T00:00:00"/>
    <x v="2"/>
    <n v="3"/>
    <n v="1"/>
    <n v="2"/>
    <n v="2"/>
    <n v="0"/>
  </r>
  <r>
    <n v="8292187"/>
    <s v="Personal"/>
    <n v="27077731"/>
    <s v="Tarjeta"/>
    <n v="2721538"/>
    <n v="1390243"/>
    <n v="537108"/>
    <n v="90"/>
    <d v="2016-05-28T00:00:00"/>
    <x v="0"/>
    <n v="3"/>
    <n v="1"/>
    <n v="2"/>
    <n v="0"/>
    <n v="268554"/>
  </r>
  <r>
    <n v="8292187"/>
    <s v="Personal"/>
    <n v="27136580"/>
    <s v="Tarjeta"/>
    <n v="2721538"/>
    <n v="1331296"/>
    <n v="509640"/>
    <n v="90"/>
    <d v="2016-05-28T00:00:00"/>
    <x v="0"/>
    <n v="3"/>
    <n v="1"/>
    <n v="2"/>
    <n v="1"/>
    <n v="0"/>
  </r>
  <r>
    <n v="8292203"/>
    <s v="Personal"/>
    <n v="26723896"/>
    <s v="Tarjeta"/>
    <n v="5031714"/>
    <n v="2645465"/>
    <n v="2645465"/>
    <n v="150"/>
    <d v="2016-05-28T00:00:00"/>
    <x v="2"/>
    <n v="3"/>
    <n v="1"/>
    <n v="2"/>
    <n v="0"/>
    <n v="0"/>
  </r>
  <r>
    <n v="8292203"/>
    <s v="Personal"/>
    <n v="26725887"/>
    <s v="Tarjeta"/>
    <n v="5031714"/>
    <n v="2386250"/>
    <n v="2386250"/>
    <n v="120"/>
    <d v="2016-05-01T00:00:00"/>
    <x v="2"/>
    <n v="3"/>
    <n v="0"/>
    <n v="3"/>
    <n v="1"/>
    <n v="0"/>
  </r>
  <r>
    <n v="8292243"/>
    <s v="Micro pyme"/>
    <n v="25479795"/>
    <s v="Tarjeta"/>
    <n v="947438"/>
    <n v="947438"/>
    <n v="51918"/>
    <n v="30"/>
    <d v="2016-05-18T00:00:00"/>
    <x v="0"/>
    <n v="3"/>
    <n v="1"/>
    <n v="2"/>
    <n v="2"/>
    <n v="51918"/>
  </r>
  <r>
    <n v="8292285"/>
    <s v="Personal"/>
    <n v="21276240"/>
    <s v="Tarjeta"/>
    <n v="5420193"/>
    <n v="5420193"/>
    <n v="53029"/>
    <n v="30"/>
    <d v="2016-05-18T00:00:00"/>
    <x v="0"/>
    <n v="3"/>
    <n v="1"/>
    <n v="2"/>
    <n v="0"/>
    <n v="17676"/>
  </r>
  <r>
    <n v="8292287"/>
    <s v="Micro pyme"/>
    <n v="25270652"/>
    <s v="Tarjeta"/>
    <n v="806442"/>
    <n v="806442"/>
    <n v="161609"/>
    <n v="30"/>
    <d v="2016-05-31T00:00:00"/>
    <x v="1"/>
    <n v="3"/>
    <n v="1"/>
    <n v="2"/>
    <n v="1"/>
    <n v="806442"/>
  </r>
  <r>
    <n v="8292341"/>
    <s v="Micro pyme"/>
    <n v="22512363"/>
    <s v="Consumo"/>
    <n v="2134668"/>
    <n v="685325"/>
    <n v="84127"/>
    <n v="30"/>
    <d v="2016-05-11T00:00:00"/>
    <x v="0"/>
    <n v="3"/>
    <n v="2"/>
    <n v="1"/>
    <n v="0"/>
    <n v="0"/>
  </r>
  <r>
    <n v="8292341"/>
    <s v="Micro pyme"/>
    <n v="23583782"/>
    <s v="Tarjeta"/>
    <n v="2134668"/>
    <n v="1449343"/>
    <n v="214707"/>
    <n v="30"/>
    <d v="2016-05-29T00:00:00"/>
    <x v="0"/>
    <n v="3"/>
    <n v="1"/>
    <n v="2"/>
    <n v="0"/>
    <n v="0"/>
  </r>
  <r>
    <n v="8292460"/>
    <s v="Preferencial"/>
    <n v="26369115"/>
    <s v="Tarjeta"/>
    <n v="21247650"/>
    <n v="3034123"/>
    <n v="250241"/>
    <n v="30"/>
    <d v="2016-05-31T00:00:00"/>
    <x v="1"/>
    <n v="3"/>
    <n v="0"/>
    <n v="3"/>
    <n v="2"/>
    <n v="125121"/>
  </r>
  <r>
    <n v="8292460"/>
    <s v="Preferencial"/>
    <n v="26370820"/>
    <s v="Tarjeta"/>
    <n v="21247650"/>
    <n v="3154062"/>
    <n v="315806"/>
    <n v="30"/>
    <d v="2016-05-31T00:00:00"/>
    <x v="1"/>
    <n v="3"/>
    <n v="1"/>
    <n v="2"/>
    <n v="1"/>
    <n v="0"/>
  </r>
  <r>
    <n v="8292560"/>
    <s v="Personal"/>
    <n v="21245444"/>
    <s v="Consumo"/>
    <n v="6729347"/>
    <n v="4872698"/>
    <n v="1547189"/>
    <n v="196"/>
    <d v="2016-03-24T00:00:00"/>
    <x v="2"/>
    <n v="3"/>
    <n v="1"/>
    <n v="2"/>
    <n v="1"/>
    <n v="1547189"/>
  </r>
  <r>
    <n v="8292560"/>
    <s v="Personal"/>
    <n v="24257181"/>
    <s v="Tarjeta"/>
    <n v="6729347"/>
    <n v="1856649"/>
    <n v="1856649"/>
    <n v="330"/>
    <d v="2016-03-22T00:00:00"/>
    <x v="2"/>
    <n v="3"/>
    <n v="1"/>
    <n v="2"/>
    <n v="0"/>
    <n v="928324"/>
  </r>
  <r>
    <n v="8292688"/>
    <s v="Micro pyme"/>
    <n v="21904033"/>
    <s v="Tarjeta"/>
    <n v="1077156"/>
    <n v="1077156"/>
    <n v="53698"/>
    <n v="30"/>
    <d v="2016-05-31T00:00:00"/>
    <x v="1"/>
    <n v="3"/>
    <n v="1"/>
    <n v="2"/>
    <n v="0"/>
    <n v="0"/>
  </r>
  <r>
    <n v="8292689"/>
    <s v="Micro pyme"/>
    <n v="27077359"/>
    <s v="Tarjeta"/>
    <n v="557345"/>
    <n v="557345"/>
    <n v="85300"/>
    <n v="30"/>
    <d v="2016-05-31T00:00:00"/>
    <x v="1"/>
    <n v="3"/>
    <n v="0"/>
    <n v="3"/>
    <n v="2"/>
    <n v="0"/>
  </r>
  <r>
    <n v="8292740"/>
    <s v="Personal"/>
    <n v="25350877"/>
    <s v="Tarjeta"/>
    <n v="5983415"/>
    <n v="55652"/>
    <n v="36487"/>
    <n v="30"/>
    <d v="2016-05-18T00:00:00"/>
    <x v="0"/>
    <n v="3"/>
    <n v="1"/>
    <n v="2"/>
    <n v="1"/>
    <n v="0"/>
  </r>
  <r>
    <n v="8292842"/>
    <s v="Micro pyme"/>
    <n v="17344821"/>
    <s v="Tarjeta"/>
    <n v="1192556"/>
    <n v="1192556"/>
    <n v="1192556"/>
    <n v="240"/>
    <d v="2016-04-27T00:00:00"/>
    <x v="2"/>
    <n v="3"/>
    <n v="1"/>
    <n v="2"/>
    <n v="1"/>
    <n v="397518"/>
  </r>
  <r>
    <n v="8292855"/>
    <s v="Micro pyme"/>
    <n v="16975449"/>
    <s v="Tarjeta"/>
    <n v="284236"/>
    <n v="284236"/>
    <n v="48827"/>
    <n v="30"/>
    <d v="2016-05-18T00:00:00"/>
    <x v="0"/>
    <n v="3"/>
    <n v="1"/>
    <n v="2"/>
    <n v="0"/>
    <n v="0"/>
  </r>
  <r>
    <n v="8292862"/>
    <s v="Micro pyme"/>
    <n v="19916764"/>
    <s v="Tarjeta"/>
    <n v="36122"/>
    <n v="36122"/>
    <n v="18404"/>
    <n v="30"/>
    <d v="2016-05-31T00:00:00"/>
    <x v="1"/>
    <n v="3"/>
    <n v="1"/>
    <n v="2"/>
    <n v="0"/>
    <n v="6135"/>
  </r>
  <r>
    <n v="8292896"/>
    <s v="Micro pyme"/>
    <n v="26273017"/>
    <s v="Tarjeta"/>
    <n v="352258"/>
    <n v="352258"/>
    <n v="58441"/>
    <n v="30"/>
    <d v="2016-05-19T00:00:00"/>
    <x v="0"/>
    <n v="3"/>
    <n v="0"/>
    <n v="3"/>
    <n v="2"/>
    <n v="58441"/>
  </r>
  <r>
    <n v="8292902"/>
    <s v="Micro pyme"/>
    <n v="27040978"/>
    <s v="Tarjeta"/>
    <n v="2265088"/>
    <n v="2265088"/>
    <n v="76736"/>
    <n v="30"/>
    <d v="2016-05-31T00:00:00"/>
    <x v="1"/>
    <n v="3"/>
    <n v="1"/>
    <n v="2"/>
    <n v="1"/>
    <n v="76736"/>
  </r>
  <r>
    <n v="8292978"/>
    <s v="Personal"/>
    <n v="26491653"/>
    <s v="Tarjeta"/>
    <n v="6200898"/>
    <n v="979672"/>
    <n v="212696"/>
    <n v="30"/>
    <d v="2016-05-31T00:00:00"/>
    <x v="1"/>
    <n v="3"/>
    <n v="1"/>
    <n v="2"/>
    <n v="1"/>
    <n v="0"/>
  </r>
  <r>
    <n v="8293153"/>
    <s v="Personal"/>
    <n v="28586833"/>
    <s v="Tarjeta"/>
    <n v="5381364"/>
    <n v="3775366"/>
    <n v="283258"/>
    <n v="30"/>
    <d v="2016-06-03T00:00:00"/>
    <x v="0"/>
    <n v="3"/>
    <n v="1"/>
    <n v="2"/>
    <n v="0"/>
    <n v="283258"/>
  </r>
  <r>
    <n v="8293228"/>
    <s v="Preferencial"/>
    <n v="21674961"/>
    <s v="Tarjeta"/>
    <n v="25702937"/>
    <n v="7077781"/>
    <n v="655866"/>
    <n v="30"/>
    <d v="2016-05-19T00:00:00"/>
    <x v="0"/>
    <n v="3"/>
    <n v="2"/>
    <n v="1"/>
    <n v="0"/>
    <n v="327933"/>
  </r>
  <r>
    <n v="8293228"/>
    <s v="Preferencial"/>
    <n v="25179756"/>
    <s v="Tarjeta"/>
    <n v="25702937"/>
    <n v="2552181"/>
    <n v="39411"/>
    <n v="30"/>
    <d v="2016-05-18T00:00:00"/>
    <x v="0"/>
    <n v="3"/>
    <n v="1"/>
    <n v="2"/>
    <n v="1"/>
    <n v="39411"/>
  </r>
  <r>
    <n v="8293228"/>
    <s v="Preferencial"/>
    <n v="27864553"/>
    <s v="Vehiculo"/>
    <n v="25702937"/>
    <n v="14465317"/>
    <n v="577427"/>
    <n v="16"/>
    <d v="2016-05-20T00:00:00"/>
    <x v="0"/>
    <n v="3"/>
    <n v="0"/>
    <n v="3"/>
    <n v="1"/>
    <n v="577427"/>
  </r>
  <r>
    <n v="8293235"/>
    <s v="Micro pyme"/>
    <n v="26262840"/>
    <s v="Tarjeta"/>
    <n v="2880866"/>
    <n v="2880866"/>
    <n v="373140"/>
    <n v="60"/>
    <d v="2016-04-30T00:00:00"/>
    <x v="0"/>
    <n v="3"/>
    <n v="1"/>
    <n v="2"/>
    <n v="2"/>
    <n v="0"/>
  </r>
  <r>
    <n v="8293244"/>
    <s v="Micro pyme"/>
    <n v="19738680"/>
    <s v="Consumo"/>
    <n v="2316003"/>
    <n v="132364"/>
    <n v="132364"/>
    <n v="7"/>
    <d v="2016-06-02T00:00:00"/>
    <x v="1"/>
    <n v="3"/>
    <n v="1"/>
    <n v="2"/>
    <n v="0"/>
    <n v="44121"/>
  </r>
  <r>
    <n v="8293244"/>
    <s v="Micro pyme"/>
    <n v="21786213"/>
    <s v="Tarjeta"/>
    <n v="2316003"/>
    <n v="2183639"/>
    <n v="126600"/>
    <n v="30"/>
    <d v="2016-05-31T00:00:00"/>
    <x v="1"/>
    <n v="3"/>
    <n v="1"/>
    <n v="2"/>
    <n v="0"/>
    <n v="0"/>
  </r>
  <r>
    <n v="8293299"/>
    <s v="Preferencial"/>
    <n v="27039509"/>
    <s v="Vehiculo"/>
    <n v="21296584"/>
    <n v="1887582"/>
    <n v="394788"/>
    <n v="1"/>
    <d v="2016-06-03T00:00:00"/>
    <x v="0"/>
    <n v="3"/>
    <n v="1"/>
    <n v="2"/>
    <n v="1"/>
    <n v="131596"/>
  </r>
  <r>
    <n v="8293299"/>
    <s v="Preferencial"/>
    <n v="27969594"/>
    <s v="Tarjeta"/>
    <n v="21296584"/>
    <n v="19409002"/>
    <n v="2008605"/>
    <n v="60"/>
    <d v="2016-05-01T00:00:00"/>
    <x v="0"/>
    <n v="3"/>
    <n v="0"/>
    <n v="3"/>
    <n v="1"/>
    <n v="0"/>
  </r>
  <r>
    <n v="8293546"/>
    <s v="Preferencial"/>
    <n v="21634560"/>
    <s v="Tarjeta"/>
    <n v="19827172"/>
    <n v="3968344"/>
    <n v="102842"/>
    <n v="30"/>
    <d v="2016-05-31T00:00:00"/>
    <x v="1"/>
    <n v="3"/>
    <n v="1"/>
    <n v="2"/>
    <n v="2"/>
    <n v="102842"/>
  </r>
  <r>
    <n v="8293546"/>
    <s v="Preferencial"/>
    <n v="26029145"/>
    <s v="Consumo"/>
    <n v="19827172"/>
    <n v="12869495"/>
    <n v="39987"/>
    <n v="1"/>
    <d v="2016-06-08T00:00:00"/>
    <x v="1"/>
    <n v="3"/>
    <n v="1"/>
    <n v="2"/>
    <n v="0"/>
    <n v="12869495"/>
  </r>
  <r>
    <n v="8293564"/>
    <s v="Micro pyme"/>
    <n v="26443276"/>
    <s v="Tarjeta"/>
    <n v="2236370"/>
    <n v="2236370"/>
    <n v="697423"/>
    <n v="60"/>
    <d v="2016-04-20T00:00:00"/>
    <x v="0"/>
    <n v="3"/>
    <n v="1"/>
    <n v="2"/>
    <n v="0"/>
    <n v="697423"/>
  </r>
  <r>
    <n v="8293662"/>
    <s v="Micro pyme"/>
    <n v="25834952"/>
    <s v="Tarjeta"/>
    <n v="983539"/>
    <n v="58369"/>
    <n v="46398"/>
    <n v="30"/>
    <d v="2016-05-29T00:00:00"/>
    <x v="0"/>
    <n v="3"/>
    <n v="1"/>
    <n v="2"/>
    <n v="1"/>
    <n v="46398"/>
  </r>
  <r>
    <n v="8293714"/>
    <s v="Micro pyme"/>
    <n v="21486272"/>
    <s v="Tarjeta"/>
    <n v="1633225"/>
    <n v="1633225"/>
    <n v="195378"/>
    <n v="30"/>
    <d v="2016-05-18T00:00:00"/>
    <x v="0"/>
    <n v="3"/>
    <n v="0"/>
    <n v="3"/>
    <n v="1"/>
    <n v="1633225"/>
  </r>
  <r>
    <n v="8293734"/>
    <s v="Micro pyme"/>
    <n v="28582640"/>
    <s v="Tarjeta"/>
    <n v="1515030"/>
    <n v="1515030"/>
    <n v="175808"/>
    <n v="30"/>
    <d v="2016-06-03T00:00:00"/>
    <x v="0"/>
    <n v="3"/>
    <n v="1"/>
    <n v="2"/>
    <n v="2"/>
    <n v="0"/>
  </r>
  <r>
    <n v="8293781"/>
    <s v="Micro pyme"/>
    <n v="25151473"/>
    <s v="Tarjeta"/>
    <n v="3666940"/>
    <n v="3666940"/>
    <n v="316828"/>
    <n v="30"/>
    <d v="2016-05-18T00:00:00"/>
    <x v="0"/>
    <n v="3"/>
    <n v="1"/>
    <n v="2"/>
    <n v="0"/>
    <n v="158414"/>
  </r>
  <r>
    <n v="8293793"/>
    <s v="Micro pyme"/>
    <n v="27730431"/>
    <s v="Tarjeta"/>
    <n v="1399594"/>
    <n v="1399594"/>
    <n v="154173"/>
    <n v="30"/>
    <d v="2016-06-01T00:00:00"/>
    <x v="0"/>
    <n v="3"/>
    <n v="1"/>
    <n v="2"/>
    <n v="0"/>
    <n v="77087"/>
  </r>
  <r>
    <n v="8293815"/>
    <s v="Personal"/>
    <n v="26238609"/>
    <s v="Tarjeta"/>
    <n v="8645948"/>
    <n v="2100373"/>
    <n v="148368"/>
    <n v="30"/>
    <d v="2016-05-31T00:00:00"/>
    <x v="1"/>
    <n v="3"/>
    <n v="2"/>
    <n v="1"/>
    <n v="1"/>
    <n v="74185"/>
  </r>
  <r>
    <n v="8293818"/>
    <s v="Personal"/>
    <n v="28252699"/>
    <s v="Tarjeta"/>
    <n v="18303869"/>
    <n v="985567"/>
    <n v="27146"/>
    <n v="30"/>
    <d v="2016-05-18T00:00:00"/>
    <x v="0"/>
    <n v="3"/>
    <n v="1"/>
    <n v="2"/>
    <n v="0"/>
    <n v="0"/>
  </r>
  <r>
    <n v="8293949"/>
    <s v="Micro pyme"/>
    <n v="26857064"/>
    <s v="Tarjeta"/>
    <n v="2029861"/>
    <n v="2029861"/>
    <n v="423157"/>
    <n v="60"/>
    <d v="2016-04-20T00:00:00"/>
    <x v="0"/>
    <n v="3"/>
    <n v="0"/>
    <n v="3"/>
    <n v="2"/>
    <n v="0"/>
  </r>
  <r>
    <n v="8294114"/>
    <s v="Micro pyme"/>
    <n v="21353303"/>
    <s v="Tarjeta"/>
    <n v="51797"/>
    <n v="51797"/>
    <n v="44378"/>
    <n v="30"/>
    <d v="2016-05-18T00:00:00"/>
    <x v="0"/>
    <n v="3"/>
    <n v="1"/>
    <n v="2"/>
    <n v="1"/>
    <n v="0"/>
  </r>
  <r>
    <n v="8294206"/>
    <s v="Personal"/>
    <n v="27648242"/>
    <s v="Tarjeta"/>
    <n v="9092117"/>
    <n v="2093370"/>
    <n v="2093370"/>
    <n v="120"/>
    <d v="2016-05-18T00:00:00"/>
    <x v="2"/>
    <n v="3"/>
    <n v="1"/>
    <n v="2"/>
    <n v="0"/>
    <n v="0"/>
  </r>
  <r>
    <n v="8294211"/>
    <s v="Micro pyme"/>
    <n v="20248889"/>
    <s v="Tarjeta"/>
    <n v="2174352"/>
    <n v="391303"/>
    <n v="29849"/>
    <n v="30"/>
    <d v="2016-05-18T00:00:00"/>
    <x v="0"/>
    <n v="3"/>
    <n v="1"/>
    <n v="2"/>
    <n v="1"/>
    <n v="9950"/>
  </r>
  <r>
    <n v="8294211"/>
    <s v="Micro pyme"/>
    <n v="20249908"/>
    <s v="Tarjeta"/>
    <n v="2174352"/>
    <n v="951987"/>
    <n v="63006"/>
    <n v="30"/>
    <d v="2016-05-18T00:00:00"/>
    <x v="0"/>
    <n v="3"/>
    <n v="1"/>
    <n v="2"/>
    <n v="0"/>
    <n v="63006"/>
  </r>
  <r>
    <n v="8294261"/>
    <s v="Micro pyme"/>
    <n v="27755425"/>
    <s v="Tarjeta"/>
    <n v="1968838"/>
    <n v="1968838"/>
    <n v="436938"/>
    <n v="60"/>
    <d v="2016-04-21T00:00:00"/>
    <x v="0"/>
    <n v="3"/>
    <n v="0"/>
    <n v="3"/>
    <n v="2"/>
    <n v="0"/>
  </r>
  <r>
    <n v="8294375"/>
    <s v="Micro pyme"/>
    <n v="25479266"/>
    <s v="Tarjeta"/>
    <n v="122518"/>
    <n v="122518"/>
    <n v="122518"/>
    <n v="120"/>
    <d v="2016-05-18T00:00:00"/>
    <x v="2"/>
    <n v="3"/>
    <n v="1"/>
    <n v="2"/>
    <n v="1"/>
    <n v="0"/>
  </r>
  <r>
    <n v="8294415"/>
    <s v="Preferencial"/>
    <n v="25073407"/>
    <s v="Tarjeta"/>
    <n v="11976714"/>
    <n v="2054878"/>
    <n v="426307"/>
    <n v="30"/>
    <d v="2016-05-18T00:00:00"/>
    <x v="0"/>
    <n v="3"/>
    <n v="1"/>
    <n v="2"/>
    <n v="0"/>
    <n v="0"/>
  </r>
  <r>
    <n v="8294415"/>
    <s v="Preferencial"/>
    <n v="25086883"/>
    <s v="Rotativo"/>
    <n v="11976714"/>
    <n v="5734577"/>
    <n v="728920"/>
    <n v="54"/>
    <d v="2016-04-16T00:00:00"/>
    <x v="0"/>
    <n v="3"/>
    <n v="1"/>
    <n v="2"/>
    <n v="1"/>
    <n v="728920"/>
  </r>
  <r>
    <n v="8294415"/>
    <s v="Preferencial"/>
    <n v="26921845"/>
    <s v="Rotativo"/>
    <n v="11976714"/>
    <n v="826214"/>
    <n v="72796"/>
    <n v="54"/>
    <d v="2016-04-16T00:00:00"/>
    <x v="0"/>
    <n v="3"/>
    <n v="1"/>
    <n v="2"/>
    <n v="0"/>
    <n v="826214"/>
  </r>
  <r>
    <n v="8294415"/>
    <s v="Preferencial"/>
    <n v="27029677"/>
    <s v="Rotativo"/>
    <n v="11976714"/>
    <n v="1174983"/>
    <n v="100313"/>
    <n v="54"/>
    <d v="2016-04-16T00:00:00"/>
    <x v="0"/>
    <n v="3"/>
    <n v="0"/>
    <n v="3"/>
    <n v="2"/>
    <n v="50156"/>
  </r>
  <r>
    <n v="8294415"/>
    <s v="Preferencial"/>
    <n v="27475022"/>
    <s v="Rotativo"/>
    <n v="11976714"/>
    <n v="354556"/>
    <n v="29138"/>
    <n v="54"/>
    <d v="2016-04-16T00:00:00"/>
    <x v="0"/>
    <n v="3"/>
    <n v="1"/>
    <n v="2"/>
    <n v="1"/>
    <n v="0"/>
  </r>
  <r>
    <n v="8294415"/>
    <s v="Preferencial"/>
    <n v="27494159"/>
    <s v="Rotativo"/>
    <n v="11976714"/>
    <n v="176726"/>
    <n v="14566"/>
    <n v="54"/>
    <d v="2016-04-16T00:00:00"/>
    <x v="0"/>
    <n v="3"/>
    <n v="1"/>
    <n v="2"/>
    <n v="0"/>
    <n v="0"/>
  </r>
  <r>
    <n v="8294415"/>
    <s v="Preferencial"/>
    <n v="27650008"/>
    <s v="Rotativo"/>
    <n v="11976714"/>
    <n v="454469"/>
    <n v="33874"/>
    <n v="54"/>
    <d v="2016-04-16T00:00:00"/>
    <x v="0"/>
    <n v="3"/>
    <n v="1"/>
    <n v="2"/>
    <n v="1"/>
    <n v="0"/>
  </r>
  <r>
    <n v="8294415"/>
    <s v="Preferencial"/>
    <n v="28151154"/>
    <s v="Rotativo"/>
    <n v="11976714"/>
    <n v="461658"/>
    <n v="18084"/>
    <n v="24"/>
    <d v="2016-05-17T00:00:00"/>
    <x v="0"/>
    <n v="3"/>
    <n v="2"/>
    <n v="1"/>
    <n v="0"/>
    <n v="18084"/>
  </r>
  <r>
    <n v="8294415"/>
    <s v="Preferencial"/>
    <n v="28151320"/>
    <s v="Rotativo"/>
    <n v="11976714"/>
    <n v="276994"/>
    <n v="10851"/>
    <n v="24"/>
    <d v="2016-05-17T00:00:00"/>
    <x v="0"/>
    <n v="3"/>
    <n v="1"/>
    <n v="2"/>
    <n v="1"/>
    <n v="3617"/>
  </r>
  <r>
    <n v="8294415"/>
    <s v="Preferencial"/>
    <n v="28154208"/>
    <s v="Rotativo"/>
    <n v="11976714"/>
    <n v="461658"/>
    <n v="18084"/>
    <n v="24"/>
    <d v="2016-05-17T00:00:00"/>
    <x v="0"/>
    <n v="3"/>
    <n v="0"/>
    <n v="3"/>
    <n v="1"/>
    <n v="0"/>
  </r>
  <r>
    <n v="8294465"/>
    <s v="Micro pyme"/>
    <n v="25276855"/>
    <s v="Tarjeta"/>
    <n v="2816565"/>
    <n v="38942"/>
    <n v="29360"/>
    <n v="60"/>
    <d v="2016-04-21T00:00:00"/>
    <x v="0"/>
    <n v="3"/>
    <n v="1"/>
    <n v="2"/>
    <n v="1"/>
    <n v="0"/>
  </r>
  <r>
    <n v="8294484"/>
    <s v="Micro pyme"/>
    <n v="26897548"/>
    <s v="Tarjeta"/>
    <n v="1639114"/>
    <n v="1639114"/>
    <n v="1639114"/>
    <n v="180"/>
    <d v="2016-05-01T00:00:00"/>
    <x v="2"/>
    <n v="3"/>
    <n v="1"/>
    <n v="2"/>
    <n v="1"/>
    <n v="819557"/>
  </r>
  <r>
    <n v="8307776"/>
    <s v="Micro pyme"/>
    <n v="26204227"/>
    <s v="Tarjeta"/>
    <n v="1335960"/>
    <n v="1335960"/>
    <n v="145567"/>
    <n v="30"/>
    <d v="2016-05-18T00:00:00"/>
    <x v="0"/>
    <n v="3"/>
    <n v="1"/>
    <n v="2"/>
    <n v="0"/>
    <n v="145567"/>
  </r>
  <r>
    <n v="8316522"/>
    <s v="Preferencial"/>
    <n v="22697628"/>
    <s v="Tarjeta"/>
    <n v="37025583"/>
    <n v="3033201"/>
    <n v="210950"/>
    <n v="30"/>
    <d v="2016-05-31T00:00:00"/>
    <x v="1"/>
    <n v="3"/>
    <n v="1"/>
    <n v="2"/>
    <n v="1"/>
    <n v="0"/>
  </r>
  <r>
    <n v="8316522"/>
    <s v="Preferencial"/>
    <n v="25377657"/>
    <s v="Consumo"/>
    <n v="37025583"/>
    <n v="7198025"/>
    <n v="254533"/>
    <n v="7"/>
    <d v="2016-06-02T00:00:00"/>
    <x v="1"/>
    <n v="3"/>
    <n v="0"/>
    <n v="3"/>
    <n v="1"/>
    <n v="254533"/>
  </r>
  <r>
    <n v="8322016"/>
    <s v="Micro pyme"/>
    <n v="28234540"/>
    <s v="Tarjeta"/>
    <n v="1416051"/>
    <n v="1416051"/>
    <n v="140108"/>
    <n v="30"/>
    <d v="2016-06-01T00:00:00"/>
    <x v="0"/>
    <n v="3"/>
    <n v="1"/>
    <n v="2"/>
    <n v="1"/>
    <n v="0"/>
  </r>
  <r>
    <n v="8322484"/>
    <s v="Micro pyme"/>
    <n v="16140274"/>
    <s v="Tarjeta"/>
    <n v="1627332"/>
    <n v="781273"/>
    <n v="781273"/>
    <n v="150"/>
    <d v="2016-05-29T00:00:00"/>
    <x v="2"/>
    <n v="3"/>
    <n v="1"/>
    <n v="2"/>
    <n v="1"/>
    <n v="781273"/>
  </r>
  <r>
    <n v="8322484"/>
    <s v="Micro pyme"/>
    <n v="21785894"/>
    <s v="Tarjeta"/>
    <n v="1627332"/>
    <n v="846059"/>
    <n v="846059"/>
    <n v="150"/>
    <d v="2016-05-29T00:00:00"/>
    <x v="2"/>
    <n v="3"/>
    <n v="1"/>
    <n v="2"/>
    <n v="0"/>
    <n v="282019"/>
  </r>
  <r>
    <n v="8349062"/>
    <s v="Micro pyme"/>
    <n v="25859215"/>
    <s v="Tarjeta"/>
    <n v="1372447"/>
    <n v="1372447"/>
    <n v="1372447"/>
    <n v="120"/>
    <d v="2016-05-29T00:00:00"/>
    <x v="2"/>
    <n v="3"/>
    <n v="1"/>
    <n v="2"/>
    <n v="1"/>
    <n v="0"/>
  </r>
  <r>
    <n v="8349681"/>
    <s v="Micro pyme"/>
    <n v="24807405"/>
    <s v="Tarjeta"/>
    <n v="1424591"/>
    <n v="1424591"/>
    <n v="375000"/>
    <n v="60"/>
    <d v="2016-04-30T00:00:00"/>
    <x v="0"/>
    <n v="3"/>
    <n v="0"/>
    <n v="3"/>
    <n v="1"/>
    <n v="0"/>
  </r>
  <r>
    <n v="8350430"/>
    <s v="Personal"/>
    <n v="26724769"/>
    <s v="Tarjeta"/>
    <n v="4598371"/>
    <n v="2133979"/>
    <n v="2133979"/>
    <n v="270"/>
    <d v="2016-05-19T00:00:00"/>
    <x v="2"/>
    <n v="3"/>
    <n v="1"/>
    <n v="2"/>
    <n v="1"/>
    <n v="0"/>
  </r>
  <r>
    <n v="8350430"/>
    <s v="Personal"/>
    <n v="26726954"/>
    <s v="Tarjeta"/>
    <n v="4598371"/>
    <n v="2464392"/>
    <n v="2464392"/>
    <n v="210"/>
    <d v="2016-03-19T00:00:00"/>
    <x v="2"/>
    <n v="3"/>
    <n v="1"/>
    <n v="2"/>
    <n v="1"/>
    <n v="2464392"/>
  </r>
  <r>
    <n v="8350710"/>
    <s v="Micro pyme"/>
    <n v="26378338"/>
    <s v="Tarjeta"/>
    <n v="1111762"/>
    <n v="1111762"/>
    <n v="424195"/>
    <n v="90"/>
    <d v="2016-05-19T00:00:00"/>
    <x v="0"/>
    <n v="3"/>
    <n v="1"/>
    <n v="2"/>
    <n v="0"/>
    <n v="0"/>
  </r>
  <r>
    <n v="8350978"/>
    <s v="Micro pyme"/>
    <n v="23577494"/>
    <s v="Tarjeta"/>
    <n v="1175778"/>
    <n v="1175778"/>
    <n v="1175778"/>
    <n v="180"/>
    <d v="2016-04-20T00:00:00"/>
    <x v="2"/>
    <n v="3"/>
    <n v="2"/>
    <n v="1"/>
    <n v="1"/>
    <n v="0"/>
  </r>
  <r>
    <n v="8351047"/>
    <s v="Micro pyme"/>
    <n v="24368978"/>
    <s v="Tarjeta"/>
    <n v="2869281"/>
    <n v="1174300"/>
    <n v="119355"/>
    <n v="30"/>
    <d v="2016-05-19T00:00:00"/>
    <x v="0"/>
    <n v="3"/>
    <n v="1"/>
    <n v="2"/>
    <n v="0"/>
    <n v="119355"/>
  </r>
  <r>
    <n v="8356945"/>
    <s v="Micro pyme"/>
    <n v="23046024"/>
    <s v="Tarjeta"/>
    <n v="1368289"/>
    <n v="244674"/>
    <n v="115466"/>
    <n v="30"/>
    <d v="2016-05-31T00:00:00"/>
    <x v="1"/>
    <n v="3"/>
    <n v="0"/>
    <n v="3"/>
    <n v="1"/>
    <n v="0"/>
  </r>
  <r>
    <n v="8357219"/>
    <s v="Preferencial"/>
    <n v="27217004"/>
    <s v="Consumo"/>
    <n v="63371274"/>
    <n v="27520056"/>
    <n v="994366"/>
    <n v="17"/>
    <d v="2016-05-24T00:00:00"/>
    <x v="2"/>
    <n v="3"/>
    <n v="1"/>
    <n v="2"/>
    <n v="2"/>
    <n v="994366"/>
  </r>
  <r>
    <n v="8357219"/>
    <s v="Preferencial"/>
    <n v="27253545"/>
    <s v="Tarjeta"/>
    <n v="63371274"/>
    <n v="9002262"/>
    <n v="943196"/>
    <n v="30"/>
    <d v="2016-05-18T00:00:00"/>
    <x v="2"/>
    <n v="3"/>
    <n v="1"/>
    <n v="2"/>
    <n v="0"/>
    <n v="471598"/>
  </r>
  <r>
    <n v="8357227"/>
    <s v="Micro pyme"/>
    <n v="26369502"/>
    <s v="Tarjeta"/>
    <n v="678366"/>
    <n v="678366"/>
    <n v="164287"/>
    <n v="30"/>
    <d v="2016-05-31T00:00:00"/>
    <x v="1"/>
    <n v="3"/>
    <n v="1"/>
    <n v="2"/>
    <n v="1"/>
    <n v="164287"/>
  </r>
  <r>
    <n v="8357241"/>
    <s v="Micro pyme"/>
    <n v="21744609"/>
    <s v="Tarjeta"/>
    <n v="1788573"/>
    <n v="801034"/>
    <n v="94767"/>
    <n v="30"/>
    <d v="2016-05-18T00:00:00"/>
    <x v="0"/>
    <n v="3"/>
    <n v="1"/>
    <n v="2"/>
    <n v="0"/>
    <n v="0"/>
  </r>
  <r>
    <n v="8357241"/>
    <s v="Micro pyme"/>
    <n v="22658475"/>
    <s v="Tarjeta"/>
    <n v="1788573"/>
    <n v="987539"/>
    <n v="117203"/>
    <n v="30"/>
    <d v="2016-05-19T00:00:00"/>
    <x v="0"/>
    <n v="3"/>
    <n v="0"/>
    <n v="3"/>
    <n v="1"/>
    <n v="987539"/>
  </r>
  <r>
    <n v="8357529"/>
    <s v="Micro pyme"/>
    <n v="27995102"/>
    <s v="Tarjeta"/>
    <n v="60642"/>
    <n v="60642"/>
    <n v="3902"/>
    <n v="30"/>
    <d v="2016-05-18T00:00:00"/>
    <x v="0"/>
    <n v="3"/>
    <n v="1"/>
    <n v="2"/>
    <n v="2"/>
    <n v="0"/>
  </r>
  <r>
    <n v="8360977"/>
    <s v="Micro pyme"/>
    <n v="26011555"/>
    <s v="Tarjeta"/>
    <n v="190564"/>
    <n v="190564"/>
    <n v="32985"/>
    <n v="30"/>
    <d v="2016-05-19T00:00:00"/>
    <x v="0"/>
    <n v="3"/>
    <n v="1"/>
    <n v="2"/>
    <n v="0"/>
    <n v="10995"/>
  </r>
  <r>
    <n v="8361878"/>
    <s v="Personal"/>
    <n v="1051371"/>
    <s v="Tarjeta"/>
    <n v="14651379"/>
    <n v="3394544"/>
    <n v="140760"/>
    <n v="30"/>
    <d v="2016-05-28T00:00:00"/>
    <x v="0"/>
    <n v="3"/>
    <n v="1"/>
    <n v="2"/>
    <n v="1"/>
    <n v="140760"/>
  </r>
  <r>
    <n v="8362506"/>
    <s v="Personal"/>
    <n v="26696130"/>
    <s v="Tarjeta"/>
    <n v="7852080"/>
    <n v="1912624"/>
    <n v="698300"/>
    <n v="90"/>
    <d v="2016-04-21T00:00:00"/>
    <x v="2"/>
    <n v="3"/>
    <n v="1"/>
    <n v="2"/>
    <n v="0"/>
    <n v="0"/>
  </r>
  <r>
    <n v="8362506"/>
    <s v="Personal"/>
    <n v="26696578"/>
    <s v="Tarjeta"/>
    <n v="7852080"/>
    <n v="5939456"/>
    <n v="5939456"/>
    <n v="150"/>
    <d v="2016-05-19T00:00:00"/>
    <x v="2"/>
    <n v="3"/>
    <n v="0"/>
    <n v="3"/>
    <n v="1"/>
    <n v="0"/>
  </r>
  <r>
    <n v="8363386"/>
    <s v="Micro pyme"/>
    <n v="27479573"/>
    <s v="Tarjeta"/>
    <n v="388367"/>
    <n v="388367"/>
    <n v="54313"/>
    <n v="30"/>
    <d v="2016-05-31T00:00:00"/>
    <x v="1"/>
    <n v="3"/>
    <n v="1"/>
    <n v="2"/>
    <n v="2"/>
    <n v="388367"/>
  </r>
  <r>
    <n v="8364034"/>
    <s v="Personal"/>
    <n v="2328145"/>
    <s v="Sobregiro"/>
    <n v="10758298"/>
    <n v="20809"/>
    <n v="20809"/>
    <n v="88"/>
    <d v="2016-05-12T00:00:00"/>
    <x v="0"/>
    <n v="3"/>
    <n v="1"/>
    <n v="2"/>
    <n v="0"/>
    <n v="20809"/>
  </r>
  <r>
    <n v="8364034"/>
    <s v="Personal"/>
    <n v="26406536"/>
    <s v="Tarjeta"/>
    <n v="10758298"/>
    <n v="10737489"/>
    <n v="2294485"/>
    <n v="60"/>
    <d v="2016-05-12T00:00:00"/>
    <x v="0"/>
    <n v="3"/>
    <n v="1"/>
    <n v="2"/>
    <n v="1"/>
    <n v="1147243"/>
  </r>
  <r>
    <n v="8364712"/>
    <s v="Micro pyme"/>
    <n v="1460358"/>
    <s v="Tarjeta"/>
    <n v="517931"/>
    <n v="517931"/>
    <n v="21962"/>
    <n v="30"/>
    <d v="2016-05-31T00:00:00"/>
    <x v="1"/>
    <n v="3"/>
    <n v="2"/>
    <n v="1"/>
    <n v="0"/>
    <n v="7320"/>
  </r>
  <r>
    <n v="8365097"/>
    <s v="Micro pyme"/>
    <n v="3651053"/>
    <s v="Tarjeta"/>
    <n v="1817799"/>
    <n v="1817799"/>
    <n v="170782"/>
    <n v="30"/>
    <d v="2016-05-18T00:00:00"/>
    <x v="0"/>
    <n v="3"/>
    <n v="1"/>
    <n v="2"/>
    <n v="0"/>
    <n v="170782"/>
  </r>
  <r>
    <n v="8365309"/>
    <s v="Personal"/>
    <n v="26944546"/>
    <s v="Tarjeta"/>
    <n v="7772000"/>
    <n v="7772000"/>
    <n v="699336"/>
    <n v="30"/>
    <d v="2016-06-01T00:00:00"/>
    <x v="0"/>
    <n v="3"/>
    <n v="0"/>
    <n v="3"/>
    <n v="2"/>
    <n v="0"/>
  </r>
  <r>
    <n v="8366056"/>
    <s v="Personal"/>
    <n v="26064932"/>
    <s v="Tarjeta"/>
    <n v="5029658"/>
    <n v="3358344"/>
    <n v="3358344"/>
    <n v="210"/>
    <d v="2016-03-19T00:00:00"/>
    <x v="2"/>
    <n v="3"/>
    <n v="1"/>
    <n v="2"/>
    <n v="1"/>
    <n v="0"/>
  </r>
  <r>
    <n v="8366056"/>
    <s v="Personal"/>
    <n v="27054787"/>
    <s v="Tarjeta"/>
    <n v="5029658"/>
    <n v="1671314"/>
    <n v="1671314"/>
    <n v="120"/>
    <d v="2016-05-28T00:00:00"/>
    <x v="2"/>
    <n v="3"/>
    <n v="1"/>
    <n v="2"/>
    <n v="1"/>
    <n v="1671314"/>
  </r>
  <r>
    <n v="8366256"/>
    <s v="Personal"/>
    <n v="25706312"/>
    <s v="Tarjeta"/>
    <n v="6776767"/>
    <n v="6776767"/>
    <n v="155638"/>
    <n v="30"/>
    <d v="2016-05-31T00:00:00"/>
    <x v="1"/>
    <n v="3"/>
    <n v="1"/>
    <n v="2"/>
    <n v="0"/>
    <n v="0"/>
  </r>
  <r>
    <n v="8366454"/>
    <s v="Micro pyme"/>
    <n v="11221865"/>
    <s v="Tarjeta"/>
    <n v="1433407"/>
    <n v="1433407"/>
    <n v="7806"/>
    <n v="30"/>
    <d v="2016-05-29T00:00:00"/>
    <x v="0"/>
    <n v="3"/>
    <n v="1"/>
    <n v="2"/>
    <n v="0"/>
    <n v="0"/>
  </r>
  <r>
    <n v="8366773"/>
    <s v="Micro pyme"/>
    <n v="24385342"/>
    <s v="Tarjeta"/>
    <n v="623660"/>
    <n v="623660"/>
    <n v="272011"/>
    <n v="60"/>
    <d v="2016-05-01T00:00:00"/>
    <x v="0"/>
    <n v="3"/>
    <n v="0"/>
    <n v="3"/>
    <n v="2"/>
    <n v="272011"/>
  </r>
  <r>
    <n v="8367150"/>
    <s v="Micro pyme"/>
    <n v="18627540"/>
    <s v="Tarjeta"/>
    <n v="2026615"/>
    <n v="1056037"/>
    <n v="94508"/>
    <n v="30"/>
    <d v="2016-05-19T00:00:00"/>
    <x v="0"/>
    <n v="3"/>
    <n v="1"/>
    <n v="2"/>
    <n v="1"/>
    <n v="0"/>
  </r>
  <r>
    <n v="8367150"/>
    <s v="Micro pyme"/>
    <n v="18628373"/>
    <s v="Tarjeta"/>
    <n v="2026615"/>
    <n v="970578"/>
    <n v="117199"/>
    <n v="30"/>
    <d v="2016-05-18T00:00:00"/>
    <x v="0"/>
    <n v="3"/>
    <n v="1"/>
    <n v="2"/>
    <n v="1"/>
    <n v="970578"/>
  </r>
  <r>
    <n v="8367187"/>
    <s v="Personal"/>
    <n v="24358512"/>
    <s v="Tarjeta"/>
    <n v="7338564"/>
    <n v="1000435"/>
    <n v="999940"/>
    <n v="120"/>
    <d v="2016-05-31T00:00:00"/>
    <x v="2"/>
    <n v="3"/>
    <n v="1"/>
    <n v="2"/>
    <n v="0"/>
    <n v="0"/>
  </r>
  <r>
    <n v="8367911"/>
    <s v="Micro pyme"/>
    <n v="26796195"/>
    <s v="Tarjeta"/>
    <n v="2861987"/>
    <n v="2861987"/>
    <n v="400448"/>
    <n v="30"/>
    <d v="2016-05-31T00:00:00"/>
    <x v="1"/>
    <n v="3"/>
    <n v="1"/>
    <n v="2"/>
    <n v="0"/>
    <n v="0"/>
  </r>
  <r>
    <n v="8368470"/>
    <s v="Micro pyme"/>
    <n v="25990958"/>
    <s v="Tarjeta"/>
    <n v="3166094"/>
    <n v="856746"/>
    <n v="33493"/>
    <n v="30"/>
    <d v="2016-05-31T00:00:00"/>
    <x v="1"/>
    <n v="3"/>
    <n v="0"/>
    <n v="3"/>
    <n v="2"/>
    <n v="16746"/>
  </r>
  <r>
    <n v="8368568"/>
    <s v="Preferencial"/>
    <n v="20786848"/>
    <s v="Tarjeta"/>
    <n v="37091851"/>
    <n v="5637698"/>
    <n v="106274"/>
    <n v="30"/>
    <d v="2016-06-01T00:00:00"/>
    <x v="0"/>
    <n v="3"/>
    <n v="1"/>
    <n v="2"/>
    <n v="1"/>
    <n v="0"/>
  </r>
  <r>
    <n v="8368568"/>
    <s v="Preferencial"/>
    <n v="23353967"/>
    <s v="Tarjeta"/>
    <n v="37091851"/>
    <n v="1363821"/>
    <n v="295418"/>
    <n v="30"/>
    <d v="2016-06-01T00:00:00"/>
    <x v="0"/>
    <n v="3"/>
    <n v="1"/>
    <n v="2"/>
    <n v="1"/>
    <n v="98473"/>
  </r>
  <r>
    <n v="8368826"/>
    <s v="Personal"/>
    <n v="11200552"/>
    <s v="Tarjeta"/>
    <n v="7945699"/>
    <n v="2858482"/>
    <n v="84289"/>
    <n v="30"/>
    <d v="2016-04-30T00:00:00"/>
    <x v="0"/>
    <n v="3"/>
    <n v="1"/>
    <n v="2"/>
    <n v="0"/>
    <n v="84289"/>
  </r>
  <r>
    <n v="8368917"/>
    <s v="Personal"/>
    <n v="15643416"/>
    <s v="Tarjeta"/>
    <n v="11787227"/>
    <n v="5891976"/>
    <n v="797773"/>
    <n v="30"/>
    <d v="2016-05-18T00:00:00"/>
    <x v="0"/>
    <n v="3"/>
    <n v="2"/>
    <n v="1"/>
    <n v="0"/>
    <n v="265924"/>
  </r>
  <r>
    <n v="8368917"/>
    <s v="Personal"/>
    <n v="15644864"/>
    <s v="Tarjeta"/>
    <n v="11787227"/>
    <n v="5895251"/>
    <n v="685129"/>
    <n v="30"/>
    <d v="2016-05-19T00:00:00"/>
    <x v="0"/>
    <n v="3"/>
    <n v="1"/>
    <n v="2"/>
    <n v="1"/>
    <n v="0"/>
  </r>
  <r>
    <n v="8368961"/>
    <s v="Personal"/>
    <n v="23801774"/>
    <s v="Tarjeta"/>
    <n v="9205503"/>
    <n v="1832073"/>
    <n v="417202"/>
    <n v="60"/>
    <d v="2016-05-01T00:00:00"/>
    <x v="0"/>
    <n v="3"/>
    <n v="0"/>
    <n v="3"/>
    <n v="1"/>
    <n v="0"/>
  </r>
  <r>
    <n v="8369021"/>
    <s v="Personal"/>
    <n v="24967953"/>
    <s v="Tarjeta"/>
    <n v="5470361"/>
    <n v="2735181"/>
    <n v="62433"/>
    <n v="30"/>
    <d v="2016-06-03T00:00:00"/>
    <x v="0"/>
    <n v="3"/>
    <n v="1"/>
    <n v="2"/>
    <n v="2"/>
    <n v="0"/>
  </r>
  <r>
    <n v="8369548"/>
    <s v="Micro pyme"/>
    <n v="21722911"/>
    <s v="Tarjeta"/>
    <n v="4783523"/>
    <n v="1289329"/>
    <n v="1289329"/>
    <n v="300"/>
    <d v="2016-04-27T00:00:00"/>
    <x v="2"/>
    <n v="3"/>
    <n v="1"/>
    <n v="2"/>
    <n v="0"/>
    <n v="1289329"/>
  </r>
  <r>
    <n v="8369921"/>
    <s v="Personal"/>
    <n v="18804236"/>
    <s v="Tarjeta"/>
    <n v="5853172"/>
    <n v="1883060"/>
    <n v="48927"/>
    <n v="30"/>
    <d v="2016-05-31T00:00:00"/>
    <x v="1"/>
    <n v="3"/>
    <n v="1"/>
    <n v="2"/>
    <n v="0"/>
    <n v="48927"/>
  </r>
  <r>
    <n v="8370142"/>
    <s v="Personal"/>
    <n v="19935967"/>
    <s v="Tarjeta"/>
    <n v="5797763"/>
    <n v="885904"/>
    <n v="33649"/>
    <n v="30"/>
    <d v="2016-05-31T00:00:00"/>
    <x v="1"/>
    <n v="3"/>
    <n v="1"/>
    <n v="2"/>
    <n v="1"/>
    <n v="0"/>
  </r>
  <r>
    <n v="8370142"/>
    <s v="Personal"/>
    <n v="19937520"/>
    <s v="Tarjeta"/>
    <n v="5797763"/>
    <n v="2208042"/>
    <n v="56716"/>
    <n v="30"/>
    <d v="2016-05-31T00:00:00"/>
    <x v="1"/>
    <n v="3"/>
    <n v="0"/>
    <n v="3"/>
    <n v="1"/>
    <n v="0"/>
  </r>
  <r>
    <n v="8370436"/>
    <s v="Micro pyme"/>
    <n v="25911475"/>
    <s v="Tarjeta"/>
    <n v="907040"/>
    <n v="907040"/>
    <n v="203743"/>
    <n v="90"/>
    <d v="2016-05-18T00:00:00"/>
    <x v="0"/>
    <n v="3"/>
    <n v="1"/>
    <n v="2"/>
    <n v="2"/>
    <n v="0"/>
  </r>
  <r>
    <n v="8370964"/>
    <s v="Micro pyme"/>
    <n v="14853592"/>
    <s v="Tarjeta"/>
    <n v="1763477"/>
    <n v="1763477"/>
    <n v="1763477"/>
    <n v="120"/>
    <d v="2016-05-29T00:00:00"/>
    <x v="2"/>
    <n v="3"/>
    <n v="1"/>
    <n v="2"/>
    <n v="0"/>
    <n v="0"/>
  </r>
  <r>
    <n v="8371020"/>
    <s v="Micro pyme"/>
    <n v="26228993"/>
    <s v="Tarjeta"/>
    <n v="719953"/>
    <n v="719953"/>
    <n v="272465"/>
    <n v="30"/>
    <d v="2016-05-31T00:00:00"/>
    <x v="1"/>
    <n v="3"/>
    <n v="1"/>
    <n v="2"/>
    <n v="0"/>
    <n v="272465"/>
  </r>
  <r>
    <n v="8371143"/>
    <s v="Personal"/>
    <n v="2778342"/>
    <s v="Sobregiro"/>
    <n v="10896228"/>
    <n v="87912"/>
    <n v="87912"/>
    <n v="38"/>
    <d v="2016-06-02T00:00:00"/>
    <x v="0"/>
    <n v="3"/>
    <n v="1"/>
    <n v="2"/>
    <n v="1"/>
    <n v="0"/>
  </r>
  <r>
    <n v="8371143"/>
    <s v="Personal"/>
    <n v="4910388"/>
    <s v="Tarjeta"/>
    <n v="10896228"/>
    <n v="5256516"/>
    <n v="681340"/>
    <n v="30"/>
    <d v="2016-06-02T00:00:00"/>
    <x v="0"/>
    <n v="3"/>
    <n v="0"/>
    <n v="3"/>
    <n v="1"/>
    <n v="0"/>
  </r>
  <r>
    <n v="8371487"/>
    <s v="Micro pyme"/>
    <n v="14446684"/>
    <s v="Tarjeta"/>
    <n v="3063006"/>
    <n v="3063006"/>
    <n v="206599"/>
    <n v="30"/>
    <d v="2016-06-01T00:00:00"/>
    <x v="0"/>
    <n v="3"/>
    <n v="1"/>
    <n v="2"/>
    <n v="2"/>
    <n v="206599"/>
  </r>
  <r>
    <n v="8372113"/>
    <s v="Preferencial"/>
    <n v="12527109"/>
    <s v="Tarjeta"/>
    <n v="5714769"/>
    <n v="2067749"/>
    <n v="2067749"/>
    <n v="180"/>
    <d v="2016-04-30T00:00:00"/>
    <x v="2"/>
    <n v="3"/>
    <n v="1"/>
    <n v="2"/>
    <n v="0"/>
    <n v="2067749"/>
  </r>
  <r>
    <n v="8372113"/>
    <s v="Preferencial"/>
    <n v="20852636"/>
    <s v="Tarjeta"/>
    <n v="5714769"/>
    <n v="1913968"/>
    <n v="1913968"/>
    <n v="150"/>
    <d v="2016-05-29T00:00:00"/>
    <x v="2"/>
    <n v="3"/>
    <n v="1"/>
    <n v="2"/>
    <n v="0"/>
    <n v="956985"/>
  </r>
  <r>
    <n v="8372113"/>
    <s v="Preferencial"/>
    <n v="21187094"/>
    <s v="Tarjeta"/>
    <n v="5714769"/>
    <n v="1434324"/>
    <n v="1434324"/>
    <n v="180"/>
    <d v="2016-04-30T00:00:00"/>
    <x v="2"/>
    <n v="3"/>
    <n v="2"/>
    <n v="1"/>
    <n v="1"/>
    <n v="478108"/>
  </r>
  <r>
    <n v="8372113"/>
    <s v="Preferencial"/>
    <n v="23287162"/>
    <s v="Rotativo"/>
    <n v="5714769"/>
    <n v="298727"/>
    <n v="298727"/>
    <n v="145"/>
    <d v="2016-05-14T00:00:00"/>
    <x v="2"/>
    <n v="3"/>
    <n v="1"/>
    <n v="2"/>
    <n v="0"/>
    <n v="298727"/>
  </r>
  <r>
    <n v="8372256"/>
    <s v="Micro pyme"/>
    <n v="24368698"/>
    <s v="Tarjeta"/>
    <n v="1934128"/>
    <n v="1934128"/>
    <n v="32397"/>
    <n v="30"/>
    <d v="2016-05-19T00:00:00"/>
    <x v="0"/>
    <n v="3"/>
    <n v="0"/>
    <n v="3"/>
    <n v="2"/>
    <n v="16199"/>
  </r>
  <r>
    <n v="8372294"/>
    <s v="Micro pyme"/>
    <n v="26217632"/>
    <s v="Tarjeta"/>
    <n v="356940"/>
    <n v="356940"/>
    <n v="85705"/>
    <n v="30"/>
    <d v="2016-05-18T00:00:00"/>
    <x v="0"/>
    <n v="3"/>
    <n v="1"/>
    <n v="2"/>
    <n v="1"/>
    <n v="0"/>
  </r>
  <r>
    <n v="8372484"/>
    <s v="Preferencial"/>
    <n v="19916641"/>
    <s v="Tarjeta"/>
    <n v="42910041"/>
    <n v="2324248"/>
    <n v="782788"/>
    <n v="30"/>
    <d v="2016-05-25T00:00:00"/>
    <x v="0"/>
    <n v="3"/>
    <n v="1"/>
    <n v="2"/>
    <n v="0"/>
    <n v="782788"/>
  </r>
  <r>
    <n v="8372759"/>
    <s v="Micro pyme"/>
    <n v="11400568"/>
    <s v="Tarjeta"/>
    <n v="2511962"/>
    <n v="2511962"/>
    <n v="2511962"/>
    <n v="120"/>
    <d v="2016-05-18T00:00:00"/>
    <x v="2"/>
    <n v="3"/>
    <n v="1"/>
    <n v="2"/>
    <n v="1"/>
    <n v="0"/>
  </r>
  <r>
    <n v="8372819"/>
    <s v="Personal"/>
    <n v="23753030"/>
    <s v="Tarjeta"/>
    <n v="8134181"/>
    <n v="1773908"/>
    <n v="11709"/>
    <n v="30"/>
    <d v="2016-05-18T00:00:00"/>
    <x v="0"/>
    <n v="3"/>
    <n v="1"/>
    <n v="2"/>
    <n v="0"/>
    <n v="5855"/>
  </r>
  <r>
    <n v="8372852"/>
    <s v="Personal"/>
    <n v="23768795"/>
    <s v="Tarjeta"/>
    <n v="18507237"/>
    <n v="18507237"/>
    <n v="465555"/>
    <n v="30"/>
    <d v="2016-05-29T00:00:00"/>
    <x v="2"/>
    <n v="3"/>
    <n v="0"/>
    <n v="3"/>
    <n v="2"/>
    <n v="465555"/>
  </r>
  <r>
    <n v="8372876"/>
    <s v="Micro pyme"/>
    <n v="27056383"/>
    <s v="Tarjeta"/>
    <n v="409405"/>
    <n v="409405"/>
    <n v="40907"/>
    <n v="30"/>
    <d v="2016-05-19T00:00:00"/>
    <x v="0"/>
    <n v="3"/>
    <n v="1"/>
    <n v="2"/>
    <n v="1"/>
    <n v="40907"/>
  </r>
  <r>
    <n v="8373109"/>
    <s v="Micro pyme"/>
    <n v="25110940"/>
    <s v="Tarjeta"/>
    <n v="57196"/>
    <n v="57196"/>
    <n v="47021"/>
    <n v="30"/>
    <d v="2016-05-31T00:00:00"/>
    <x v="1"/>
    <n v="3"/>
    <n v="1"/>
    <n v="2"/>
    <n v="0"/>
    <n v="15674"/>
  </r>
  <r>
    <n v="8373110"/>
    <s v="Micro pyme"/>
    <n v="20837646"/>
    <s v="Tarjeta"/>
    <n v="4138490"/>
    <n v="4138490"/>
    <n v="2835880"/>
    <n v="60"/>
    <d v="2016-05-01T00:00:00"/>
    <x v="0"/>
    <n v="3"/>
    <n v="1"/>
    <n v="2"/>
    <n v="1"/>
    <n v="0"/>
  </r>
  <r>
    <n v="8373305"/>
    <s v="Micro pyme"/>
    <n v="21807022"/>
    <s v="Tarjeta"/>
    <n v="3634425"/>
    <n v="3634425"/>
    <n v="267402"/>
    <n v="30"/>
    <d v="2016-05-31T00:00:00"/>
    <x v="1"/>
    <n v="3"/>
    <n v="1"/>
    <n v="2"/>
    <n v="0"/>
    <n v="0"/>
  </r>
  <r>
    <n v="8373318"/>
    <s v="Micro pyme"/>
    <n v="23637560"/>
    <s v="Tarjeta"/>
    <n v="4727990"/>
    <n v="4727990"/>
    <n v="769024"/>
    <n v="60"/>
    <d v="2016-04-30T00:00:00"/>
    <x v="0"/>
    <n v="3"/>
    <n v="0"/>
    <n v="3"/>
    <n v="2"/>
    <n v="0"/>
  </r>
  <r>
    <n v="8373458"/>
    <s v="Micro pyme"/>
    <n v="26405269"/>
    <s v="Tarjeta"/>
    <n v="1334852"/>
    <n v="1334852"/>
    <n v="1334584"/>
    <n v="120"/>
    <d v="2016-05-29T00:00:00"/>
    <x v="2"/>
    <n v="3"/>
    <n v="1"/>
    <n v="2"/>
    <n v="1"/>
    <n v="0"/>
  </r>
  <r>
    <n v="8373519"/>
    <s v="Personal"/>
    <n v="26396786"/>
    <s v="Tarjeta"/>
    <n v="7389122"/>
    <n v="2333609"/>
    <n v="3902"/>
    <n v="30"/>
    <d v="2016-05-31T00:00:00"/>
    <x v="1"/>
    <n v="3"/>
    <n v="1"/>
    <n v="2"/>
    <n v="0"/>
    <n v="0"/>
  </r>
  <r>
    <n v="8373802"/>
    <s v="Preferencial"/>
    <n v="15812251"/>
    <s v="Tarjeta"/>
    <n v="12160033"/>
    <n v="2079277"/>
    <n v="2079277"/>
    <n v="120"/>
    <d v="2016-05-18T00:00:00"/>
    <x v="2"/>
    <n v="3"/>
    <n v="1"/>
    <n v="2"/>
    <n v="1"/>
    <n v="2079277"/>
  </r>
  <r>
    <n v="8373802"/>
    <s v="Preferencial"/>
    <n v="17302927"/>
    <s v="Tarjeta"/>
    <n v="12160033"/>
    <n v="3584325"/>
    <n v="436013"/>
    <n v="60"/>
    <d v="2016-05-18T00:00:00"/>
    <x v="2"/>
    <n v="3"/>
    <n v="2"/>
    <n v="1"/>
    <n v="0"/>
    <n v="0"/>
  </r>
  <r>
    <n v="8373802"/>
    <s v="Preferencial"/>
    <n v="25509330"/>
    <s v="Rotativo"/>
    <n v="12160033"/>
    <n v="4748262"/>
    <n v="271697"/>
    <n v="24"/>
    <d v="2016-05-18T00:00:00"/>
    <x v="2"/>
    <n v="3"/>
    <n v="1"/>
    <n v="2"/>
    <n v="1"/>
    <n v="0"/>
  </r>
  <r>
    <n v="8373802"/>
    <s v="Preferencial"/>
    <n v="27399471"/>
    <s v="Rotativo"/>
    <n v="12160033"/>
    <n v="1436886"/>
    <n v="43510"/>
    <n v="24"/>
    <d v="2016-05-18T00:00:00"/>
    <x v="2"/>
    <n v="3"/>
    <n v="0"/>
    <n v="3"/>
    <n v="1"/>
    <n v="43510"/>
  </r>
  <r>
    <n v="8373802"/>
    <s v="Preferencial"/>
    <n v="27745139"/>
    <s v="Rotativo"/>
    <n v="12160033"/>
    <n v="311282"/>
    <n v="9298"/>
    <n v="24"/>
    <d v="2016-05-18T00:00:00"/>
    <x v="2"/>
    <n v="3"/>
    <n v="1"/>
    <n v="2"/>
    <n v="1"/>
    <n v="3100"/>
  </r>
  <r>
    <n v="8373803"/>
    <s v="Personal"/>
    <n v="16656839"/>
    <s v="Consumo"/>
    <n v="6503338"/>
    <n v="651907"/>
    <n v="589819"/>
    <n v="133"/>
    <d v="2016-05-27T00:00:00"/>
    <x v="2"/>
    <n v="3"/>
    <n v="1"/>
    <n v="2"/>
    <n v="1"/>
    <n v="0"/>
  </r>
  <r>
    <n v="8373803"/>
    <s v="Personal"/>
    <n v="24836538"/>
    <s v="Tarjeta"/>
    <n v="6503338"/>
    <n v="2470905"/>
    <n v="544076"/>
    <n v="60"/>
    <d v="2016-05-01T00:00:00"/>
    <x v="2"/>
    <n v="3"/>
    <n v="1"/>
    <n v="2"/>
    <n v="0"/>
    <n v="544076"/>
  </r>
  <r>
    <n v="8373922"/>
    <s v="Personal"/>
    <n v="15451183"/>
    <s v="Tarjeta"/>
    <n v="3211992"/>
    <n v="1101738"/>
    <n v="117938"/>
    <n v="30"/>
    <d v="2016-05-31T00:00:00"/>
    <x v="1"/>
    <n v="3"/>
    <n v="1"/>
    <n v="2"/>
    <n v="1"/>
    <n v="117938"/>
  </r>
  <r>
    <n v="8373922"/>
    <s v="Personal"/>
    <n v="15452026"/>
    <s v="Tarjeta"/>
    <n v="3211992"/>
    <n v="1205113"/>
    <n v="11709"/>
    <n v="30"/>
    <d v="2016-05-31T00:00:00"/>
    <x v="1"/>
    <n v="3"/>
    <n v="0"/>
    <n v="3"/>
    <n v="1"/>
    <n v="1205113"/>
  </r>
  <r>
    <n v="8374077"/>
    <s v="Preferencial"/>
    <n v="27041563"/>
    <s v="Tarjeta"/>
    <n v="38659742"/>
    <n v="6050809"/>
    <n v="1212987"/>
    <n v="30"/>
    <d v="2016-05-19T00:00:00"/>
    <x v="2"/>
    <n v="3"/>
    <n v="1"/>
    <n v="2"/>
    <n v="1"/>
    <n v="0"/>
  </r>
  <r>
    <n v="8374957"/>
    <s v="Micro pyme"/>
    <n v="26344716"/>
    <s v="Tarjeta"/>
    <n v="1934121"/>
    <n v="1934121"/>
    <n v="214989"/>
    <n v="30"/>
    <d v="2016-05-31T00:00:00"/>
    <x v="1"/>
    <n v="3"/>
    <n v="1"/>
    <n v="2"/>
    <n v="1"/>
    <n v="107495"/>
  </r>
  <r>
    <n v="8374964"/>
    <s v="Micro pyme"/>
    <n v="27287287"/>
    <s v="Tarjeta"/>
    <n v="740311"/>
    <n v="310923"/>
    <n v="18118"/>
    <n v="30"/>
    <d v="2016-05-31T00:00:00"/>
    <x v="1"/>
    <n v="3"/>
    <n v="1"/>
    <n v="2"/>
    <n v="0"/>
    <n v="0"/>
  </r>
  <r>
    <n v="8375157"/>
    <s v="Micro pyme"/>
    <n v="10604639"/>
    <s v="Tarjeta"/>
    <n v="610896"/>
    <n v="610896"/>
    <n v="610897"/>
    <n v="360"/>
    <d v="2016-03-14T00:00:00"/>
    <x v="2"/>
    <n v="3"/>
    <n v="1"/>
    <n v="2"/>
    <n v="1"/>
    <n v="0"/>
  </r>
  <r>
    <n v="8375295"/>
    <s v="Personal"/>
    <n v="23137609"/>
    <s v="Tarjeta"/>
    <n v="4911087"/>
    <n v="1873099"/>
    <n v="604385"/>
    <n v="90"/>
    <d v="2016-04-30T00:00:00"/>
    <x v="2"/>
    <n v="3"/>
    <n v="0"/>
    <n v="3"/>
    <n v="1"/>
    <n v="0"/>
  </r>
  <r>
    <n v="8375295"/>
    <s v="Personal"/>
    <n v="23161693"/>
    <s v="Tarjeta"/>
    <n v="4911087"/>
    <n v="3037989"/>
    <n v="3037989"/>
    <n v="150"/>
    <d v="2016-04-30T00:00:00"/>
    <x v="2"/>
    <n v="3"/>
    <n v="1"/>
    <n v="2"/>
    <n v="1"/>
    <n v="0"/>
  </r>
  <r>
    <n v="8375343"/>
    <s v="Micro pyme"/>
    <n v="22513953"/>
    <s v="Tarjeta"/>
    <n v="2468444"/>
    <n v="2468444"/>
    <n v="2468444"/>
    <n v="150"/>
    <d v="2016-05-28T00:00:00"/>
    <x v="2"/>
    <n v="3"/>
    <n v="1"/>
    <n v="2"/>
    <n v="1"/>
    <n v="822815"/>
  </r>
  <r>
    <n v="8375436"/>
    <s v="Preferencial"/>
    <n v="25340832"/>
    <s v="Tarjeta"/>
    <n v="23004813"/>
    <n v="2598794"/>
    <n v="72165"/>
    <n v="30"/>
    <d v="2016-06-01T00:00:00"/>
    <x v="0"/>
    <n v="3"/>
    <n v="1"/>
    <n v="2"/>
    <n v="0"/>
    <n v="0"/>
  </r>
  <r>
    <n v="8375436"/>
    <s v="Preferencial"/>
    <n v="28584174"/>
    <s v="Tarjeta"/>
    <n v="23004813"/>
    <n v="2574419"/>
    <n v="48193"/>
    <n v="30"/>
    <d v="2016-06-02T00:00:00"/>
    <x v="0"/>
    <n v="3"/>
    <n v="2"/>
    <n v="1"/>
    <n v="1"/>
    <n v="48193"/>
  </r>
  <r>
    <n v="8375486"/>
    <s v="Micro pyme"/>
    <n v="15746667"/>
    <s v="Tarjeta"/>
    <n v="701221"/>
    <n v="701221"/>
    <n v="136072"/>
    <n v="30"/>
    <d v="2016-05-31T00:00:00"/>
    <x v="1"/>
    <n v="3"/>
    <n v="1"/>
    <n v="2"/>
    <n v="0"/>
    <n v="0"/>
  </r>
  <r>
    <n v="8375778"/>
    <s v="Personal"/>
    <n v="16122004"/>
    <s v="Tarjeta"/>
    <n v="9923786"/>
    <n v="4549196"/>
    <n v="98984"/>
    <n v="30"/>
    <d v="2016-05-18T00:00:00"/>
    <x v="0"/>
    <n v="3"/>
    <n v="0"/>
    <n v="3"/>
    <n v="1"/>
    <n v="0"/>
  </r>
  <r>
    <n v="8375887"/>
    <s v="Micro pyme"/>
    <n v="21569268"/>
    <s v="Tarjeta"/>
    <n v="3968552"/>
    <n v="723227"/>
    <n v="135623"/>
    <n v="30"/>
    <d v="2016-05-31T00:00:00"/>
    <x v="1"/>
    <n v="3"/>
    <n v="1"/>
    <n v="2"/>
    <n v="2"/>
    <n v="0"/>
  </r>
  <r>
    <n v="8375899"/>
    <s v="Micro pyme"/>
    <n v="25529213"/>
    <s v="Tarjeta"/>
    <n v="284166"/>
    <n v="284166"/>
    <n v="22144"/>
    <n v="30"/>
    <d v="2016-05-31T00:00:00"/>
    <x v="1"/>
    <n v="3"/>
    <n v="1"/>
    <n v="2"/>
    <n v="0"/>
    <n v="7381"/>
  </r>
  <r>
    <n v="8376101"/>
    <s v="Personal"/>
    <n v="26856140"/>
    <s v="Tarjeta"/>
    <n v="19396849"/>
    <n v="3713691"/>
    <n v="411472"/>
    <n v="30"/>
    <d v="2016-05-19T00:00:00"/>
    <x v="0"/>
    <n v="3"/>
    <n v="1"/>
    <n v="2"/>
    <n v="1"/>
    <n v="0"/>
  </r>
  <r>
    <n v="8376429"/>
    <s v="Preferencial"/>
    <n v="2931482"/>
    <s v="Hipotercario"/>
    <n v="38842759"/>
    <n v="33648680"/>
    <n v="2529274"/>
    <n v="114"/>
    <d v="2016-04-16T00:00:00"/>
    <x v="2"/>
    <n v="3"/>
    <n v="1"/>
    <n v="2"/>
    <n v="0"/>
    <n v="843091"/>
  </r>
  <r>
    <n v="8376429"/>
    <s v="Preferencial"/>
    <n v="11036696"/>
    <s v="Tarjeta"/>
    <n v="38842759"/>
    <n v="5194078"/>
    <n v="1981969"/>
    <n v="60"/>
    <d v="2016-04-21T00:00:00"/>
    <x v="2"/>
    <n v="3"/>
    <n v="0"/>
    <n v="3"/>
    <n v="1"/>
    <n v="660657"/>
  </r>
  <r>
    <n v="8376469"/>
    <s v="Micro pyme"/>
    <n v="27404462"/>
    <s v="Tarjeta"/>
    <n v="3494437"/>
    <n v="1668050"/>
    <n v="27236"/>
    <n v="30"/>
    <d v="2016-05-31T00:00:00"/>
    <x v="1"/>
    <n v="3"/>
    <n v="1"/>
    <n v="2"/>
    <n v="2"/>
    <n v="27236"/>
  </r>
  <r>
    <n v="8376705"/>
    <s v="Micro pyme"/>
    <n v="26836468"/>
    <s v="Tarjeta"/>
    <n v="1289877"/>
    <n v="1289877"/>
    <n v="98811"/>
    <n v="30"/>
    <d v="2016-05-18T00:00:00"/>
    <x v="0"/>
    <n v="3"/>
    <n v="1"/>
    <n v="2"/>
    <n v="0"/>
    <n v="0"/>
  </r>
  <r>
    <n v="8376794"/>
    <s v="Preferencial"/>
    <n v="23391044"/>
    <s v="Tarjeta"/>
    <n v="13783105"/>
    <n v="2978400"/>
    <n v="425945"/>
    <n v="60"/>
    <d v="2016-05-01T00:00:00"/>
    <x v="2"/>
    <n v="3"/>
    <n v="1"/>
    <n v="2"/>
    <n v="1"/>
    <n v="141982"/>
  </r>
  <r>
    <n v="8376794"/>
    <s v="Preferencial"/>
    <n v="23391228"/>
    <s v="Tarjeta"/>
    <n v="13783105"/>
    <n v="6768847"/>
    <n v="6768847"/>
    <n v="150"/>
    <d v="2016-04-20T00:00:00"/>
    <x v="2"/>
    <n v="3"/>
    <n v="1"/>
    <n v="2"/>
    <n v="0"/>
    <n v="6768847"/>
  </r>
  <r>
    <n v="8376794"/>
    <s v="Preferencial"/>
    <n v="23812937"/>
    <s v="Tarjeta"/>
    <n v="13783105"/>
    <n v="4035858"/>
    <n v="4035858"/>
    <n v="150"/>
    <d v="2016-04-27T00:00:00"/>
    <x v="2"/>
    <n v="3"/>
    <n v="0"/>
    <n v="3"/>
    <n v="1"/>
    <n v="0"/>
  </r>
  <r>
    <n v="8376891"/>
    <s v="Micro pyme"/>
    <n v="19336726"/>
    <s v="Tarjeta"/>
    <n v="3774425"/>
    <n v="3749370"/>
    <n v="496623"/>
    <n v="30"/>
    <d v="2016-05-31T00:00:00"/>
    <x v="1"/>
    <n v="3"/>
    <n v="1"/>
    <n v="2"/>
    <n v="2"/>
    <n v="0"/>
  </r>
  <r>
    <n v="8377130"/>
    <s v="Micro pyme"/>
    <n v="26512445"/>
    <s v="Tarjeta"/>
    <n v="551516"/>
    <n v="551516"/>
    <n v="23821"/>
    <n v="30"/>
    <d v="2016-05-31T00:00:00"/>
    <x v="1"/>
    <n v="3"/>
    <n v="1"/>
    <n v="2"/>
    <n v="0"/>
    <n v="0"/>
  </r>
  <r>
    <n v="8377227"/>
    <s v="Micro pyme"/>
    <n v="24816925"/>
    <s v="Tarjeta"/>
    <n v="1083760"/>
    <n v="1083760"/>
    <n v="93147"/>
    <n v="30"/>
    <d v="2016-05-18T00:00:00"/>
    <x v="0"/>
    <n v="3"/>
    <n v="1"/>
    <n v="2"/>
    <n v="1"/>
    <n v="93147"/>
  </r>
  <r>
    <n v="8377292"/>
    <s v="Micro pyme"/>
    <n v="26246020"/>
    <s v="Tarjeta"/>
    <n v="3716702"/>
    <n v="1249723"/>
    <n v="369898"/>
    <n v="60"/>
    <d v="2016-06-03T00:00:00"/>
    <x v="0"/>
    <n v="3"/>
    <n v="2"/>
    <n v="1"/>
    <n v="0"/>
    <n v="369898"/>
  </r>
  <r>
    <n v="8377553"/>
    <s v="Personal"/>
    <n v="25413634"/>
    <s v="Libranza"/>
    <n v="4865647"/>
    <n v="4467765"/>
    <n v="882011"/>
    <n v="191"/>
    <d v="2016-03-30T00:00:00"/>
    <x v="2"/>
    <n v="3"/>
    <n v="1"/>
    <n v="2"/>
    <n v="0"/>
    <n v="294004"/>
  </r>
  <r>
    <n v="8377553"/>
    <s v="Personal"/>
    <n v="26862382"/>
    <s v="Tarjeta"/>
    <n v="4865647"/>
    <n v="397881"/>
    <n v="153708"/>
    <n v="90"/>
    <d v="2016-03-21T00:00:00"/>
    <x v="2"/>
    <n v="3"/>
    <n v="0"/>
    <n v="3"/>
    <n v="2"/>
    <n v="153708"/>
  </r>
  <r>
    <n v="8377729"/>
    <s v="Personal"/>
    <n v="21626178"/>
    <s v="Tarjeta"/>
    <n v="23173720"/>
    <n v="3369065"/>
    <n v="3902"/>
    <n v="30"/>
    <d v="2016-05-31T00:00:00"/>
    <x v="1"/>
    <n v="3"/>
    <n v="1"/>
    <n v="2"/>
    <n v="1"/>
    <n v="3902"/>
  </r>
  <r>
    <n v="8377815"/>
    <s v="Micro pyme"/>
    <n v="23968455"/>
    <s v="Tarjeta"/>
    <n v="282300"/>
    <n v="282300"/>
    <n v="90793"/>
    <n v="30"/>
    <d v="2016-05-31T00:00:00"/>
    <x v="1"/>
    <n v="3"/>
    <n v="1"/>
    <n v="2"/>
    <n v="1"/>
    <n v="45397"/>
  </r>
  <r>
    <n v="8377851"/>
    <s v="Personal"/>
    <n v="23919595"/>
    <s v="Tarjeta"/>
    <n v="6319524"/>
    <n v="428572"/>
    <n v="167285"/>
    <n v="90"/>
    <d v="2016-05-18T00:00:00"/>
    <x v="0"/>
    <n v="3"/>
    <n v="1"/>
    <n v="2"/>
    <n v="0"/>
    <n v="428572"/>
  </r>
  <r>
    <n v="8377968"/>
    <s v="Personal"/>
    <n v="27872972"/>
    <s v="Tarjeta"/>
    <n v="8355027"/>
    <n v="8355027"/>
    <n v="500770"/>
    <n v="30"/>
    <d v="2016-05-31T00:00:00"/>
    <x v="1"/>
    <n v="3"/>
    <n v="1"/>
    <n v="2"/>
    <n v="0"/>
    <n v="0"/>
  </r>
  <r>
    <n v="8378091"/>
    <s v="Micro pyme"/>
    <n v="26261467"/>
    <s v="Tarjeta"/>
    <n v="2423109"/>
    <n v="2423109"/>
    <n v="2423109"/>
    <n v="150"/>
    <d v="2016-05-29T00:00:00"/>
    <x v="2"/>
    <n v="3"/>
    <n v="0"/>
    <n v="3"/>
    <n v="2"/>
    <n v="0"/>
  </r>
  <r>
    <n v="8378283"/>
    <s v="Personal"/>
    <n v="25804857"/>
    <s v="Tarjeta"/>
    <n v="9580255"/>
    <n v="9580255"/>
    <n v="1084306"/>
    <n v="30"/>
    <d v="2016-05-18T00:00:00"/>
    <x v="0"/>
    <n v="3"/>
    <n v="1"/>
    <n v="2"/>
    <n v="1"/>
    <n v="542153"/>
  </r>
  <r>
    <n v="8378400"/>
    <s v="Personal"/>
    <n v="26843926"/>
    <s v="Tarjeta"/>
    <n v="9153604"/>
    <n v="4500004"/>
    <n v="410874"/>
    <n v="30"/>
    <d v="2016-05-19T00:00:00"/>
    <x v="0"/>
    <n v="3"/>
    <n v="1"/>
    <n v="2"/>
    <n v="1"/>
    <n v="410874"/>
  </r>
  <r>
    <n v="8378400"/>
    <s v="Personal"/>
    <n v="26843927"/>
    <s v="Tarjeta"/>
    <n v="9153604"/>
    <n v="4653600"/>
    <n v="558027"/>
    <n v="30"/>
    <d v="2016-05-19T00:00:00"/>
    <x v="0"/>
    <n v="3"/>
    <n v="1"/>
    <n v="2"/>
    <n v="0"/>
    <n v="186009"/>
  </r>
  <r>
    <n v="8378538"/>
    <s v="Preferencial"/>
    <n v="26023462"/>
    <s v="Tarjeta"/>
    <n v="45860292"/>
    <n v="1062420"/>
    <n v="49590"/>
    <n v="30"/>
    <d v="2016-05-31T00:00:00"/>
    <x v="1"/>
    <n v="3"/>
    <n v="1"/>
    <n v="2"/>
    <n v="0"/>
    <n v="0"/>
  </r>
  <r>
    <n v="8378787"/>
    <s v="Personal"/>
    <n v="25360109"/>
    <s v="Tarjeta"/>
    <n v="8807735"/>
    <n v="3864692"/>
    <n v="1033923"/>
    <n v="30"/>
    <d v="2016-05-19T00:00:00"/>
    <x v="0"/>
    <n v="3"/>
    <n v="0"/>
    <n v="3"/>
    <n v="2"/>
    <n v="0"/>
  </r>
  <r>
    <n v="8378787"/>
    <s v="Personal"/>
    <n v="28167829"/>
    <s v="Tarjeta"/>
    <n v="8807735"/>
    <n v="4943044"/>
    <n v="856190"/>
    <n v="30"/>
    <d v="2016-05-18T00:00:00"/>
    <x v="0"/>
    <n v="3"/>
    <n v="1"/>
    <n v="2"/>
    <n v="1"/>
    <n v="0"/>
  </r>
  <r>
    <n v="8378871"/>
    <s v="Micro pyme"/>
    <n v="21194808"/>
    <s v="Tarjeta"/>
    <n v="3281585"/>
    <n v="3281585"/>
    <n v="247641"/>
    <n v="30"/>
    <d v="2016-05-19T00:00:00"/>
    <x v="0"/>
    <n v="3"/>
    <n v="1"/>
    <n v="2"/>
    <n v="1"/>
    <n v="0"/>
  </r>
  <r>
    <n v="8379217"/>
    <s v="Preferencial"/>
    <n v="25899951"/>
    <s v="Consumo"/>
    <n v="53597124"/>
    <n v="49751490"/>
    <n v="1418103"/>
    <n v="26"/>
    <d v="2016-05-18T00:00:00"/>
    <x v="0"/>
    <n v="3"/>
    <n v="1"/>
    <n v="2"/>
    <n v="0"/>
    <n v="0"/>
  </r>
  <r>
    <n v="8379217"/>
    <s v="Preferencial"/>
    <n v="25904477"/>
    <s v="Tarjeta"/>
    <n v="53597124"/>
    <n v="3845634"/>
    <n v="313244"/>
    <n v="30"/>
    <d v="2016-05-18T00:00:00"/>
    <x v="0"/>
    <n v="3"/>
    <n v="2"/>
    <n v="1"/>
    <n v="0"/>
    <n v="0"/>
  </r>
  <r>
    <n v="8379238"/>
    <s v="Micro pyme"/>
    <n v="27262178"/>
    <s v="Tarjeta"/>
    <n v="1941752"/>
    <n v="1941752"/>
    <n v="88299"/>
    <n v="30"/>
    <d v="2016-05-31T00:00:00"/>
    <x v="1"/>
    <n v="3"/>
    <n v="1"/>
    <n v="2"/>
    <n v="1"/>
    <n v="88299"/>
  </r>
  <r>
    <n v="8379989"/>
    <s v="Preferencial"/>
    <n v="25836165"/>
    <s v="Tarjeta"/>
    <n v="19244453"/>
    <n v="9019735"/>
    <n v="972266"/>
    <n v="60"/>
    <d v="2016-04-27T00:00:00"/>
    <x v="2"/>
    <n v="3"/>
    <n v="0"/>
    <n v="3"/>
    <n v="1"/>
    <n v="0"/>
  </r>
  <r>
    <n v="8379989"/>
    <s v="Preferencial"/>
    <n v="25855320"/>
    <s v="Consumo"/>
    <n v="19244453"/>
    <n v="10224718"/>
    <n v="3254325"/>
    <n v="155"/>
    <d v="2016-04-05T00:00:00"/>
    <x v="2"/>
    <n v="3"/>
    <n v="1"/>
    <n v="2"/>
    <n v="2"/>
    <n v="0"/>
  </r>
  <r>
    <n v="8380002"/>
    <s v="Micro pyme"/>
    <n v="26293617"/>
    <s v="Tarjeta"/>
    <n v="1903215"/>
    <n v="1903215"/>
    <n v="421396"/>
    <n v="60"/>
    <d v="2016-05-01T00:00:00"/>
    <x v="0"/>
    <n v="3"/>
    <n v="1"/>
    <n v="2"/>
    <n v="0"/>
    <n v="0"/>
  </r>
  <r>
    <n v="8380063"/>
    <s v="Micro pyme"/>
    <n v="20479677"/>
    <s v="Tarjeta"/>
    <n v="772355"/>
    <n v="772355"/>
    <n v="157311"/>
    <n v="60"/>
    <d v="2016-05-01T00:00:00"/>
    <x v="0"/>
    <n v="3"/>
    <n v="1"/>
    <n v="2"/>
    <n v="0"/>
    <n v="0"/>
  </r>
  <r>
    <n v="8380316"/>
    <s v="Preferencial"/>
    <n v="26082987"/>
    <s v="Vehiculo"/>
    <n v="38196877"/>
    <n v="38087577"/>
    <n v="1095717"/>
    <n v="19"/>
    <d v="2016-05-18T00:00:00"/>
    <x v="0"/>
    <n v="3"/>
    <n v="1"/>
    <n v="2"/>
    <n v="1"/>
    <n v="365239"/>
  </r>
  <r>
    <n v="8380316"/>
    <s v="Preferencial"/>
    <n v="27691424"/>
    <s v="Tarjeta"/>
    <n v="38196877"/>
    <n v="109299"/>
    <n v="73266"/>
    <n v="30"/>
    <d v="2016-05-19T00:00:00"/>
    <x v="0"/>
    <n v="3"/>
    <n v="0"/>
    <n v="3"/>
    <n v="1"/>
    <n v="73266"/>
  </r>
  <r>
    <n v="8380574"/>
    <s v="Preferencial"/>
    <n v="25284380"/>
    <s v="Tarjeta"/>
    <n v="8320012"/>
    <n v="3097216"/>
    <n v="3097216"/>
    <n v="120"/>
    <d v="2016-04-27T00:00:00"/>
    <x v="2"/>
    <n v="3"/>
    <n v="1"/>
    <n v="2"/>
    <n v="2"/>
    <n v="3097216"/>
  </r>
  <r>
    <n v="8380574"/>
    <s v="Preferencial"/>
    <n v="26028156"/>
    <s v="Rotativo"/>
    <n v="8320012"/>
    <n v="481489"/>
    <n v="481489"/>
    <n v="85"/>
    <d v="2016-05-13T00:00:00"/>
    <x v="2"/>
    <n v="3"/>
    <n v="1"/>
    <n v="2"/>
    <n v="0"/>
    <n v="0"/>
  </r>
  <r>
    <n v="8380574"/>
    <s v="Preferencial"/>
    <n v="26216119"/>
    <s v="Rotativo"/>
    <n v="8320012"/>
    <n v="1347485"/>
    <n v="1347485"/>
    <n v="206"/>
    <d v="2016-03-15T00:00:00"/>
    <x v="2"/>
    <n v="3"/>
    <n v="1"/>
    <n v="2"/>
    <n v="0"/>
    <n v="1347485"/>
  </r>
  <r>
    <n v="8380574"/>
    <s v="Preferencial"/>
    <n v="26787345"/>
    <s v="Rotativo"/>
    <n v="8320012"/>
    <n v="1622948"/>
    <n v="382841"/>
    <n v="176"/>
    <d v="2016-04-14T00:00:00"/>
    <x v="2"/>
    <n v="3"/>
    <n v="1"/>
    <n v="2"/>
    <n v="1"/>
    <n v="127614"/>
  </r>
  <r>
    <n v="8380574"/>
    <s v="Preferencial"/>
    <n v="26880957"/>
    <s v="Rotativo"/>
    <n v="8320012"/>
    <n v="1770875"/>
    <n v="403509"/>
    <n v="176"/>
    <d v="2016-04-14T00:00:00"/>
    <x v="2"/>
    <n v="3"/>
    <n v="0"/>
    <n v="3"/>
    <n v="1"/>
    <n v="0"/>
  </r>
  <r>
    <n v="8380657"/>
    <s v="Micro pyme"/>
    <n v="20821058"/>
    <s v="Tarjeta"/>
    <n v="286792"/>
    <n v="286792"/>
    <n v="60251"/>
    <n v="30"/>
    <d v="2016-05-31T00:00:00"/>
    <x v="1"/>
    <n v="3"/>
    <n v="1"/>
    <n v="2"/>
    <n v="2"/>
    <n v="286792"/>
  </r>
  <r>
    <n v="8380807"/>
    <s v="Personal"/>
    <n v="2687964"/>
    <s v="Sobregiro"/>
    <n v="5808245"/>
    <n v="3972349"/>
    <n v="3972349"/>
    <n v="20"/>
    <d v="2016-05-16T00:00:00"/>
    <x v="2"/>
    <n v="3"/>
    <n v="1"/>
    <n v="2"/>
    <n v="0"/>
    <n v="0"/>
  </r>
  <r>
    <n v="8380807"/>
    <s v="Personal"/>
    <n v="26376544"/>
    <s v="Tarjeta"/>
    <n v="5808245"/>
    <n v="1147257"/>
    <n v="158760"/>
    <n v="30"/>
    <d v="2016-05-29T00:00:00"/>
    <x v="2"/>
    <n v="3"/>
    <n v="1"/>
    <n v="2"/>
    <n v="0"/>
    <n v="158760"/>
  </r>
  <r>
    <n v="8381332"/>
    <s v="Micro pyme"/>
    <n v="20591909"/>
    <s v="Tarjeta"/>
    <n v="561287"/>
    <n v="551266"/>
    <n v="55623"/>
    <n v="30"/>
    <d v="2016-05-31T00:00:00"/>
    <x v="1"/>
    <n v="3"/>
    <n v="2"/>
    <n v="1"/>
    <n v="1"/>
    <n v="18541"/>
  </r>
  <r>
    <n v="8381336"/>
    <s v="Micro pyme"/>
    <n v="25292675"/>
    <s v="Tarjeta"/>
    <n v="1750367"/>
    <n v="1750367"/>
    <n v="232755"/>
    <n v="30"/>
    <d v="2016-04-20T00:00:00"/>
    <x v="0"/>
    <n v="3"/>
    <n v="1"/>
    <n v="2"/>
    <n v="0"/>
    <n v="116378"/>
  </r>
  <r>
    <n v="8381346"/>
    <s v="Personal"/>
    <n v="26705594"/>
    <s v="Tarjeta"/>
    <n v="11123599"/>
    <n v="5449901"/>
    <n v="5449901"/>
    <n v="180"/>
    <d v="2016-04-16T00:00:00"/>
    <x v="2"/>
    <n v="3"/>
    <n v="0"/>
    <n v="3"/>
    <n v="2"/>
    <n v="5449901"/>
  </r>
  <r>
    <n v="8381346"/>
    <s v="Personal"/>
    <n v="26706135"/>
    <s v="Tarjeta"/>
    <n v="11123599"/>
    <n v="5673698"/>
    <n v="5673698"/>
    <n v="180"/>
    <d v="2016-04-16T00:00:00"/>
    <x v="2"/>
    <n v="3"/>
    <n v="1"/>
    <n v="2"/>
    <n v="1"/>
    <n v="0"/>
  </r>
  <r>
    <n v="8381369"/>
    <s v="Preferencial"/>
    <n v="18458736"/>
    <s v="Tarjeta"/>
    <n v="161963223"/>
    <n v="2061130"/>
    <n v="627615"/>
    <n v="30"/>
    <d v="2016-06-08T00:00:00"/>
    <x v="2"/>
    <n v="3"/>
    <n v="1"/>
    <n v="2"/>
    <n v="0"/>
    <n v="313807"/>
  </r>
  <r>
    <n v="8381369"/>
    <s v="Preferencial"/>
    <n v="18847819"/>
    <s v="Hipotercario"/>
    <n v="161963223"/>
    <n v="80367065"/>
    <n v="1373436"/>
    <n v="7"/>
    <d v="2016-06-08T00:00:00"/>
    <x v="2"/>
    <n v="3"/>
    <n v="1"/>
    <n v="2"/>
    <n v="1"/>
    <n v="0"/>
  </r>
  <r>
    <n v="8381369"/>
    <s v="Preferencial"/>
    <n v="25138580"/>
    <s v="Consumo"/>
    <n v="161963223"/>
    <n v="60635361"/>
    <n v="2926509"/>
    <n v="22"/>
    <d v="2016-06-08T00:00:00"/>
    <x v="2"/>
    <n v="3"/>
    <n v="1"/>
    <n v="2"/>
    <n v="0"/>
    <n v="0"/>
  </r>
  <r>
    <n v="8381369"/>
    <s v="Preferencial"/>
    <n v="25452876"/>
    <s v="Rotativo"/>
    <n v="161963223"/>
    <n v="5617925"/>
    <n v="326789"/>
    <n v="24"/>
    <d v="2016-06-08T00:00:00"/>
    <x v="2"/>
    <n v="3"/>
    <n v="0"/>
    <n v="3"/>
    <n v="2"/>
    <n v="0"/>
  </r>
  <r>
    <n v="8381369"/>
    <s v="Preferencial"/>
    <n v="25783645"/>
    <s v="Rotativo"/>
    <n v="161963223"/>
    <n v="2291831"/>
    <n v="220361"/>
    <n v="24"/>
    <d v="2016-06-08T00:00:00"/>
    <x v="2"/>
    <n v="3"/>
    <n v="1"/>
    <n v="2"/>
    <n v="1"/>
    <n v="73454"/>
  </r>
  <r>
    <n v="8381369"/>
    <s v="Preferencial"/>
    <n v="26266777"/>
    <s v="Rotativo"/>
    <n v="161963223"/>
    <n v="175599"/>
    <n v="81748"/>
    <n v="24"/>
    <d v="2016-06-08T00:00:00"/>
    <x v="2"/>
    <n v="3"/>
    <n v="1"/>
    <n v="2"/>
    <n v="0"/>
    <n v="81748"/>
  </r>
  <r>
    <n v="8381475"/>
    <s v="Preferencial"/>
    <n v="14190251"/>
    <s v="Tarjeta"/>
    <n v="8312220"/>
    <n v="2922025"/>
    <n v="979656"/>
    <n v="60"/>
    <d v="2016-06-03T00:00:00"/>
    <x v="0"/>
    <n v="3"/>
    <n v="1"/>
    <n v="2"/>
    <n v="1"/>
    <n v="2922025"/>
  </r>
  <r>
    <n v="8381475"/>
    <s v="Preferencial"/>
    <n v="16298674"/>
    <s v="Tarjeta"/>
    <n v="8312220"/>
    <n v="1234875"/>
    <n v="420222"/>
    <n v="60"/>
    <d v="2016-04-30T00:00:00"/>
    <x v="0"/>
    <n v="3"/>
    <n v="1"/>
    <n v="2"/>
    <n v="0"/>
    <n v="210112"/>
  </r>
  <r>
    <n v="8381475"/>
    <s v="Preferencial"/>
    <n v="16300086"/>
    <s v="Tarjeta"/>
    <n v="8312220"/>
    <n v="1233294"/>
    <n v="420107"/>
    <n v="60"/>
    <d v="2016-04-30T00:00:00"/>
    <x v="0"/>
    <n v="3"/>
    <n v="0"/>
    <n v="3"/>
    <n v="2"/>
    <n v="420107"/>
  </r>
  <r>
    <n v="8381475"/>
    <s v="Preferencial"/>
    <n v="28582935"/>
    <s v="Tarjeta"/>
    <n v="8312220"/>
    <n v="2922025"/>
    <n v="979656"/>
    <n v="60"/>
    <d v="2016-06-02T00:00:00"/>
    <x v="0"/>
    <n v="3"/>
    <n v="1"/>
    <n v="2"/>
    <n v="1"/>
    <n v="489829"/>
  </r>
  <r>
    <n v="8381515"/>
    <s v="Micro pyme"/>
    <n v="14729284"/>
    <s v="Tarjeta"/>
    <n v="456719"/>
    <n v="86829"/>
    <n v="70819"/>
    <n v="90"/>
    <d v="2016-05-18T00:00:00"/>
    <x v="0"/>
    <n v="3"/>
    <n v="1"/>
    <n v="2"/>
    <n v="0"/>
    <n v="70819"/>
  </r>
  <r>
    <n v="8381515"/>
    <s v="Micro pyme"/>
    <n v="14731171"/>
    <s v="Tarjeta"/>
    <n v="456719"/>
    <n v="369890"/>
    <n v="145289"/>
    <n v="90"/>
    <d v="2016-05-18T00:00:00"/>
    <x v="0"/>
    <n v="3"/>
    <n v="1"/>
    <n v="2"/>
    <n v="1"/>
    <n v="0"/>
  </r>
  <r>
    <n v="8381524"/>
    <s v="Micro pyme"/>
    <n v="19335684"/>
    <s v="Tarjeta"/>
    <n v="3546147"/>
    <n v="2909819"/>
    <n v="395045"/>
    <n v="30"/>
    <d v="2016-05-18T00:00:00"/>
    <x v="0"/>
    <n v="3"/>
    <n v="2"/>
    <n v="1"/>
    <n v="0"/>
    <n v="0"/>
  </r>
  <r>
    <n v="8381568"/>
    <s v="Preferencial"/>
    <n v="16242367"/>
    <s v="Tarjeta"/>
    <n v="49511140"/>
    <n v="8178378"/>
    <n v="965132"/>
    <n v="30"/>
    <d v="2016-05-18T00:00:00"/>
    <x v="0"/>
    <n v="3"/>
    <n v="1"/>
    <n v="2"/>
    <n v="1"/>
    <n v="965132"/>
  </r>
  <r>
    <n v="8381568"/>
    <s v="Preferencial"/>
    <n v="23075902"/>
    <s v="Hipotercario"/>
    <n v="49511140"/>
    <n v="34114965"/>
    <n v="1506246"/>
    <n v="41"/>
    <d v="2016-04-29T00:00:00"/>
    <x v="0"/>
    <n v="3"/>
    <n v="0"/>
    <n v="3"/>
    <n v="1"/>
    <n v="0"/>
  </r>
  <r>
    <n v="8381568"/>
    <s v="Preferencial"/>
    <n v="24024759"/>
    <s v="Tarjeta"/>
    <n v="49511140"/>
    <n v="7217797"/>
    <n v="1071313"/>
    <n v="60"/>
    <d v="2016-04-29T00:00:00"/>
    <x v="0"/>
    <n v="3"/>
    <n v="1"/>
    <n v="2"/>
    <n v="1"/>
    <n v="1071313"/>
  </r>
  <r>
    <n v="8381582"/>
    <s v="Micro pyme"/>
    <n v="1600919"/>
    <s v="Tarjeta"/>
    <n v="2147931"/>
    <n v="2147931"/>
    <n v="2142512"/>
    <n v="150"/>
    <d v="2016-05-19T00:00:00"/>
    <x v="2"/>
    <n v="3"/>
    <n v="1"/>
    <n v="2"/>
    <n v="1"/>
    <n v="2147931"/>
  </r>
  <r>
    <n v="8382938"/>
    <s v="Micro pyme"/>
    <n v="25819135"/>
    <s v="Tarjeta"/>
    <n v="977120"/>
    <n v="977120"/>
    <n v="231797"/>
    <n v="30"/>
    <d v="2016-05-19T00:00:00"/>
    <x v="0"/>
    <n v="3"/>
    <n v="1"/>
    <n v="2"/>
    <n v="0"/>
    <n v="115899"/>
  </r>
  <r>
    <n v="8383104"/>
    <s v="Micro pyme"/>
    <n v="26888580"/>
    <s v="Tarjeta"/>
    <n v="4568855"/>
    <n v="4568855"/>
    <n v="279404"/>
    <n v="30"/>
    <d v="2016-06-01T00:00:00"/>
    <x v="0"/>
    <n v="3"/>
    <n v="1"/>
    <n v="2"/>
    <n v="1"/>
    <n v="0"/>
  </r>
  <r>
    <n v="8383131"/>
    <s v="Micro pyme"/>
    <n v="28586777"/>
    <s v="Tarjeta"/>
    <n v="532674"/>
    <n v="532674"/>
    <n v="215655"/>
    <n v="60"/>
    <d v="2016-06-03T00:00:00"/>
    <x v="0"/>
    <n v="3"/>
    <n v="0"/>
    <n v="3"/>
    <n v="1"/>
    <n v="107828"/>
  </r>
  <r>
    <n v="8383281"/>
    <s v="Micro pyme"/>
    <n v="27039709"/>
    <s v="Tarjeta"/>
    <n v="748559"/>
    <n v="748559"/>
    <n v="88723"/>
    <n v="30"/>
    <d v="2016-05-31T00:00:00"/>
    <x v="1"/>
    <n v="3"/>
    <n v="1"/>
    <n v="2"/>
    <n v="1"/>
    <n v="0"/>
  </r>
  <r>
    <n v="8383527"/>
    <s v="Personal"/>
    <n v="25219269"/>
    <s v="Tarjeta"/>
    <n v="7088330"/>
    <n v="2905361"/>
    <n v="2905361"/>
    <n v="120"/>
    <d v="2016-05-05T00:00:00"/>
    <x v="2"/>
    <n v="3"/>
    <n v="1"/>
    <n v="2"/>
    <n v="1"/>
    <n v="2905361"/>
  </r>
  <r>
    <n v="8383527"/>
    <s v="Personal"/>
    <n v="25848524"/>
    <s v="Consumo"/>
    <n v="7088330"/>
    <n v="4182969"/>
    <n v="978372"/>
    <n v="125"/>
    <d v="2016-06-07T00:00:00"/>
    <x v="2"/>
    <n v="3"/>
    <n v="1"/>
    <n v="2"/>
    <n v="0"/>
    <n v="0"/>
  </r>
  <r>
    <n v="8383627"/>
    <s v="Micro pyme"/>
    <n v="23902937"/>
    <s v="Tarjeta"/>
    <n v="222142"/>
    <n v="222142"/>
    <n v="222142"/>
    <n v="150"/>
    <d v="2016-05-28T00:00:00"/>
    <x v="2"/>
    <n v="3"/>
    <n v="1"/>
    <n v="2"/>
    <n v="1"/>
    <n v="0"/>
  </r>
  <r>
    <n v="8383673"/>
    <s v="Micro pyme"/>
    <n v="28556606"/>
    <s v="Tarjeta"/>
    <n v="264578"/>
    <n v="264578"/>
    <n v="32415"/>
    <n v="30"/>
    <d v="2016-06-03T00:00:00"/>
    <x v="0"/>
    <n v="3"/>
    <n v="0"/>
    <n v="3"/>
    <n v="1"/>
    <n v="0"/>
  </r>
  <r>
    <n v="8383674"/>
    <s v="Micro pyme"/>
    <n v="12272527"/>
    <s v="Tarjeta"/>
    <n v="941329"/>
    <n v="941329"/>
    <n v="111049"/>
    <n v="30"/>
    <d v="2016-05-31T00:00:00"/>
    <x v="1"/>
    <n v="3"/>
    <n v="1"/>
    <n v="2"/>
    <n v="1"/>
    <n v="0"/>
  </r>
  <r>
    <n v="8383790"/>
    <s v="Personal"/>
    <n v="20615340"/>
    <s v="Tarjeta"/>
    <n v="7397208"/>
    <n v="3541274"/>
    <n v="80090"/>
    <n v="30"/>
    <d v="2016-05-18T00:00:00"/>
    <x v="0"/>
    <n v="3"/>
    <n v="1"/>
    <n v="2"/>
    <n v="1"/>
    <n v="40045"/>
  </r>
  <r>
    <n v="8383790"/>
    <s v="Personal"/>
    <n v="23064001"/>
    <s v="Tarjeta"/>
    <n v="7397208"/>
    <n v="3855934"/>
    <n v="347328"/>
    <n v="30"/>
    <d v="2016-05-19T00:00:00"/>
    <x v="0"/>
    <n v="3"/>
    <n v="1"/>
    <n v="2"/>
    <n v="0"/>
    <n v="0"/>
  </r>
  <r>
    <n v="8386841"/>
    <s v="Personal"/>
    <n v="27903220"/>
    <s v="Tarjeta"/>
    <n v="5418666"/>
    <n v="832659"/>
    <n v="100232"/>
    <n v="30"/>
    <d v="2016-05-31T00:00:00"/>
    <x v="1"/>
    <n v="3"/>
    <n v="2"/>
    <n v="1"/>
    <n v="1"/>
    <n v="0"/>
  </r>
  <r>
    <n v="8386894"/>
    <s v="Personal"/>
    <n v="28557300"/>
    <s v="Tarjeta"/>
    <n v="22275398"/>
    <n v="963800"/>
    <n v="48204"/>
    <n v="30"/>
    <d v="2016-06-03T00:00:00"/>
    <x v="0"/>
    <n v="3"/>
    <n v="1"/>
    <n v="2"/>
    <n v="0"/>
    <n v="0"/>
  </r>
  <r>
    <n v="8430809"/>
    <s v="Micro pyme"/>
    <n v="28586844"/>
    <s v="Tarjeta"/>
    <n v="1050056"/>
    <n v="1050056"/>
    <n v="120140"/>
    <n v="30"/>
    <d v="2016-06-03T00:00:00"/>
    <x v="0"/>
    <n v="3"/>
    <n v="0"/>
    <n v="3"/>
    <n v="1"/>
    <n v="0"/>
  </r>
  <r>
    <n v="8430812"/>
    <s v="Micro pyme"/>
    <n v="28586366"/>
    <s v="Tarjeta"/>
    <n v="1448105"/>
    <n v="1448105"/>
    <n v="133457"/>
    <n v="30"/>
    <d v="2016-06-03T00:00:00"/>
    <x v="0"/>
    <n v="3"/>
    <n v="1"/>
    <n v="2"/>
    <n v="2"/>
    <n v="44485"/>
  </r>
  <r>
    <n v="8440122"/>
    <s v="Micro pyme"/>
    <n v="22624325"/>
    <s v="Tarjeta"/>
    <n v="2631239"/>
    <n v="2631239"/>
    <n v="354488"/>
    <n v="30"/>
    <d v="2016-05-18T00:00:00"/>
    <x v="0"/>
    <n v="3"/>
    <n v="1"/>
    <n v="2"/>
    <n v="0"/>
    <n v="0"/>
  </r>
  <r>
    <n v="8443989"/>
    <s v="Micro pyme"/>
    <n v="28249575"/>
    <s v="Tarjeta"/>
    <n v="3380142"/>
    <n v="3380142"/>
    <n v="82017"/>
    <n v="30"/>
    <d v="2016-05-31T00:00:00"/>
    <x v="1"/>
    <n v="3"/>
    <n v="1"/>
    <n v="2"/>
    <n v="1"/>
    <n v="41008"/>
  </r>
  <r>
    <n v="8444004"/>
    <s v="Micro pyme"/>
    <n v="2718004"/>
    <s v="Tarjeta"/>
    <n v="351957"/>
    <n v="351957"/>
    <n v="351957"/>
    <n v="360"/>
    <d v="2016-06-03T00:00:00"/>
    <x v="2"/>
    <n v="3"/>
    <n v="1"/>
    <n v="2"/>
    <n v="0"/>
    <n v="351957"/>
  </r>
  <r>
    <n v="8457400"/>
    <s v="Personal"/>
    <n v="21487456"/>
    <s v="Tarjeta"/>
    <n v="3024756"/>
    <n v="983836"/>
    <n v="353415"/>
    <n v="60"/>
    <d v="2016-05-29T00:00:00"/>
    <x v="0"/>
    <n v="3"/>
    <n v="0"/>
    <n v="3"/>
    <n v="1"/>
    <n v="117805"/>
  </r>
  <r>
    <n v="8457400"/>
    <s v="Personal"/>
    <n v="26021997"/>
    <s v="Tarjeta"/>
    <n v="3024756"/>
    <n v="1039779"/>
    <n v="222897"/>
    <n v="90"/>
    <d v="2016-05-29T00:00:00"/>
    <x v="0"/>
    <n v="3"/>
    <n v="1"/>
    <n v="2"/>
    <n v="2"/>
    <n v="0"/>
  </r>
  <r>
    <n v="8457400"/>
    <s v="Personal"/>
    <n v="26021998"/>
    <s v="Tarjeta"/>
    <n v="3024756"/>
    <n v="363156"/>
    <n v="363156"/>
    <n v="60"/>
    <d v="2016-05-29T00:00:00"/>
    <x v="0"/>
    <n v="3"/>
    <n v="1"/>
    <n v="2"/>
    <n v="0"/>
    <n v="0"/>
  </r>
  <r>
    <n v="8457400"/>
    <s v="Personal"/>
    <n v="26023265"/>
    <s v="Tarjeta"/>
    <n v="3024756"/>
    <n v="637985"/>
    <n v="188847"/>
    <n v="60"/>
    <d v="2016-05-29T00:00:00"/>
    <x v="0"/>
    <n v="3"/>
    <n v="1"/>
    <n v="2"/>
    <n v="1"/>
    <n v="188847"/>
  </r>
  <r>
    <n v="8465959"/>
    <s v="Micro pyme"/>
    <n v="14265420"/>
    <s v="Tarjeta"/>
    <n v="1784547"/>
    <n v="1036374"/>
    <n v="1036374"/>
    <n v="180"/>
    <d v="2016-04-27T00:00:00"/>
    <x v="2"/>
    <n v="3"/>
    <n v="1"/>
    <n v="2"/>
    <n v="0"/>
    <n v="518187"/>
  </r>
  <r>
    <n v="8465959"/>
    <s v="Micro pyme"/>
    <n v="21268933"/>
    <s v="Tarjeta"/>
    <n v="1784547"/>
    <n v="748173"/>
    <n v="748173"/>
    <n v="180"/>
    <d v="2016-04-20T00:00:00"/>
    <x v="2"/>
    <n v="3"/>
    <n v="0"/>
    <n v="3"/>
    <n v="1"/>
    <n v="0"/>
  </r>
  <r>
    <n v="8465980"/>
    <s v="Micro pyme"/>
    <n v="23671050"/>
    <s v="Tarjeta"/>
    <n v="511783"/>
    <n v="511783"/>
    <n v="20853"/>
    <n v="30"/>
    <d v="2016-05-19T00:00:00"/>
    <x v="0"/>
    <n v="3"/>
    <n v="1"/>
    <n v="2"/>
    <n v="2"/>
    <n v="0"/>
  </r>
  <r>
    <n v="8466023"/>
    <s v="Preferencial"/>
    <n v="23657184"/>
    <s v="Tarjeta"/>
    <n v="56865105"/>
    <n v="3892606"/>
    <n v="1070755"/>
    <n v="60"/>
    <d v="2016-05-01T00:00:00"/>
    <x v="0"/>
    <n v="3"/>
    <n v="1"/>
    <n v="2"/>
    <n v="0"/>
    <n v="1070755"/>
  </r>
  <r>
    <n v="8466023"/>
    <s v="Preferencial"/>
    <n v="23657673"/>
    <s v="Tarjeta"/>
    <n v="56865105"/>
    <n v="5631857"/>
    <n v="683391"/>
    <n v="30"/>
    <d v="2016-05-29T00:00:00"/>
    <x v="0"/>
    <n v="3"/>
    <n v="1"/>
    <n v="2"/>
    <n v="1"/>
    <n v="5631857"/>
  </r>
  <r>
    <n v="8466043"/>
    <s v="Preferencial"/>
    <n v="20875844"/>
    <s v="Tarjeta"/>
    <n v="34800364"/>
    <n v="7460561"/>
    <n v="1402719"/>
    <n v="60"/>
    <d v="2016-04-27T00:00:00"/>
    <x v="2"/>
    <n v="3"/>
    <n v="2"/>
    <n v="1"/>
    <n v="0"/>
    <n v="0"/>
  </r>
  <r>
    <n v="8466043"/>
    <s v="Preferencial"/>
    <n v="22082240"/>
    <s v="Consumo"/>
    <n v="34800364"/>
    <n v="1073181"/>
    <n v="735738"/>
    <n v="49"/>
    <d v="2016-04-21T00:00:00"/>
    <x v="2"/>
    <n v="3"/>
    <n v="1"/>
    <n v="2"/>
    <n v="0"/>
    <n v="735738"/>
  </r>
  <r>
    <n v="8466043"/>
    <s v="Preferencial"/>
    <n v="23974043"/>
    <s v="Hipotercario"/>
    <n v="34800364"/>
    <n v="22780308"/>
    <n v="531059"/>
    <n v="39"/>
    <d v="2016-05-03T00:00:00"/>
    <x v="2"/>
    <n v="3"/>
    <n v="0"/>
    <n v="3"/>
    <n v="2"/>
    <n v="0"/>
  </r>
  <r>
    <n v="8466043"/>
    <s v="Preferencial"/>
    <n v="24033068"/>
    <s v="Tarjeta"/>
    <n v="34800364"/>
    <n v="3486314"/>
    <n v="942953"/>
    <n v="60"/>
    <d v="2016-04-21T00:00:00"/>
    <x v="2"/>
    <n v="3"/>
    <n v="1"/>
    <n v="2"/>
    <n v="1"/>
    <n v="0"/>
  </r>
  <r>
    <n v="8466082"/>
    <s v="Micro pyme"/>
    <n v="21029378"/>
    <s v="Tarjeta"/>
    <n v="4810187"/>
    <n v="4810187"/>
    <n v="552834"/>
    <n v="30"/>
    <d v="2016-06-01T00:00:00"/>
    <x v="0"/>
    <n v="3"/>
    <n v="1"/>
    <n v="2"/>
    <n v="1"/>
    <n v="552834"/>
  </r>
  <r>
    <n v="8470835"/>
    <s v="Personal"/>
    <n v="27193657"/>
    <s v="Tarjeta"/>
    <n v="9229299"/>
    <n v="1882642"/>
    <n v="8263"/>
    <n v="30"/>
    <d v="2016-05-31T00:00:00"/>
    <x v="1"/>
    <n v="3"/>
    <n v="1"/>
    <n v="2"/>
    <n v="0"/>
    <n v="8263"/>
  </r>
  <r>
    <n v="8470894"/>
    <s v="Micro pyme"/>
    <n v="24320598"/>
    <s v="Tarjeta"/>
    <n v="692874"/>
    <n v="692874"/>
    <n v="47142"/>
    <n v="30"/>
    <d v="2016-06-01T00:00:00"/>
    <x v="0"/>
    <n v="3"/>
    <n v="1"/>
    <n v="2"/>
    <n v="0"/>
    <n v="23571"/>
  </r>
  <r>
    <n v="8471172"/>
    <s v="Micro pyme"/>
    <n v="18354113"/>
    <s v="Tarjeta"/>
    <n v="2568031"/>
    <n v="2568031"/>
    <n v="381462"/>
    <n v="30"/>
    <d v="2016-05-18T00:00:00"/>
    <x v="0"/>
    <n v="3"/>
    <n v="0"/>
    <n v="3"/>
    <n v="2"/>
    <n v="0"/>
  </r>
  <r>
    <n v="8471455"/>
    <s v="Micro pyme"/>
    <n v="22923812"/>
    <s v="Tarjeta"/>
    <n v="1190685"/>
    <n v="1190685"/>
    <n v="11709"/>
    <n v="30"/>
    <d v="2016-05-18T00:00:00"/>
    <x v="0"/>
    <n v="3"/>
    <n v="1"/>
    <n v="2"/>
    <n v="1"/>
    <n v="11709"/>
  </r>
  <r>
    <n v="8483919"/>
    <s v="Micro pyme"/>
    <n v="26346244"/>
    <s v="Tarjeta"/>
    <n v="1973660"/>
    <n v="1973660"/>
    <n v="570066"/>
    <n v="90"/>
    <d v="2016-06-01T00:00:00"/>
    <x v="0"/>
    <n v="3"/>
    <n v="1"/>
    <n v="2"/>
    <n v="1"/>
    <n v="0"/>
  </r>
  <r>
    <n v="8484108"/>
    <s v="Preferencial"/>
    <n v="24010205"/>
    <s v="Tarjeta"/>
    <n v="39412450"/>
    <n v="272199"/>
    <n v="25647"/>
    <n v="30"/>
    <d v="2016-05-19T00:00:00"/>
    <x v="0"/>
    <n v="3"/>
    <n v="1"/>
    <n v="2"/>
    <n v="0"/>
    <n v="0"/>
  </r>
  <r>
    <n v="8485525"/>
    <s v="Preferencial"/>
    <n v="1469200"/>
    <s v="Tarjeta"/>
    <n v="55379005"/>
    <n v="4295473"/>
    <n v="1799747"/>
    <n v="90"/>
    <d v="2016-04-21T00:00:00"/>
    <x v="2"/>
    <n v="3"/>
    <n v="1"/>
    <n v="2"/>
    <n v="0"/>
    <n v="0"/>
  </r>
  <r>
    <n v="8485525"/>
    <s v="Preferencial"/>
    <n v="2407079"/>
    <s v="Sobregiro"/>
    <n v="55379005"/>
    <n v="4764971"/>
    <n v="4764971"/>
    <n v="106"/>
    <d v="2016-03-11T00:00:00"/>
    <x v="2"/>
    <n v="3"/>
    <n v="0"/>
    <n v="3"/>
    <n v="2"/>
    <n v="4764971"/>
  </r>
  <r>
    <n v="8485525"/>
    <s v="Preferencial"/>
    <n v="23930618"/>
    <s v="Rotativo"/>
    <n v="55379005"/>
    <n v="309975"/>
    <n v="301642"/>
    <n v="85"/>
    <d v="2016-03-16T00:00:00"/>
    <x v="2"/>
    <n v="3"/>
    <n v="1"/>
    <n v="2"/>
    <n v="1"/>
    <n v="0"/>
  </r>
  <r>
    <n v="8485525"/>
    <s v="Preferencial"/>
    <n v="24887918"/>
    <s v="Rotativo"/>
    <n v="55379005"/>
    <n v="1171792"/>
    <n v="508178"/>
    <n v="85"/>
    <d v="2016-03-16T00:00:00"/>
    <x v="2"/>
    <n v="3"/>
    <n v="1"/>
    <n v="2"/>
    <n v="1"/>
    <n v="0"/>
  </r>
  <r>
    <n v="8485525"/>
    <s v="Preferencial"/>
    <n v="24947872"/>
    <s v="Consumo"/>
    <n v="55379005"/>
    <n v="20529757"/>
    <n v="6531104"/>
    <n v="89"/>
    <d v="2016-04-21T00:00:00"/>
    <x v="2"/>
    <n v="3"/>
    <n v="1"/>
    <n v="2"/>
    <n v="0"/>
    <n v="6531104"/>
  </r>
  <r>
    <n v="8485525"/>
    <s v="Preferencial"/>
    <n v="26183633"/>
    <s v="Rotativo"/>
    <n v="55379005"/>
    <n v="1519333"/>
    <n v="1485139"/>
    <n v="85"/>
    <d v="2016-03-16T00:00:00"/>
    <x v="2"/>
    <n v="3"/>
    <n v="2"/>
    <n v="1"/>
    <n v="0"/>
    <n v="1485139"/>
  </r>
  <r>
    <n v="8485525"/>
    <s v="Preferencial"/>
    <n v="26547564"/>
    <s v="Consumo"/>
    <n v="55379005"/>
    <n v="16927413"/>
    <n v="16927413"/>
    <n v="99"/>
    <d v="2016-04-21T00:00:00"/>
    <x v="2"/>
    <n v="3"/>
    <n v="1"/>
    <n v="2"/>
    <n v="1"/>
    <n v="8463706"/>
  </r>
  <r>
    <n v="8485525"/>
    <s v="Preferencial"/>
    <n v="26839896"/>
    <s v="Rotativo"/>
    <n v="55379005"/>
    <n v="1160956"/>
    <n v="507449"/>
    <n v="85"/>
    <d v="2016-03-16T00:00:00"/>
    <x v="2"/>
    <n v="3"/>
    <n v="0"/>
    <n v="3"/>
    <n v="1"/>
    <n v="169150"/>
  </r>
  <r>
    <n v="8485611"/>
    <s v="Micro pyme"/>
    <n v="19639856"/>
    <s v="Tarjeta"/>
    <n v="4043712"/>
    <n v="4043712"/>
    <n v="1035111"/>
    <n v="30"/>
    <d v="2016-05-31T00:00:00"/>
    <x v="1"/>
    <n v="3"/>
    <n v="1"/>
    <n v="2"/>
    <n v="2"/>
    <n v="0"/>
  </r>
  <r>
    <n v="8486068"/>
    <s v="Personal"/>
    <n v="25445221"/>
    <s v="Tarjeta"/>
    <n v="11735405"/>
    <n v="9259029"/>
    <n v="901841"/>
    <n v="30"/>
    <d v="2016-05-19T00:00:00"/>
    <x v="0"/>
    <n v="3"/>
    <n v="1"/>
    <n v="2"/>
    <n v="0"/>
    <n v="300614"/>
  </r>
  <r>
    <n v="8486068"/>
    <s v="Personal"/>
    <n v="27085828"/>
    <s v="Rotativo"/>
    <n v="11735405"/>
    <n v="2476375"/>
    <n v="426685"/>
    <n v="24"/>
    <d v="2016-05-19T00:00:00"/>
    <x v="0"/>
    <n v="3"/>
    <n v="1"/>
    <n v="2"/>
    <n v="0"/>
    <n v="426685"/>
  </r>
  <r>
    <n v="8486233"/>
    <s v="Micro pyme"/>
    <n v="26369161"/>
    <s v="Tarjeta"/>
    <n v="189965"/>
    <n v="189965"/>
    <n v="4810"/>
    <n v="30"/>
    <d v="2016-05-17T00:00:00"/>
    <x v="0"/>
    <n v="3"/>
    <n v="1"/>
    <n v="2"/>
    <n v="1"/>
    <n v="0"/>
  </r>
  <r>
    <n v="8486527"/>
    <s v="Personal"/>
    <n v="23843578"/>
    <s v="Tarjeta"/>
    <n v="2963085"/>
    <n v="18394"/>
    <n v="8743"/>
    <n v="30"/>
    <d v="2016-05-19T00:00:00"/>
    <x v="0"/>
    <n v="3"/>
    <n v="0"/>
    <n v="3"/>
    <n v="1"/>
    <n v="0"/>
  </r>
  <r>
    <n v="8486527"/>
    <s v="Personal"/>
    <n v="23868894"/>
    <s v="Consumo"/>
    <n v="2963085"/>
    <n v="2019392"/>
    <n v="206127"/>
    <n v="41"/>
    <d v="2016-04-29T00:00:00"/>
    <x v="0"/>
    <n v="3"/>
    <n v="1"/>
    <n v="2"/>
    <n v="2"/>
    <n v="68709"/>
  </r>
  <r>
    <n v="8486527"/>
    <s v="Personal"/>
    <n v="24371347"/>
    <s v="Tarjeta"/>
    <n v="2963085"/>
    <n v="925299"/>
    <n v="137873"/>
    <n v="60"/>
    <d v="2016-04-20T00:00:00"/>
    <x v="0"/>
    <n v="3"/>
    <n v="1"/>
    <n v="2"/>
    <n v="0"/>
    <n v="0"/>
  </r>
  <r>
    <n v="8486686"/>
    <s v="Micro pyme"/>
    <n v="16157140"/>
    <s v="Tarjeta"/>
    <n v="1656324"/>
    <n v="1656324"/>
    <n v="148602"/>
    <n v="30"/>
    <d v="2016-05-31T00:00:00"/>
    <x v="1"/>
    <n v="3"/>
    <n v="1"/>
    <n v="2"/>
    <n v="0"/>
    <n v="0"/>
  </r>
  <r>
    <n v="8486807"/>
    <s v="Micro pyme"/>
    <n v="27598664"/>
    <s v="Tarjeta"/>
    <n v="768869"/>
    <n v="282331"/>
    <n v="5109"/>
    <n v="30"/>
    <d v="2016-05-19T00:00:00"/>
    <x v="0"/>
    <n v="3"/>
    <n v="1"/>
    <n v="2"/>
    <n v="1"/>
    <n v="0"/>
  </r>
  <r>
    <n v="8487330"/>
    <s v="Micro pyme"/>
    <n v="22547293"/>
    <s v="Tarjeta"/>
    <n v="1159662"/>
    <n v="1159662"/>
    <n v="213292"/>
    <n v="60"/>
    <d v="2016-05-01T00:00:00"/>
    <x v="0"/>
    <n v="3"/>
    <n v="0"/>
    <n v="3"/>
    <n v="1"/>
    <n v="1159662"/>
  </r>
  <r>
    <n v="8487332"/>
    <s v="Preferencial"/>
    <n v="4441692"/>
    <s v="Tarjeta"/>
    <n v="15967485"/>
    <n v="2050268"/>
    <n v="2058752"/>
    <n v="120"/>
    <d v="2016-05-29T00:00:00"/>
    <x v="2"/>
    <n v="3"/>
    <n v="1"/>
    <n v="2"/>
    <n v="2"/>
    <n v="1029376"/>
  </r>
  <r>
    <n v="8487332"/>
    <s v="Preferencial"/>
    <n v="21577757"/>
    <s v="Libranza"/>
    <n v="15967485"/>
    <n v="13917217"/>
    <n v="695414"/>
    <n v="3"/>
    <d v="2016-06-08T00:00:00"/>
    <x v="2"/>
    <n v="3"/>
    <n v="1"/>
    <n v="2"/>
    <n v="0"/>
    <n v="0"/>
  </r>
  <r>
    <n v="8487669"/>
    <s v="Micro pyme"/>
    <n v="24385491"/>
    <s v="Tarjeta"/>
    <n v="2906781"/>
    <n v="2224309"/>
    <n v="242146"/>
    <n v="30"/>
    <d v="2016-05-31T00:00:00"/>
    <x v="1"/>
    <n v="3"/>
    <n v="1"/>
    <n v="2"/>
    <n v="0"/>
    <n v="242146"/>
  </r>
  <r>
    <n v="8487742"/>
    <s v="Micro pyme"/>
    <n v="22273203"/>
    <s v="Tarjeta"/>
    <n v="732109"/>
    <n v="732109"/>
    <n v="336505"/>
    <n v="60"/>
    <d v="2016-04-20T00:00:00"/>
    <x v="0"/>
    <n v="3"/>
    <n v="2"/>
    <n v="1"/>
    <n v="1"/>
    <n v="336505"/>
  </r>
  <r>
    <n v="8487795"/>
    <s v="Micro pyme"/>
    <n v="25989548"/>
    <s v="Tarjeta"/>
    <n v="3696775"/>
    <n v="1348128"/>
    <n v="117902"/>
    <n v="30"/>
    <d v="2016-05-31T00:00:00"/>
    <x v="1"/>
    <n v="3"/>
    <n v="1"/>
    <n v="2"/>
    <n v="0"/>
    <n v="39301"/>
  </r>
  <r>
    <n v="8488069"/>
    <s v="Micro pyme"/>
    <n v="26845371"/>
    <s v="Tarjeta"/>
    <n v="4782380"/>
    <n v="4782380"/>
    <n v="4782380"/>
    <n v="210"/>
    <d v="2016-04-27T00:00:00"/>
    <x v="2"/>
    <n v="3"/>
    <n v="0"/>
    <n v="3"/>
    <n v="2"/>
    <n v="0"/>
  </r>
  <r>
    <n v="8488114"/>
    <s v="Micro pyme"/>
    <n v="25928078"/>
    <s v="Tarjeta"/>
    <n v="160767"/>
    <n v="80440"/>
    <n v="42151"/>
    <n v="30"/>
    <d v="2016-05-18T00:00:00"/>
    <x v="0"/>
    <n v="3"/>
    <n v="1"/>
    <n v="2"/>
    <n v="1"/>
    <n v="80440"/>
  </r>
  <r>
    <n v="8488114"/>
    <s v="Micro pyme"/>
    <n v="25929542"/>
    <s v="Tarjeta"/>
    <n v="160767"/>
    <n v="80326"/>
    <n v="61182"/>
    <n v="30"/>
    <d v="2016-05-19T00:00:00"/>
    <x v="0"/>
    <n v="3"/>
    <n v="1"/>
    <n v="2"/>
    <n v="0"/>
    <n v="61182"/>
  </r>
  <r>
    <n v="8488151"/>
    <s v="Micro pyme"/>
    <n v="27177262"/>
    <s v="Tarjeta"/>
    <n v="2505054"/>
    <n v="2505054"/>
    <n v="221851"/>
    <n v="30"/>
    <d v="2016-05-19T00:00:00"/>
    <x v="0"/>
    <n v="3"/>
    <n v="1"/>
    <n v="2"/>
    <n v="1"/>
    <n v="110926"/>
  </r>
  <r>
    <n v="8488441"/>
    <s v="Micro pyme"/>
    <n v="19581466"/>
    <s v="Tarjeta"/>
    <n v="2711713"/>
    <n v="2711713"/>
    <n v="364062"/>
    <n v="90"/>
    <d v="2016-04-30T00:00:00"/>
    <x v="0"/>
    <n v="3"/>
    <n v="1"/>
    <n v="2"/>
    <n v="0"/>
    <n v="0"/>
  </r>
  <r>
    <n v="8488549"/>
    <s v="Preferencial"/>
    <n v="21549880"/>
    <s v="Hipotercario"/>
    <n v="79236782"/>
    <n v="55543497"/>
    <n v="678579"/>
    <n v="3"/>
    <d v="2016-06-08T00:00:00"/>
    <x v="0"/>
    <n v="3"/>
    <n v="0"/>
    <n v="3"/>
    <n v="2"/>
    <n v="0"/>
  </r>
  <r>
    <n v="8488549"/>
    <s v="Preferencial"/>
    <n v="26419172"/>
    <s v="Tarjeta"/>
    <n v="79236782"/>
    <n v="11784529"/>
    <n v="11709"/>
    <n v="30"/>
    <d v="2016-06-08T00:00:00"/>
    <x v="0"/>
    <n v="3"/>
    <n v="1"/>
    <n v="2"/>
    <n v="1"/>
    <n v="11709"/>
  </r>
  <r>
    <n v="8488607"/>
    <s v="Preferencial"/>
    <n v="15630098"/>
    <s v="Tarjeta"/>
    <n v="8837306"/>
    <n v="2878801"/>
    <n v="281451"/>
    <n v="30"/>
    <d v="2016-05-18T00:00:00"/>
    <x v="0"/>
    <n v="3"/>
    <n v="1"/>
    <n v="2"/>
    <n v="0"/>
    <n v="93817"/>
  </r>
  <r>
    <n v="8488607"/>
    <s v="Preferencial"/>
    <n v="16298760"/>
    <s v="Tarjeta"/>
    <n v="8837306"/>
    <n v="2961989"/>
    <n v="245574"/>
    <n v="30"/>
    <d v="2016-05-19T00:00:00"/>
    <x v="0"/>
    <n v="3"/>
    <n v="1"/>
    <n v="2"/>
    <n v="1"/>
    <n v="0"/>
  </r>
  <r>
    <n v="8488607"/>
    <s v="Preferencial"/>
    <n v="25367323"/>
    <s v="Rotativo"/>
    <n v="8837306"/>
    <n v="2996515"/>
    <n v="156705"/>
    <n v="24"/>
    <d v="2016-05-17T00:00:00"/>
    <x v="0"/>
    <n v="3"/>
    <n v="1"/>
    <n v="2"/>
    <n v="0"/>
    <n v="156705"/>
  </r>
  <r>
    <n v="8488668"/>
    <s v="Micro pyme"/>
    <n v="25472034"/>
    <s v="Tarjeta"/>
    <n v="2463473"/>
    <n v="365906"/>
    <n v="87773"/>
    <n v="30"/>
    <d v="2016-05-19T00:00:00"/>
    <x v="0"/>
    <n v="3"/>
    <n v="0"/>
    <n v="3"/>
    <n v="2"/>
    <n v="0"/>
  </r>
  <r>
    <n v="8488668"/>
    <s v="Micro pyme"/>
    <n v="25483738"/>
    <s v="Libranza"/>
    <n v="2463473"/>
    <n v="2097567"/>
    <n v="841065"/>
    <n v="124"/>
    <d v="2016-05-05T00:00:00"/>
    <x v="0"/>
    <n v="3"/>
    <n v="1"/>
    <n v="2"/>
    <n v="1"/>
    <n v="0"/>
  </r>
  <r>
    <n v="8488982"/>
    <s v="Personal"/>
    <n v="24163017"/>
    <s v="Tarjeta"/>
    <n v="6112138"/>
    <n v="5436720"/>
    <n v="1380839"/>
    <n v="90"/>
    <d v="2016-05-29T00:00:00"/>
    <x v="0"/>
    <n v="3"/>
    <n v="1"/>
    <n v="2"/>
    <n v="0"/>
    <n v="0"/>
  </r>
  <r>
    <n v="8489163"/>
    <s v="Micro pyme"/>
    <n v="25275656"/>
    <s v="Tarjeta"/>
    <n v="157959"/>
    <n v="124553"/>
    <n v="81233"/>
    <n v="30"/>
    <d v="2016-05-31T00:00:00"/>
    <x v="1"/>
    <n v="3"/>
    <n v="1"/>
    <n v="2"/>
    <n v="1"/>
    <n v="0"/>
  </r>
  <r>
    <n v="8489318"/>
    <s v="Micro pyme"/>
    <n v="25471498"/>
    <s v="Tarjeta"/>
    <n v="944626"/>
    <n v="944626"/>
    <n v="944626"/>
    <n v="360"/>
    <d v="2016-03-14T00:00:00"/>
    <x v="2"/>
    <n v="3"/>
    <n v="2"/>
    <n v="1"/>
    <n v="0"/>
    <n v="0"/>
  </r>
  <r>
    <n v="8489458"/>
    <s v="Micro pyme"/>
    <n v="25194912"/>
    <s v="Tarjeta"/>
    <n v="2295366"/>
    <n v="808042"/>
    <n v="152063"/>
    <n v="30"/>
    <d v="2016-05-18T00:00:00"/>
    <x v="0"/>
    <n v="3"/>
    <n v="1"/>
    <n v="2"/>
    <n v="1"/>
    <n v="0"/>
  </r>
  <r>
    <n v="8489458"/>
    <s v="Micro pyme"/>
    <n v="26251506"/>
    <s v="Tarjeta"/>
    <n v="2295366"/>
    <n v="1487324"/>
    <n v="251315"/>
    <n v="30"/>
    <d v="2016-05-19T00:00:00"/>
    <x v="0"/>
    <n v="3"/>
    <n v="0"/>
    <n v="3"/>
    <n v="1"/>
    <n v="251315"/>
  </r>
  <r>
    <n v="8489663"/>
    <s v="Micro pyme"/>
    <n v="25490054"/>
    <s v="Tarjeta"/>
    <n v="2475385"/>
    <n v="2394824"/>
    <n v="2394824"/>
    <n v="150"/>
    <d v="2016-05-18T00:00:00"/>
    <x v="2"/>
    <n v="3"/>
    <n v="1"/>
    <n v="2"/>
    <n v="1"/>
    <n v="0"/>
  </r>
  <r>
    <n v="8489663"/>
    <s v="Micro pyme"/>
    <n v="27844618"/>
    <s v="Tarjeta"/>
    <n v="2475385"/>
    <n v="80562"/>
    <n v="80562"/>
    <n v="60"/>
    <d v="2016-04-21T00:00:00"/>
    <x v="2"/>
    <n v="3"/>
    <n v="1"/>
    <n v="2"/>
    <n v="1"/>
    <n v="0"/>
  </r>
  <r>
    <n v="8489760"/>
    <s v="Personal"/>
    <n v="14047669"/>
    <s v="Tarjeta"/>
    <n v="6355350"/>
    <n v="2394448"/>
    <n v="196646"/>
    <n v="30"/>
    <d v="2016-05-18T00:00:00"/>
    <x v="0"/>
    <n v="3"/>
    <n v="1"/>
    <n v="2"/>
    <n v="0"/>
    <n v="0"/>
  </r>
  <r>
    <n v="8489760"/>
    <s v="Personal"/>
    <n v="15290708"/>
    <s v="Tarjeta"/>
    <n v="6355350"/>
    <n v="3960902"/>
    <n v="444418"/>
    <n v="30"/>
    <d v="2016-05-29T00:00:00"/>
    <x v="0"/>
    <n v="3"/>
    <n v="1"/>
    <n v="2"/>
    <n v="1"/>
    <n v="0"/>
  </r>
  <r>
    <n v="8489781"/>
    <s v="Micro pyme"/>
    <n v="21416984"/>
    <s v="Tarjeta"/>
    <n v="620711"/>
    <n v="620711"/>
    <n v="66377"/>
    <n v="30"/>
    <d v="2016-05-18T00:00:00"/>
    <x v="0"/>
    <n v="3"/>
    <n v="0"/>
    <n v="3"/>
    <n v="1"/>
    <n v="33189"/>
  </r>
  <r>
    <n v="8489786"/>
    <s v="Personal"/>
    <n v="26575860"/>
    <s v="Tarjeta"/>
    <n v="5533130"/>
    <n v="4539422"/>
    <n v="30632"/>
    <n v="30"/>
    <d v="2016-05-19T00:00:00"/>
    <x v="0"/>
    <n v="3"/>
    <n v="1"/>
    <n v="2"/>
    <n v="1"/>
    <n v="4539422"/>
  </r>
  <r>
    <n v="8489792"/>
    <s v="Personal"/>
    <n v="20199251"/>
    <s v="Tarjeta"/>
    <n v="3827572"/>
    <n v="1877885"/>
    <n v="658349"/>
    <n v="60"/>
    <d v="2016-04-20T00:00:00"/>
    <x v="0"/>
    <n v="3"/>
    <n v="1"/>
    <n v="2"/>
    <n v="1"/>
    <n v="1877885"/>
  </r>
  <r>
    <n v="8489792"/>
    <s v="Personal"/>
    <n v="20199357"/>
    <s v="Tarjeta"/>
    <n v="3827572"/>
    <n v="1949687"/>
    <n v="762874"/>
    <n v="60"/>
    <d v="2016-04-27T00:00:00"/>
    <x v="0"/>
    <n v="3"/>
    <n v="1"/>
    <n v="2"/>
    <n v="0"/>
    <n v="762874"/>
  </r>
  <r>
    <n v="8489814"/>
    <s v="Preferencial"/>
    <n v="27893831"/>
    <s v="Tarjeta"/>
    <n v="124612756"/>
    <n v="2224830"/>
    <n v="200346"/>
    <n v="30"/>
    <d v="2016-06-01T00:00:00"/>
    <x v="0"/>
    <n v="3"/>
    <n v="1"/>
    <n v="2"/>
    <n v="1"/>
    <n v="0"/>
  </r>
  <r>
    <n v="8489859"/>
    <s v="Micro pyme"/>
    <n v="21249039"/>
    <s v="Tarjeta"/>
    <n v="985472"/>
    <n v="985472"/>
    <n v="164171"/>
    <n v="30"/>
    <d v="2016-05-31T00:00:00"/>
    <x v="1"/>
    <n v="3"/>
    <n v="0"/>
    <n v="3"/>
    <n v="1"/>
    <n v="0"/>
  </r>
  <r>
    <n v="8489892"/>
    <s v="Micro pyme"/>
    <n v="20521084"/>
    <s v="Tarjeta"/>
    <n v="548033"/>
    <n v="548033"/>
    <n v="548033"/>
    <n v="120"/>
    <d v="2016-05-18T00:00:00"/>
    <x v="2"/>
    <n v="3"/>
    <n v="1"/>
    <n v="2"/>
    <n v="1"/>
    <n v="548033"/>
  </r>
  <r>
    <n v="8489935"/>
    <s v="Micro pyme"/>
    <n v="21568705"/>
    <s v="Tarjeta"/>
    <n v="460501"/>
    <n v="460501"/>
    <n v="63829"/>
    <n v="30"/>
    <d v="2016-06-01T00:00:00"/>
    <x v="0"/>
    <n v="3"/>
    <n v="1"/>
    <n v="2"/>
    <n v="1"/>
    <n v="63829"/>
  </r>
  <r>
    <n v="8489978"/>
    <s v="Personal"/>
    <n v="25970137"/>
    <s v="Tarjeta"/>
    <n v="20653260"/>
    <n v="20653260"/>
    <n v="20653260"/>
    <n v="120"/>
    <d v="2016-05-28T00:00:00"/>
    <x v="2"/>
    <n v="3"/>
    <n v="1"/>
    <n v="2"/>
    <n v="0"/>
    <n v="0"/>
  </r>
  <r>
    <n v="8490008"/>
    <s v="Micro pyme"/>
    <n v="23864357"/>
    <s v="Tarjeta"/>
    <n v="1835478"/>
    <n v="1835478"/>
    <n v="613989"/>
    <n v="60"/>
    <d v="2016-04-27T00:00:00"/>
    <x v="0"/>
    <n v="3"/>
    <n v="2"/>
    <n v="1"/>
    <n v="1"/>
    <n v="1835478"/>
  </r>
  <r>
    <n v="8490353"/>
    <s v="Personal"/>
    <n v="23277912"/>
    <s v="Tarjeta"/>
    <n v="8223687"/>
    <n v="521608"/>
    <n v="521608"/>
    <n v="360"/>
    <d v="2016-03-22T00:00:00"/>
    <x v="2"/>
    <n v="3"/>
    <n v="1"/>
    <n v="2"/>
    <n v="0"/>
    <n v="0"/>
  </r>
  <r>
    <n v="8490527"/>
    <s v="Personal"/>
    <n v="20854367"/>
    <s v="Tarjeta"/>
    <n v="6648177"/>
    <n v="3285243"/>
    <n v="3285243"/>
    <n v="150"/>
    <d v="2016-05-18T00:00:00"/>
    <x v="2"/>
    <n v="3"/>
    <n v="0"/>
    <n v="3"/>
    <n v="1"/>
    <n v="0"/>
  </r>
  <r>
    <n v="8490527"/>
    <s v="Personal"/>
    <n v="20854953"/>
    <s v="Tarjeta"/>
    <n v="6648177"/>
    <n v="3285524"/>
    <n v="3285524"/>
    <n v="150"/>
    <d v="2016-05-19T00:00:00"/>
    <x v="2"/>
    <n v="3"/>
    <n v="1"/>
    <n v="2"/>
    <n v="2"/>
    <n v="1095175"/>
  </r>
  <r>
    <n v="8490527"/>
    <s v="Personal"/>
    <n v="20855710"/>
    <s v="Tarjeta"/>
    <n v="6648177"/>
    <n v="77409"/>
    <n v="77409"/>
    <n v="150"/>
    <d v="2016-05-18T00:00:00"/>
    <x v="2"/>
    <n v="3"/>
    <n v="1"/>
    <n v="2"/>
    <n v="0"/>
    <n v="0"/>
  </r>
  <r>
    <n v="8490649"/>
    <s v="Micro pyme"/>
    <n v="21553476"/>
    <s v="Tarjeta"/>
    <n v="61553"/>
    <n v="61553"/>
    <n v="28996"/>
    <n v="30"/>
    <d v="2016-05-18T00:00:00"/>
    <x v="0"/>
    <n v="3"/>
    <n v="1"/>
    <n v="2"/>
    <n v="1"/>
    <n v="28996"/>
  </r>
  <r>
    <n v="8490689"/>
    <s v="Micro pyme"/>
    <n v="27154092"/>
    <s v="Tarjeta"/>
    <n v="2102084"/>
    <n v="2102084"/>
    <n v="476625"/>
    <n v="60"/>
    <d v="2016-05-01T00:00:00"/>
    <x v="0"/>
    <n v="3"/>
    <n v="1"/>
    <n v="2"/>
    <n v="0"/>
    <n v="238313"/>
  </r>
  <r>
    <n v="8490699"/>
    <s v="Micro pyme"/>
    <n v="18460872"/>
    <s v="Tarjeta"/>
    <n v="2310603"/>
    <n v="1426858"/>
    <n v="3309"/>
    <n v="30"/>
    <d v="2016-05-18T00:00:00"/>
    <x v="0"/>
    <n v="3"/>
    <n v="0"/>
    <n v="3"/>
    <n v="1"/>
    <n v="1103"/>
  </r>
  <r>
    <n v="8490839"/>
    <s v="Micro pyme"/>
    <n v="19557175"/>
    <s v="Tarjeta"/>
    <n v="843175"/>
    <n v="843175"/>
    <n v="63489"/>
    <n v="30"/>
    <d v="2016-05-31T00:00:00"/>
    <x v="1"/>
    <n v="3"/>
    <n v="1"/>
    <n v="2"/>
    <n v="2"/>
    <n v="63489"/>
  </r>
  <r>
    <n v="8490841"/>
    <s v="Micro pyme"/>
    <n v="19490815"/>
    <s v="Tarjeta"/>
    <n v="2267242"/>
    <n v="2267242"/>
    <n v="232809"/>
    <n v="30"/>
    <d v="2016-06-01T00:00:00"/>
    <x v="0"/>
    <n v="3"/>
    <n v="1"/>
    <n v="2"/>
    <n v="0"/>
    <n v="2267242"/>
  </r>
  <r>
    <n v="8490856"/>
    <s v="Personal"/>
    <n v="19824822"/>
    <s v="Tarjeta"/>
    <n v="3954244"/>
    <n v="2500322"/>
    <n v="338198"/>
    <n v="30"/>
    <d v="2016-05-29T00:00:00"/>
    <x v="0"/>
    <n v="3"/>
    <n v="1"/>
    <n v="2"/>
    <n v="1"/>
    <n v="0"/>
  </r>
  <r>
    <n v="8490856"/>
    <s v="Personal"/>
    <n v="22443572"/>
    <s v="Tarjeta"/>
    <n v="3954244"/>
    <n v="1453923"/>
    <n v="299073"/>
    <n v="30"/>
    <d v="2016-05-18T00:00:00"/>
    <x v="0"/>
    <n v="3"/>
    <n v="1"/>
    <n v="2"/>
    <n v="0"/>
    <n v="0"/>
  </r>
  <r>
    <n v="8490949"/>
    <s v="Micro pyme"/>
    <n v="25373614"/>
    <s v="Tarjeta"/>
    <n v="93356"/>
    <n v="93356"/>
    <n v="32071"/>
    <n v="30"/>
    <d v="2016-05-31T00:00:00"/>
    <x v="1"/>
    <n v="3"/>
    <n v="0"/>
    <n v="3"/>
    <n v="1"/>
    <n v="93356"/>
  </r>
  <r>
    <n v="8491006"/>
    <s v="Micro pyme"/>
    <n v="24075863"/>
    <s v="Tarjeta"/>
    <n v="300063"/>
    <n v="300063"/>
    <n v="235975"/>
    <n v="30"/>
    <d v="2016-06-01T00:00:00"/>
    <x v="0"/>
    <n v="3"/>
    <n v="1"/>
    <n v="2"/>
    <n v="2"/>
    <n v="78658"/>
  </r>
  <r>
    <n v="8491092"/>
    <s v="Personal"/>
    <n v="22418324"/>
    <s v="Tarjeta"/>
    <n v="6472464"/>
    <n v="3484595"/>
    <n v="467536"/>
    <n v="30"/>
    <d v="2016-05-31T00:00:00"/>
    <x v="1"/>
    <n v="3"/>
    <n v="1"/>
    <n v="2"/>
    <n v="0"/>
    <n v="233768"/>
  </r>
  <r>
    <n v="8491203"/>
    <s v="Personal"/>
    <n v="21218625"/>
    <s v="Tarjeta"/>
    <n v="10682471"/>
    <n v="4231693"/>
    <n v="1300277"/>
    <n v="60"/>
    <d v="2016-05-01T00:00:00"/>
    <x v="0"/>
    <n v="3"/>
    <n v="1"/>
    <n v="2"/>
    <n v="1"/>
    <n v="0"/>
  </r>
  <r>
    <n v="8491282"/>
    <s v="Micro pyme"/>
    <n v="22486333"/>
    <s v="Tarjeta"/>
    <n v="639095"/>
    <n v="639095"/>
    <n v="112147"/>
    <n v="30"/>
    <d v="2016-05-31T00:00:00"/>
    <x v="1"/>
    <n v="3"/>
    <n v="2"/>
    <n v="1"/>
    <n v="0"/>
    <n v="0"/>
  </r>
  <r>
    <n v="8491300"/>
    <s v="Personal"/>
    <n v="21183899"/>
    <s v="Tarjeta"/>
    <n v="7827786"/>
    <n v="7827786"/>
    <n v="1037503"/>
    <n v="30"/>
    <d v="2016-05-31T00:00:00"/>
    <x v="1"/>
    <n v="3"/>
    <n v="1"/>
    <n v="2"/>
    <n v="0"/>
    <n v="0"/>
  </r>
  <r>
    <n v="8491306"/>
    <s v="Personal"/>
    <n v="25320990"/>
    <s v="Tarjeta"/>
    <n v="3604604"/>
    <n v="926949"/>
    <n v="133031"/>
    <n v="30"/>
    <d v="2016-05-29T00:00:00"/>
    <x v="0"/>
    <n v="3"/>
    <n v="0"/>
    <n v="3"/>
    <n v="2"/>
    <n v="44344"/>
  </r>
  <r>
    <n v="8491306"/>
    <s v="Personal"/>
    <n v="28043155"/>
    <s v="Tarjeta"/>
    <n v="3604604"/>
    <n v="900579"/>
    <n v="105202"/>
    <n v="30"/>
    <d v="2016-06-03T00:00:00"/>
    <x v="0"/>
    <n v="3"/>
    <n v="1"/>
    <n v="2"/>
    <n v="1"/>
    <n v="0"/>
  </r>
  <r>
    <n v="8491409"/>
    <s v="Personal"/>
    <n v="25336921"/>
    <s v="Consumo"/>
    <n v="7421654"/>
    <n v="5449038"/>
    <n v="354025"/>
    <n v="15"/>
    <d v="2016-05-25T00:00:00"/>
    <x v="0"/>
    <n v="3"/>
    <n v="1"/>
    <n v="2"/>
    <n v="1"/>
    <n v="118008"/>
  </r>
  <r>
    <n v="8491409"/>
    <s v="Personal"/>
    <n v="27153393"/>
    <s v="Tarjeta"/>
    <n v="7421654"/>
    <n v="934205"/>
    <n v="32376"/>
    <n v="30"/>
    <d v="2016-05-29T00:00:00"/>
    <x v="0"/>
    <n v="3"/>
    <n v="1"/>
    <n v="2"/>
    <n v="0"/>
    <n v="32376"/>
  </r>
  <r>
    <n v="8491572"/>
    <s v="Micro pyme"/>
    <n v="25119103"/>
    <s v="Tarjeta"/>
    <n v="3882063"/>
    <n v="1973691"/>
    <n v="800737"/>
    <n v="60"/>
    <d v="2016-05-01T00:00:00"/>
    <x v="0"/>
    <n v="3"/>
    <n v="1"/>
    <n v="2"/>
    <n v="0"/>
    <n v="0"/>
  </r>
  <r>
    <n v="8491599"/>
    <s v="Personal"/>
    <n v="17748506"/>
    <s v="Tarjeta"/>
    <n v="6790842"/>
    <n v="89510"/>
    <n v="89510"/>
    <n v="120"/>
    <d v="2016-05-14T00:00:00"/>
    <x v="2"/>
    <n v="3"/>
    <n v="0"/>
    <n v="3"/>
    <n v="2"/>
    <n v="89510"/>
  </r>
  <r>
    <n v="8491599"/>
    <s v="Personal"/>
    <n v="27386020"/>
    <s v="Rotativo"/>
    <n v="6790842"/>
    <n v="2527530"/>
    <n v="72239"/>
    <n v="24"/>
    <d v="2016-05-14T00:00:00"/>
    <x v="2"/>
    <n v="3"/>
    <n v="1"/>
    <n v="2"/>
    <n v="1"/>
    <n v="24080"/>
  </r>
  <r>
    <n v="8491737"/>
    <s v="Personal"/>
    <n v="26833770"/>
    <s v="Tarjeta"/>
    <n v="3845000"/>
    <n v="2178219"/>
    <n v="2178219"/>
    <n v="240"/>
    <d v="2016-02-17T00:00:00"/>
    <x v="2"/>
    <n v="3"/>
    <n v="1"/>
    <n v="2"/>
    <n v="1"/>
    <n v="0"/>
  </r>
  <r>
    <n v="8491737"/>
    <s v="Personal"/>
    <n v="26835229"/>
    <s v="Tarjeta"/>
    <n v="3845000"/>
    <n v="1666781"/>
    <n v="1666781"/>
    <n v="210"/>
    <d v="2016-03-19T00:00:00"/>
    <x v="2"/>
    <n v="3"/>
    <n v="1"/>
    <n v="2"/>
    <n v="0"/>
    <n v="0"/>
  </r>
  <r>
    <n v="8491826"/>
    <s v="Micro pyme"/>
    <n v="26151343"/>
    <s v="Tarjeta"/>
    <n v="687513"/>
    <n v="687513"/>
    <n v="453081"/>
    <n v="60"/>
    <d v="2016-05-01T00:00:00"/>
    <x v="0"/>
    <n v="3"/>
    <n v="1"/>
    <n v="2"/>
    <n v="0"/>
    <n v="0"/>
  </r>
  <r>
    <n v="8491843"/>
    <s v="Personal"/>
    <n v="27278763"/>
    <s v="Tarjeta"/>
    <n v="9452094"/>
    <n v="4498555"/>
    <n v="2214686"/>
    <n v="30"/>
    <d v="2016-05-31T00:00:00"/>
    <x v="1"/>
    <n v="3"/>
    <n v="0"/>
    <n v="3"/>
    <n v="2"/>
    <n v="0"/>
  </r>
  <r>
    <n v="8491858"/>
    <s v="Preferencial"/>
    <n v="25879366"/>
    <s v="Consumo"/>
    <n v="13547106"/>
    <n v="10198084"/>
    <n v="316935"/>
    <n v="29"/>
    <d v="2016-05-11T00:00:00"/>
    <x v="0"/>
    <n v="3"/>
    <n v="1"/>
    <n v="2"/>
    <n v="1"/>
    <n v="316935"/>
  </r>
  <r>
    <n v="8491858"/>
    <s v="Preferencial"/>
    <n v="27654219"/>
    <s v="Tarjeta"/>
    <n v="13547106"/>
    <n v="3349022"/>
    <n v="187267"/>
    <n v="30"/>
    <d v="2016-05-19T00:00:00"/>
    <x v="0"/>
    <n v="3"/>
    <n v="1"/>
    <n v="2"/>
    <n v="1"/>
    <n v="0"/>
  </r>
  <r>
    <n v="8491877"/>
    <s v="Micro pyme"/>
    <n v="27396609"/>
    <s v="Tarjeta"/>
    <n v="4048957"/>
    <n v="4048957"/>
    <n v="399573"/>
    <n v="30"/>
    <d v="2016-05-19T00:00:00"/>
    <x v="0"/>
    <n v="3"/>
    <n v="1"/>
    <n v="2"/>
    <n v="0"/>
    <n v="0"/>
  </r>
  <r>
    <n v="8491910"/>
    <s v="Micro pyme"/>
    <n v="27575915"/>
    <s v="Tarjeta"/>
    <n v="821883"/>
    <n v="821883"/>
    <n v="142310"/>
    <n v="30"/>
    <d v="2016-05-31T00:00:00"/>
    <x v="1"/>
    <n v="3"/>
    <n v="2"/>
    <n v="1"/>
    <n v="0"/>
    <n v="47436"/>
  </r>
  <r>
    <n v="8491961"/>
    <s v="Micro pyme"/>
    <n v="24127681"/>
    <s v="Tarjeta"/>
    <n v="844905"/>
    <n v="844905"/>
    <n v="844905"/>
    <n v="150"/>
    <d v="2016-05-28T00:00:00"/>
    <x v="2"/>
    <n v="3"/>
    <n v="1"/>
    <n v="2"/>
    <n v="1"/>
    <n v="0"/>
  </r>
  <r>
    <n v="8491969"/>
    <s v="Micro pyme"/>
    <n v="16363550"/>
    <s v="Tarjeta"/>
    <n v="2842526"/>
    <n v="1854043"/>
    <n v="1854043"/>
    <n v="360"/>
    <d v="2016-04-27T00:00:00"/>
    <x v="2"/>
    <n v="3"/>
    <n v="0"/>
    <n v="3"/>
    <n v="1"/>
    <n v="618014"/>
  </r>
  <r>
    <n v="8492088"/>
    <s v="Personal"/>
    <n v="26249534"/>
    <s v="Tarjeta"/>
    <n v="7497120"/>
    <n v="3022548"/>
    <n v="3022548"/>
    <n v="180"/>
    <d v="2016-05-01T00:00:00"/>
    <x v="2"/>
    <n v="3"/>
    <n v="1"/>
    <n v="2"/>
    <n v="2"/>
    <n v="1007516"/>
  </r>
  <r>
    <n v="8492088"/>
    <s v="Personal"/>
    <n v="26935418"/>
    <s v="Tarjeta"/>
    <n v="7497120"/>
    <n v="2898141"/>
    <n v="2898141"/>
    <n v="240"/>
    <d v="2016-03-02T00:00:00"/>
    <x v="2"/>
    <n v="3"/>
    <n v="1"/>
    <n v="2"/>
    <n v="0"/>
    <n v="0"/>
  </r>
  <r>
    <n v="8492200"/>
    <s v="Preferencial"/>
    <n v="26140581"/>
    <s v="Consumo"/>
    <n v="16004474"/>
    <n v="7541741"/>
    <n v="286181"/>
    <n v="15"/>
    <d v="2016-05-25T00:00:00"/>
    <x v="0"/>
    <n v="3"/>
    <n v="1"/>
    <n v="2"/>
    <n v="0"/>
    <n v="0"/>
  </r>
  <r>
    <n v="8492200"/>
    <s v="Preferencial"/>
    <n v="27915896"/>
    <s v="Tarjeta"/>
    <n v="16004474"/>
    <n v="3551737"/>
    <n v="409255"/>
    <n v="30"/>
    <d v="2016-05-18T00:00:00"/>
    <x v="0"/>
    <n v="3"/>
    <n v="1"/>
    <n v="2"/>
    <n v="1"/>
    <n v="0"/>
  </r>
  <r>
    <n v="8492200"/>
    <s v="Preferencial"/>
    <n v="27917896"/>
    <s v="Tarjeta"/>
    <n v="16004474"/>
    <n v="3532374"/>
    <n v="801797"/>
    <n v="30"/>
    <d v="2016-05-19T00:00:00"/>
    <x v="0"/>
    <n v="3"/>
    <n v="0"/>
    <n v="3"/>
    <n v="1"/>
    <n v="0"/>
  </r>
  <r>
    <n v="8492200"/>
    <s v="Preferencial"/>
    <n v="28216922"/>
    <s v="Rotativo"/>
    <n v="16004474"/>
    <n v="1378622"/>
    <n v="72793"/>
    <n v="24"/>
    <d v="2016-05-18T00:00:00"/>
    <x v="0"/>
    <n v="3"/>
    <n v="1"/>
    <n v="2"/>
    <n v="2"/>
    <n v="72793"/>
  </r>
  <r>
    <n v="8492224"/>
    <s v="Personal"/>
    <n v="24128447"/>
    <s v="Tarjeta"/>
    <n v="6499600"/>
    <n v="657017"/>
    <n v="657017"/>
    <n v="150"/>
    <d v="2016-05-19T00:00:00"/>
    <x v="2"/>
    <n v="3"/>
    <n v="1"/>
    <n v="2"/>
    <n v="0"/>
    <n v="328509"/>
  </r>
  <r>
    <n v="8492224"/>
    <s v="Personal"/>
    <n v="25908299"/>
    <s v="Consumo"/>
    <n v="6499600"/>
    <n v="5842583"/>
    <n v="1148439"/>
    <n v="205"/>
    <d v="2016-03-17T00:00:00"/>
    <x v="2"/>
    <n v="3"/>
    <n v="1"/>
    <n v="2"/>
    <n v="0"/>
    <n v="0"/>
  </r>
  <r>
    <n v="8519022"/>
    <s v="Micro pyme"/>
    <n v="25194705"/>
    <s v="Tarjeta"/>
    <n v="346415"/>
    <n v="346415"/>
    <n v="90884"/>
    <n v="60"/>
    <d v="2016-03-22T00:00:00"/>
    <x v="0"/>
    <n v="3"/>
    <n v="1"/>
    <n v="2"/>
    <n v="1"/>
    <n v="0"/>
  </r>
  <r>
    <n v="8519329"/>
    <s v="Micro pyme"/>
    <n v="27448637"/>
    <s v="Tarjeta"/>
    <n v="1093270"/>
    <n v="1093270"/>
    <n v="479836"/>
    <n v="60"/>
    <d v="2016-05-01T00:00:00"/>
    <x v="0"/>
    <n v="3"/>
    <n v="0"/>
    <n v="3"/>
    <n v="1"/>
    <n v="479836"/>
  </r>
  <r>
    <n v="8519500"/>
    <s v="Micro pyme"/>
    <n v="16702203"/>
    <s v="Tarjeta"/>
    <n v="930009"/>
    <n v="930009"/>
    <n v="125286"/>
    <n v="30"/>
    <d v="2016-05-31T00:00:00"/>
    <x v="1"/>
    <n v="3"/>
    <n v="1"/>
    <n v="2"/>
    <n v="2"/>
    <n v="125286"/>
  </r>
  <r>
    <n v="8519941"/>
    <s v="Micro pyme"/>
    <n v="25778601"/>
    <s v="Tarjeta"/>
    <n v="2636693"/>
    <n v="1493494"/>
    <n v="132772"/>
    <n v="30"/>
    <d v="2016-05-31T00:00:00"/>
    <x v="1"/>
    <n v="3"/>
    <n v="1"/>
    <n v="2"/>
    <n v="0"/>
    <n v="0"/>
  </r>
  <r>
    <n v="8520309"/>
    <s v="Personal"/>
    <n v="27065353"/>
    <s v="Tarjeta"/>
    <n v="5307028"/>
    <n v="5307028"/>
    <n v="5307028"/>
    <n v="150"/>
    <d v="2016-05-19T00:00:00"/>
    <x v="2"/>
    <n v="3"/>
    <n v="1"/>
    <n v="2"/>
    <n v="0"/>
    <n v="5307028"/>
  </r>
  <r>
    <n v="8520480"/>
    <s v="Micro pyme"/>
    <n v="24357359"/>
    <s v="Tarjeta"/>
    <n v="1039588"/>
    <n v="1039588"/>
    <n v="415119"/>
    <n v="90"/>
    <d v="2016-05-18T00:00:00"/>
    <x v="0"/>
    <n v="3"/>
    <n v="2"/>
    <n v="1"/>
    <n v="1"/>
    <n v="1039588"/>
  </r>
  <r>
    <n v="8520783"/>
    <s v="Micro pyme"/>
    <n v="26404064"/>
    <s v="Tarjeta"/>
    <n v="2247181"/>
    <n v="1085140"/>
    <n v="181957"/>
    <n v="60"/>
    <d v="2016-05-01T00:00:00"/>
    <x v="0"/>
    <n v="3"/>
    <n v="1"/>
    <n v="2"/>
    <n v="0"/>
    <n v="0"/>
  </r>
  <r>
    <n v="8520783"/>
    <s v="Micro pyme"/>
    <n v="26405918"/>
    <s v="Tarjeta"/>
    <n v="2247181"/>
    <n v="1162040"/>
    <n v="191805"/>
    <n v="60"/>
    <d v="2016-05-01T00:00:00"/>
    <x v="0"/>
    <n v="3"/>
    <n v="0"/>
    <n v="3"/>
    <n v="2"/>
    <n v="0"/>
  </r>
  <r>
    <n v="8520818"/>
    <s v="Micro pyme"/>
    <n v="25708940"/>
    <s v="Tarjeta"/>
    <n v="487304"/>
    <n v="487304"/>
    <n v="487304"/>
    <n v="300"/>
    <d v="2016-04-17T00:00:00"/>
    <x v="2"/>
    <n v="3"/>
    <n v="1"/>
    <n v="2"/>
    <n v="1"/>
    <n v="487304"/>
  </r>
  <r>
    <n v="8520919"/>
    <s v="Micro pyme"/>
    <n v="26329105"/>
    <s v="Tarjeta"/>
    <n v="664199"/>
    <n v="654435"/>
    <n v="35765"/>
    <n v="30"/>
    <d v="2016-05-31T00:00:00"/>
    <x v="1"/>
    <n v="3"/>
    <n v="1"/>
    <n v="2"/>
    <n v="0"/>
    <n v="0"/>
  </r>
  <r>
    <n v="8521432"/>
    <s v="Personal"/>
    <n v="25258052"/>
    <s v="Tarjeta"/>
    <n v="3829236"/>
    <n v="1815974"/>
    <n v="126587"/>
    <n v="30"/>
    <d v="2016-05-31T00:00:00"/>
    <x v="1"/>
    <n v="3"/>
    <n v="1"/>
    <n v="2"/>
    <n v="1"/>
    <n v="126587"/>
  </r>
  <r>
    <n v="8521432"/>
    <s v="Personal"/>
    <n v="25260267"/>
    <s v="Tarjeta"/>
    <n v="3829236"/>
    <n v="2013262"/>
    <n v="136932"/>
    <n v="30"/>
    <d v="2016-05-31T00:00:00"/>
    <x v="1"/>
    <n v="3"/>
    <n v="1"/>
    <n v="2"/>
    <n v="0"/>
    <n v="68466"/>
  </r>
  <r>
    <n v="8521919"/>
    <s v="Micro pyme"/>
    <n v="16760544"/>
    <s v="Tarjeta"/>
    <n v="1412434"/>
    <n v="1412434"/>
    <n v="311979"/>
    <n v="60"/>
    <d v="2016-04-21T00:00:00"/>
    <x v="0"/>
    <n v="3"/>
    <n v="0"/>
    <n v="3"/>
    <n v="2"/>
    <n v="0"/>
  </r>
  <r>
    <n v="8521961"/>
    <s v="Micro pyme"/>
    <n v="20568876"/>
    <s v="Tarjeta"/>
    <n v="1166923"/>
    <n v="1166923"/>
    <n v="185787"/>
    <n v="30"/>
    <d v="2016-05-18T00:00:00"/>
    <x v="0"/>
    <n v="3"/>
    <n v="1"/>
    <n v="2"/>
    <n v="1"/>
    <n v="92894"/>
  </r>
  <r>
    <n v="8522254"/>
    <s v="Micro pyme"/>
    <n v="23993880"/>
    <s v="Tarjeta"/>
    <n v="2872894"/>
    <n v="1374185"/>
    <n v="149872"/>
    <n v="30"/>
    <d v="2016-05-31T00:00:00"/>
    <x v="1"/>
    <n v="3"/>
    <n v="1"/>
    <n v="2"/>
    <n v="0"/>
    <n v="0"/>
  </r>
  <r>
    <n v="8522309"/>
    <s v="Preferencial"/>
    <n v="27443938"/>
    <s v="Tarjeta"/>
    <n v="24909304"/>
    <n v="2814164"/>
    <n v="204711"/>
    <n v="30"/>
    <d v="2016-05-31T00:00:00"/>
    <x v="1"/>
    <n v="3"/>
    <n v="1"/>
    <n v="2"/>
    <n v="1"/>
    <n v="0"/>
  </r>
  <r>
    <n v="8522309"/>
    <s v="Preferencial"/>
    <n v="27447199"/>
    <s v="Tarjeta"/>
    <n v="24909304"/>
    <n v="3018713"/>
    <n v="226270"/>
    <n v="30"/>
    <d v="2016-05-31T00:00:00"/>
    <x v="1"/>
    <n v="3"/>
    <n v="1"/>
    <n v="2"/>
    <n v="0"/>
    <n v="226270"/>
  </r>
  <r>
    <n v="8522309"/>
    <s v="Preferencial"/>
    <n v="27626239"/>
    <s v="Libranza"/>
    <n v="24909304"/>
    <n v="19076426"/>
    <n v="488276"/>
    <n v="29"/>
    <d v="2016-06-01T00:00:00"/>
    <x v="1"/>
    <n v="3"/>
    <n v="0"/>
    <n v="3"/>
    <n v="2"/>
    <n v="0"/>
  </r>
  <r>
    <n v="8522458"/>
    <s v="Micro pyme"/>
    <n v="21683437"/>
    <s v="Tarjeta"/>
    <n v="359292"/>
    <n v="358062"/>
    <n v="94270"/>
    <n v="90"/>
    <d v="2016-05-18T00:00:00"/>
    <x v="0"/>
    <n v="3"/>
    <n v="1"/>
    <n v="2"/>
    <n v="1"/>
    <n v="0"/>
  </r>
  <r>
    <n v="8522462"/>
    <s v="Micro pyme"/>
    <n v="26162718"/>
    <s v="Tarjeta"/>
    <n v="247973"/>
    <n v="247973"/>
    <n v="48606"/>
    <n v="30"/>
    <d v="2016-05-31T00:00:00"/>
    <x v="1"/>
    <n v="3"/>
    <n v="1"/>
    <n v="2"/>
    <n v="0"/>
    <n v="247973"/>
  </r>
  <r>
    <n v="8522957"/>
    <s v="Micro pyme"/>
    <n v="22516258"/>
    <s v="Tarjeta"/>
    <n v="1745164"/>
    <n v="679019"/>
    <n v="47550"/>
    <n v="30"/>
    <d v="2016-05-31T00:00:00"/>
    <x v="1"/>
    <n v="3"/>
    <n v="1"/>
    <n v="2"/>
    <n v="1"/>
    <n v="15850"/>
  </r>
  <r>
    <n v="8522957"/>
    <s v="Micro pyme"/>
    <n v="22516382"/>
    <s v="Tarjeta"/>
    <n v="1745164"/>
    <n v="1066145"/>
    <n v="81085"/>
    <n v="30"/>
    <d v="2016-05-31T00:00:00"/>
    <x v="1"/>
    <n v="3"/>
    <n v="2"/>
    <n v="1"/>
    <n v="0"/>
    <n v="0"/>
  </r>
  <r>
    <n v="8523040"/>
    <s v="Micro pyme"/>
    <n v="26197937"/>
    <s v="Tarjeta"/>
    <n v="837290"/>
    <n v="837290"/>
    <n v="284251"/>
    <n v="60"/>
    <d v="2016-05-01T00:00:00"/>
    <x v="0"/>
    <n v="3"/>
    <n v="1"/>
    <n v="2"/>
    <n v="1"/>
    <n v="284251"/>
  </r>
  <r>
    <n v="8523124"/>
    <s v="Micro pyme"/>
    <n v="26225662"/>
    <s v="Tarjeta"/>
    <n v="395707"/>
    <n v="395707"/>
    <n v="25640"/>
    <n v="30"/>
    <d v="2016-05-31T00:00:00"/>
    <x v="1"/>
    <n v="3"/>
    <n v="0"/>
    <n v="3"/>
    <n v="1"/>
    <n v="0"/>
  </r>
  <r>
    <n v="8523205"/>
    <s v="Personal"/>
    <n v="22375306"/>
    <s v="Tarjeta"/>
    <n v="4365779"/>
    <n v="740500"/>
    <n v="740500"/>
    <n v="180"/>
    <d v="2016-04-30T00:00:00"/>
    <x v="2"/>
    <n v="3"/>
    <n v="1"/>
    <n v="2"/>
    <n v="1"/>
    <n v="0"/>
  </r>
  <r>
    <n v="8523205"/>
    <s v="Personal"/>
    <n v="24912565"/>
    <s v="Tarjeta"/>
    <n v="4365779"/>
    <n v="3625279"/>
    <n v="3625279"/>
    <n v="120"/>
    <d v="2016-04-16T00:00:00"/>
    <x v="2"/>
    <n v="3"/>
    <n v="1"/>
    <n v="2"/>
    <n v="1"/>
    <n v="0"/>
  </r>
  <r>
    <n v="8523520"/>
    <s v="Micro pyme"/>
    <n v="1377705"/>
    <s v="Tarjeta"/>
    <n v="1357831"/>
    <n v="554994"/>
    <n v="79798"/>
    <n v="60"/>
    <d v="2016-04-20T00:00:00"/>
    <x v="0"/>
    <n v="3"/>
    <n v="1"/>
    <n v="2"/>
    <n v="0"/>
    <n v="26600"/>
  </r>
  <r>
    <n v="8523859"/>
    <s v="Micro pyme"/>
    <n v="22375306"/>
    <s v="Tarjeta"/>
    <n v="1179165"/>
    <n v="793396"/>
    <n v="7806"/>
    <n v="30"/>
    <d v="2016-05-18T00:00:00"/>
    <x v="0"/>
    <n v="3"/>
    <n v="1"/>
    <n v="2"/>
    <n v="1"/>
    <n v="0"/>
  </r>
  <r>
    <n v="8523897"/>
    <s v="Micro pyme"/>
    <n v="19889218"/>
    <s v="Tarjeta"/>
    <n v="660879"/>
    <n v="660879"/>
    <n v="82368"/>
    <n v="30"/>
    <d v="2016-05-18T00:00:00"/>
    <x v="0"/>
    <n v="3"/>
    <n v="0"/>
    <n v="3"/>
    <n v="1"/>
    <n v="0"/>
  </r>
  <r>
    <n v="8524048"/>
    <s v="Micro pyme"/>
    <n v="23295919"/>
    <s v="Tarjeta"/>
    <n v="2048944"/>
    <n v="962934"/>
    <n v="47855"/>
    <n v="30"/>
    <d v="2016-06-03T00:00:00"/>
    <x v="0"/>
    <n v="3"/>
    <n v="1"/>
    <n v="2"/>
    <n v="1"/>
    <n v="0"/>
  </r>
  <r>
    <n v="8524070"/>
    <s v="Micro pyme"/>
    <n v="15357610"/>
    <s v="Tarjeta"/>
    <n v="4556603"/>
    <n v="552560"/>
    <n v="551887"/>
    <n v="360"/>
    <d v="2016-03-14T00:00:00"/>
    <x v="2"/>
    <n v="3"/>
    <n v="1"/>
    <n v="2"/>
    <n v="1"/>
    <n v="0"/>
  </r>
  <r>
    <n v="8524404"/>
    <s v="Personal"/>
    <n v="19536723"/>
    <s v="Tarjeta"/>
    <n v="8101828"/>
    <n v="3622351"/>
    <n v="106020"/>
    <n v="30"/>
    <d v="2016-05-18T00:00:00"/>
    <x v="0"/>
    <n v="3"/>
    <n v="1"/>
    <n v="2"/>
    <n v="0"/>
    <n v="35340"/>
  </r>
  <r>
    <n v="8524784"/>
    <s v="Micro pyme"/>
    <n v="27962052"/>
    <s v="Tarjeta"/>
    <n v="405841"/>
    <n v="405841"/>
    <n v="112801"/>
    <n v="60"/>
    <d v="2016-05-01T00:00:00"/>
    <x v="0"/>
    <n v="3"/>
    <n v="1"/>
    <n v="2"/>
    <n v="1"/>
    <n v="56401"/>
  </r>
  <r>
    <n v="8524793"/>
    <s v="Micro pyme"/>
    <n v="21416546"/>
    <s v="Tarjeta"/>
    <n v="2235335"/>
    <n v="579255"/>
    <n v="42264"/>
    <n v="30"/>
    <d v="2016-05-31T00:00:00"/>
    <x v="1"/>
    <n v="3"/>
    <n v="0"/>
    <n v="3"/>
    <n v="1"/>
    <n v="0"/>
  </r>
  <r>
    <n v="8524805"/>
    <s v="Micro pyme"/>
    <n v="21648150"/>
    <s v="Tarjeta"/>
    <n v="4212055"/>
    <n v="819330"/>
    <n v="63170"/>
    <n v="30"/>
    <d v="2016-05-31T00:00:00"/>
    <x v="1"/>
    <n v="3"/>
    <n v="1"/>
    <n v="2"/>
    <n v="1"/>
    <n v="31585"/>
  </r>
  <r>
    <n v="8524847"/>
    <s v="Personal"/>
    <n v="22738834"/>
    <s v="Tarjeta"/>
    <n v="3463508"/>
    <n v="2388355"/>
    <n v="269093"/>
    <n v="30"/>
    <d v="2016-05-31T00:00:00"/>
    <x v="1"/>
    <n v="3"/>
    <n v="1"/>
    <n v="2"/>
    <n v="1"/>
    <n v="269093"/>
  </r>
  <r>
    <n v="8524847"/>
    <s v="Personal"/>
    <n v="26782857"/>
    <s v="Tarjeta"/>
    <n v="3463508"/>
    <n v="1075153"/>
    <n v="50256"/>
    <n v="30"/>
    <d v="2016-05-31T00:00:00"/>
    <x v="1"/>
    <n v="3"/>
    <n v="1"/>
    <n v="2"/>
    <n v="0"/>
    <n v="0"/>
  </r>
  <r>
    <n v="8525305"/>
    <s v="Micro pyme"/>
    <n v="18744641"/>
    <s v="Tarjeta"/>
    <n v="2226796"/>
    <n v="2226796"/>
    <n v="2226796"/>
    <n v="150"/>
    <d v="2016-04-27T00:00:00"/>
    <x v="2"/>
    <n v="3"/>
    <n v="2"/>
    <n v="1"/>
    <n v="1"/>
    <n v="0"/>
  </r>
  <r>
    <n v="8525340"/>
    <s v="Micro pyme"/>
    <n v="10637802"/>
    <s v="Tarjeta"/>
    <n v="1982732"/>
    <n v="967767"/>
    <n v="198536"/>
    <n v="60"/>
    <d v="2016-04-21T00:00:00"/>
    <x v="0"/>
    <n v="3"/>
    <n v="1"/>
    <n v="2"/>
    <n v="0"/>
    <n v="198536"/>
  </r>
  <r>
    <n v="8525340"/>
    <s v="Micro pyme"/>
    <n v="10638085"/>
    <s v="Tarjeta"/>
    <n v="1982732"/>
    <n v="1012966"/>
    <n v="243735"/>
    <n v="60"/>
    <d v="2016-05-01T00:00:00"/>
    <x v="0"/>
    <n v="3"/>
    <n v="0"/>
    <n v="3"/>
    <n v="1"/>
    <n v="0"/>
  </r>
  <r>
    <n v="8525418"/>
    <s v="Micro pyme"/>
    <n v="26225873"/>
    <s v="Tarjeta"/>
    <n v="104241"/>
    <n v="104241"/>
    <n v="104241"/>
    <n v="210"/>
    <d v="2016-03-31T00:00:00"/>
    <x v="2"/>
    <n v="3"/>
    <n v="1"/>
    <n v="2"/>
    <n v="2"/>
    <n v="0"/>
  </r>
  <r>
    <n v="8525718"/>
    <s v="Micro pyme"/>
    <n v="26653538"/>
    <s v="Tarjeta"/>
    <n v="2113102"/>
    <n v="2113102"/>
    <n v="2113102"/>
    <n v="210"/>
    <d v="2016-03-31T00:00:00"/>
    <x v="2"/>
    <n v="3"/>
    <n v="1"/>
    <n v="2"/>
    <n v="0"/>
    <n v="0"/>
  </r>
  <r>
    <n v="8525766"/>
    <s v="Micro pyme"/>
    <n v="27984804"/>
    <s v="Tarjeta"/>
    <n v="2043829"/>
    <n v="2043829"/>
    <n v="334427"/>
    <n v="60"/>
    <d v="2016-04-23T00:00:00"/>
    <x v="0"/>
    <n v="3"/>
    <n v="1"/>
    <n v="2"/>
    <n v="1"/>
    <n v="111476"/>
  </r>
  <r>
    <n v="8526274"/>
    <s v="Micro pyme"/>
    <n v="21202055"/>
    <s v="Tarjeta"/>
    <n v="2709624"/>
    <n v="2709624"/>
    <n v="572383"/>
    <n v="60"/>
    <d v="2016-04-27T00:00:00"/>
    <x v="0"/>
    <n v="3"/>
    <n v="1"/>
    <n v="2"/>
    <n v="0"/>
    <n v="0"/>
  </r>
  <r>
    <n v="8526376"/>
    <s v="Personal"/>
    <n v="27672437"/>
    <s v="Tarjeta"/>
    <n v="23269652"/>
    <n v="1061910"/>
    <n v="3902"/>
    <n v="30"/>
    <d v="2016-05-31T00:00:00"/>
    <x v="1"/>
    <n v="3"/>
    <n v="0"/>
    <n v="3"/>
    <n v="1"/>
    <n v="0"/>
  </r>
  <r>
    <n v="8549511"/>
    <s v="Preferencial"/>
    <n v="15077029"/>
    <s v="Hipotercario"/>
    <n v="26082732"/>
    <n v="24356466"/>
    <n v="555720"/>
    <n v="2"/>
    <d v="2016-06-08T00:00:00"/>
    <x v="0"/>
    <n v="3"/>
    <n v="1"/>
    <n v="2"/>
    <n v="2"/>
    <n v="185240"/>
  </r>
  <r>
    <n v="8549511"/>
    <s v="Preferencial"/>
    <n v="27542907"/>
    <s v="Tarjeta"/>
    <n v="26082732"/>
    <n v="1257371"/>
    <n v="290924"/>
    <n v="30"/>
    <d v="2016-05-18T00:00:00"/>
    <x v="0"/>
    <n v="3"/>
    <n v="1"/>
    <n v="2"/>
    <n v="0"/>
    <n v="290924"/>
  </r>
  <r>
    <n v="8549588"/>
    <s v="Micro pyme"/>
    <n v="24223502"/>
    <s v="Tarjeta"/>
    <n v="653252"/>
    <n v="653252"/>
    <n v="653252"/>
    <n v="120"/>
    <d v="2016-05-29T00:00:00"/>
    <x v="2"/>
    <n v="3"/>
    <n v="1"/>
    <n v="2"/>
    <n v="1"/>
    <n v="0"/>
  </r>
  <r>
    <n v="8549887"/>
    <s v="Micro pyme"/>
    <n v="23896168"/>
    <s v="Tarjeta"/>
    <n v="674250"/>
    <n v="674250"/>
    <n v="75462"/>
    <n v="30"/>
    <d v="2016-05-18T00:00:00"/>
    <x v="0"/>
    <n v="3"/>
    <n v="1"/>
    <n v="2"/>
    <n v="0"/>
    <n v="0"/>
  </r>
  <r>
    <n v="8550032"/>
    <s v="Personal"/>
    <n v="23865163"/>
    <s v="Tarjeta"/>
    <n v="3686425"/>
    <n v="1824806"/>
    <n v="1824806"/>
    <n v="150"/>
    <d v="2016-05-18T00:00:00"/>
    <x v="2"/>
    <n v="3"/>
    <n v="0"/>
    <n v="3"/>
    <n v="1"/>
    <n v="0"/>
  </r>
  <r>
    <n v="8550032"/>
    <s v="Personal"/>
    <n v="26664605"/>
    <s v="Tarjeta"/>
    <n v="3686425"/>
    <n v="1861618"/>
    <n v="1861619"/>
    <n v="180"/>
    <d v="2016-04-30T00:00:00"/>
    <x v="2"/>
    <n v="3"/>
    <n v="1"/>
    <n v="2"/>
    <n v="2"/>
    <n v="1861619"/>
  </r>
  <r>
    <n v="8550135"/>
    <s v="Preferencial"/>
    <n v="23836912"/>
    <s v="Tarjeta"/>
    <n v="31082508"/>
    <n v="3498563"/>
    <n v="751204"/>
    <n v="90"/>
    <d v="2016-05-13T00:00:00"/>
    <x v="0"/>
    <n v="3"/>
    <n v="1"/>
    <n v="2"/>
    <n v="0"/>
    <n v="0"/>
  </r>
  <r>
    <n v="8550135"/>
    <s v="Preferencial"/>
    <n v="25353899"/>
    <s v="Consumo"/>
    <n v="31082508"/>
    <n v="9443146"/>
    <n v="967307"/>
    <n v="74"/>
    <d v="2016-05-13T00:00:00"/>
    <x v="0"/>
    <n v="3"/>
    <n v="1"/>
    <n v="2"/>
    <n v="1"/>
    <n v="0"/>
  </r>
  <r>
    <n v="8550135"/>
    <s v="Preferencial"/>
    <n v="26223205"/>
    <s v="Consumo"/>
    <n v="31082508"/>
    <n v="8881018"/>
    <n v="840004"/>
    <n v="89"/>
    <d v="2016-05-13T00:00:00"/>
    <x v="0"/>
    <n v="3"/>
    <n v="2"/>
    <n v="1"/>
    <n v="0"/>
    <n v="280002"/>
  </r>
  <r>
    <n v="8550135"/>
    <s v="Preferencial"/>
    <n v="26235241"/>
    <s v="Rotativo"/>
    <n v="31082508"/>
    <n v="1533392"/>
    <n v="221778"/>
    <n v="85"/>
    <d v="2016-05-13T00:00:00"/>
    <x v="0"/>
    <n v="3"/>
    <n v="1"/>
    <n v="2"/>
    <n v="0"/>
    <n v="221778"/>
  </r>
  <r>
    <n v="8550135"/>
    <s v="Preferencial"/>
    <n v="27107473"/>
    <s v="Rotativo"/>
    <n v="31082508"/>
    <n v="204917"/>
    <n v="26523"/>
    <n v="85"/>
    <d v="2016-05-13T00:00:00"/>
    <x v="0"/>
    <n v="3"/>
    <n v="0"/>
    <n v="3"/>
    <n v="2"/>
    <n v="0"/>
  </r>
  <r>
    <n v="8550284"/>
    <s v="Micro pyme"/>
    <n v="21382277"/>
    <s v="Tarjeta"/>
    <n v="2097636"/>
    <n v="371099"/>
    <n v="94249"/>
    <n v="30"/>
    <d v="2016-05-18T00:00:00"/>
    <x v="0"/>
    <n v="3"/>
    <n v="1"/>
    <n v="2"/>
    <n v="1"/>
    <n v="94249"/>
  </r>
  <r>
    <n v="8550284"/>
    <s v="Micro pyme"/>
    <n v="25923127"/>
    <s v="Tarjeta"/>
    <n v="2097636"/>
    <n v="1726537"/>
    <n v="190862"/>
    <n v="30"/>
    <d v="2016-05-18T00:00:00"/>
    <x v="0"/>
    <n v="3"/>
    <n v="1"/>
    <n v="2"/>
    <n v="1"/>
    <n v="95431"/>
  </r>
  <r>
    <n v="8550298"/>
    <s v="Micro pyme"/>
    <n v="28167696"/>
    <s v="Tarjeta"/>
    <n v="66140"/>
    <n v="66140"/>
    <n v="13393"/>
    <n v="30"/>
    <d v="2016-05-18T00:00:00"/>
    <x v="0"/>
    <n v="3"/>
    <n v="1"/>
    <n v="2"/>
    <n v="0"/>
    <n v="0"/>
  </r>
  <r>
    <n v="8550305"/>
    <s v="Micro pyme"/>
    <n v="23926491"/>
    <s v="Tarjeta"/>
    <n v="2065854"/>
    <n v="2065854"/>
    <n v="2065854"/>
    <n v="120"/>
    <d v="2016-05-28T00:00:00"/>
    <x v="2"/>
    <n v="3"/>
    <n v="1"/>
    <n v="2"/>
    <n v="0"/>
    <n v="1032927"/>
  </r>
  <r>
    <n v="8550332"/>
    <s v="Micro pyme"/>
    <n v="23318244"/>
    <s v="Tarjeta"/>
    <n v="1538613"/>
    <n v="611238"/>
    <n v="420053"/>
    <n v="90"/>
    <d v="2016-05-18T00:00:00"/>
    <x v="0"/>
    <n v="3"/>
    <n v="0"/>
    <n v="3"/>
    <n v="2"/>
    <n v="0"/>
  </r>
  <r>
    <n v="8550332"/>
    <s v="Micro pyme"/>
    <n v="24814717"/>
    <s v="Tarjeta"/>
    <n v="1538613"/>
    <n v="927375"/>
    <n v="674054"/>
    <n v="90"/>
    <d v="2016-05-18T00:00:00"/>
    <x v="0"/>
    <n v="3"/>
    <n v="1"/>
    <n v="2"/>
    <n v="1"/>
    <n v="674054"/>
  </r>
  <r>
    <n v="8550436"/>
    <s v="Personal"/>
    <n v="25269400"/>
    <s v="Tarjeta"/>
    <n v="6524374"/>
    <n v="2096062"/>
    <n v="171360"/>
    <n v="30"/>
    <d v="2016-05-19T00:00:00"/>
    <x v="0"/>
    <n v="3"/>
    <n v="1"/>
    <n v="2"/>
    <n v="1"/>
    <n v="0"/>
  </r>
  <r>
    <n v="8550436"/>
    <s v="Personal"/>
    <n v="25270150"/>
    <s v="Tarjeta"/>
    <n v="6524374"/>
    <n v="4428311"/>
    <n v="378750"/>
    <n v="30"/>
    <d v="2016-05-18T00:00:00"/>
    <x v="0"/>
    <n v="3"/>
    <n v="1"/>
    <n v="2"/>
    <n v="0"/>
    <n v="4428311"/>
  </r>
  <r>
    <n v="8550484"/>
    <s v="Personal"/>
    <n v="26911994"/>
    <s v="Tarjeta"/>
    <n v="6425389"/>
    <n v="3212695"/>
    <n v="585663"/>
    <n v="90"/>
    <d v="2016-06-03T00:00:00"/>
    <x v="0"/>
    <n v="3"/>
    <n v="1"/>
    <n v="2"/>
    <n v="0"/>
    <n v="585663"/>
  </r>
  <r>
    <n v="8550513"/>
    <s v="Micro pyme"/>
    <n v="12130935"/>
    <s v="Tarjeta"/>
    <n v="1190948"/>
    <n v="1097469"/>
    <n v="521974"/>
    <n v="30"/>
    <d v="2016-05-31T00:00:00"/>
    <x v="1"/>
    <n v="3"/>
    <n v="0"/>
    <n v="3"/>
    <n v="2"/>
    <n v="521974"/>
  </r>
  <r>
    <n v="8550513"/>
    <s v="Micro pyme"/>
    <n v="23977900"/>
    <s v="Tarjeta"/>
    <n v="1190948"/>
    <n v="93479"/>
    <n v="18783"/>
    <n v="30"/>
    <d v="2016-05-31T00:00:00"/>
    <x v="1"/>
    <n v="3"/>
    <n v="1"/>
    <n v="2"/>
    <n v="1"/>
    <n v="6261"/>
  </r>
  <r>
    <n v="8550753"/>
    <s v="Micro pyme"/>
    <n v="21386180"/>
    <s v="Tarjeta"/>
    <n v="319662"/>
    <n v="319662"/>
    <n v="7064"/>
    <n v="30"/>
    <d v="2016-05-31T00:00:00"/>
    <x v="1"/>
    <n v="3"/>
    <n v="1"/>
    <n v="2"/>
    <n v="1"/>
    <n v="0"/>
  </r>
  <r>
    <n v="8550900"/>
    <s v="Micro pyme"/>
    <n v="19225430"/>
    <s v="Tarjeta"/>
    <n v="347206"/>
    <n v="347206"/>
    <n v="24821"/>
    <n v="30"/>
    <d v="2016-05-19T00:00:00"/>
    <x v="0"/>
    <n v="3"/>
    <n v="1"/>
    <n v="2"/>
    <n v="0"/>
    <n v="0"/>
  </r>
  <r>
    <n v="8551082"/>
    <s v="Micro pyme"/>
    <n v="26878877"/>
    <s v="Tarjeta"/>
    <n v="358614"/>
    <n v="358614"/>
    <n v="144042"/>
    <n v="90"/>
    <d v="2016-05-28T00:00:00"/>
    <x v="0"/>
    <n v="3"/>
    <n v="2"/>
    <n v="1"/>
    <n v="0"/>
    <n v="144042"/>
  </r>
  <r>
    <n v="8551304"/>
    <s v="Micro pyme"/>
    <n v="27672818"/>
    <s v="Tarjeta"/>
    <n v="958458"/>
    <n v="958458"/>
    <n v="346980"/>
    <n v="60"/>
    <d v="2016-04-27T00:00:00"/>
    <x v="0"/>
    <n v="3"/>
    <n v="1"/>
    <n v="2"/>
    <n v="1"/>
    <n v="0"/>
  </r>
  <r>
    <n v="8551392"/>
    <s v="Micro pyme"/>
    <n v="26555103"/>
    <s v="Tarjeta"/>
    <n v="537536"/>
    <n v="537536"/>
    <n v="17440"/>
    <n v="30"/>
    <d v="2016-05-01T00:00:00"/>
    <x v="0"/>
    <n v="3"/>
    <n v="0"/>
    <n v="3"/>
    <n v="1"/>
    <n v="0"/>
  </r>
  <r>
    <n v="8551680"/>
    <s v="Micro pyme"/>
    <n v="23582216"/>
    <s v="Tarjeta"/>
    <n v="328004"/>
    <n v="328004"/>
    <n v="328004"/>
    <n v="150"/>
    <d v="2016-05-18T00:00:00"/>
    <x v="2"/>
    <n v="3"/>
    <n v="1"/>
    <n v="2"/>
    <n v="2"/>
    <n v="109335"/>
  </r>
  <r>
    <n v="8551730"/>
    <s v="Personal"/>
    <n v="25786927"/>
    <s v="Tarjeta"/>
    <n v="5955547"/>
    <n v="139273"/>
    <n v="46258"/>
    <n v="30"/>
    <d v="2016-05-18T00:00:00"/>
    <x v="0"/>
    <n v="3"/>
    <n v="1"/>
    <n v="2"/>
    <n v="0"/>
    <n v="0"/>
  </r>
  <r>
    <n v="8551730"/>
    <s v="Personal"/>
    <n v="28186038"/>
    <s v="Vehiculo"/>
    <n v="5955547"/>
    <n v="5816274"/>
    <n v="181122"/>
    <n v="7"/>
    <d v="2016-06-02T00:00:00"/>
    <x v="0"/>
    <n v="3"/>
    <n v="1"/>
    <n v="2"/>
    <n v="0"/>
    <n v="0"/>
  </r>
  <r>
    <n v="8552223"/>
    <s v="Micro pyme"/>
    <n v="25178462"/>
    <s v="Tarjeta"/>
    <n v="2005145"/>
    <n v="180229"/>
    <n v="36204"/>
    <n v="30"/>
    <d v="2016-05-31T00:00:00"/>
    <x v="1"/>
    <n v="3"/>
    <n v="1"/>
    <n v="2"/>
    <n v="1"/>
    <n v="0"/>
  </r>
  <r>
    <n v="8552331"/>
    <s v="Preferencial"/>
    <n v="22221367"/>
    <s v="Consumo"/>
    <n v="9245279"/>
    <n v="5322710"/>
    <n v="793431"/>
    <n v="52"/>
    <d v="2016-04-19T00:00:00"/>
    <x v="0"/>
    <n v="3"/>
    <n v="0"/>
    <n v="3"/>
    <n v="1"/>
    <n v="0"/>
  </r>
  <r>
    <n v="8552331"/>
    <s v="Preferencial"/>
    <n v="23982519"/>
    <s v="Tarjeta"/>
    <n v="9245279"/>
    <n v="2009803"/>
    <n v="317875"/>
    <n v="60"/>
    <d v="2016-04-30T00:00:00"/>
    <x v="0"/>
    <n v="3"/>
    <n v="1"/>
    <n v="2"/>
    <n v="2"/>
    <n v="105959"/>
  </r>
  <r>
    <n v="8552331"/>
    <s v="Preferencial"/>
    <n v="23983643"/>
    <s v="Tarjeta"/>
    <n v="9245279"/>
    <n v="1912766"/>
    <n v="421704"/>
    <n v="60"/>
    <d v="2016-05-01T00:00:00"/>
    <x v="0"/>
    <n v="3"/>
    <n v="1"/>
    <n v="2"/>
    <n v="0"/>
    <n v="421704"/>
  </r>
  <r>
    <n v="8552345"/>
    <s v="Personal"/>
    <n v="23758783"/>
    <s v="Libranza"/>
    <n v="9578882"/>
    <n v="9037665"/>
    <n v="247400"/>
    <n v="3"/>
    <d v="2016-06-08T00:00:00"/>
    <x v="0"/>
    <n v="3"/>
    <n v="1"/>
    <n v="2"/>
    <n v="0"/>
    <n v="0"/>
  </r>
  <r>
    <n v="8552345"/>
    <s v="Personal"/>
    <n v="27755148"/>
    <s v="Tarjeta"/>
    <n v="9578882"/>
    <n v="541217"/>
    <n v="162609"/>
    <n v="60"/>
    <d v="2016-05-01T00:00:00"/>
    <x v="0"/>
    <n v="3"/>
    <n v="1"/>
    <n v="2"/>
    <n v="1"/>
    <n v="541217"/>
  </r>
  <r>
    <n v="8552450"/>
    <s v="Micro pyme"/>
    <n v="21386195"/>
    <s v="Tarjeta"/>
    <n v="313202"/>
    <n v="313202"/>
    <n v="39846"/>
    <n v="30"/>
    <d v="2016-06-01T00:00:00"/>
    <x v="0"/>
    <n v="3"/>
    <n v="0"/>
    <n v="3"/>
    <n v="1"/>
    <n v="0"/>
  </r>
  <r>
    <n v="8552462"/>
    <s v="Micro pyme"/>
    <n v="25300456"/>
    <s v="Tarjeta"/>
    <n v="532127"/>
    <n v="532127"/>
    <n v="532127"/>
    <n v="150"/>
    <d v="2016-05-28T00:00:00"/>
    <x v="2"/>
    <n v="3"/>
    <n v="1"/>
    <n v="2"/>
    <n v="2"/>
    <n v="0"/>
  </r>
  <r>
    <n v="8552479"/>
    <s v="Micro pyme"/>
    <n v="25963393"/>
    <s v="Tarjeta"/>
    <n v="1689243"/>
    <n v="1689243"/>
    <n v="19516"/>
    <n v="30"/>
    <d v="2016-05-31T00:00:00"/>
    <x v="1"/>
    <n v="3"/>
    <n v="1"/>
    <n v="2"/>
    <n v="0"/>
    <n v="19516"/>
  </r>
  <r>
    <n v="8552611"/>
    <s v="Personal"/>
    <n v="26725212"/>
    <s v="Tarjeta"/>
    <n v="3100424"/>
    <n v="1526386"/>
    <n v="274768"/>
    <n v="90"/>
    <d v="2016-05-19T00:00:00"/>
    <x v="2"/>
    <n v="3"/>
    <n v="1"/>
    <n v="2"/>
    <n v="0"/>
    <n v="274768"/>
  </r>
  <r>
    <n v="8552611"/>
    <s v="Personal"/>
    <n v="27290206"/>
    <s v="Tarjeta"/>
    <n v="3100424"/>
    <n v="1574038"/>
    <n v="1574038"/>
    <n v="120"/>
    <d v="2016-05-19T00:00:00"/>
    <x v="2"/>
    <n v="3"/>
    <n v="2"/>
    <n v="1"/>
    <n v="1"/>
    <n v="524680"/>
  </r>
  <r>
    <n v="8552858"/>
    <s v="Personal"/>
    <n v="4734571"/>
    <s v="Tarjeta"/>
    <n v="3271256"/>
    <n v="1068843"/>
    <n v="1068843"/>
    <n v="210"/>
    <d v="2016-03-18T00:00:00"/>
    <x v="2"/>
    <n v="3"/>
    <n v="1"/>
    <n v="2"/>
    <n v="0"/>
    <n v="0"/>
  </r>
  <r>
    <n v="8552858"/>
    <s v="Personal"/>
    <n v="21710039"/>
    <s v="Tarjeta"/>
    <n v="3271256"/>
    <n v="1261967"/>
    <n v="1261967"/>
    <n v="150"/>
    <d v="2016-05-18T00:00:00"/>
    <x v="2"/>
    <n v="3"/>
    <n v="0"/>
    <n v="3"/>
    <n v="2"/>
    <n v="0"/>
  </r>
  <r>
    <n v="8552858"/>
    <s v="Personal"/>
    <n v="28584622"/>
    <s v="Tarjeta"/>
    <n v="3271256"/>
    <n v="940446"/>
    <n v="224451"/>
    <n v="60"/>
    <d v="2016-06-03T00:00:00"/>
    <x v="2"/>
    <n v="3"/>
    <n v="1"/>
    <n v="2"/>
    <n v="1"/>
    <n v="112226"/>
  </r>
  <r>
    <n v="8552898"/>
    <s v="Micro pyme"/>
    <n v="4715262"/>
    <s v="Tarjeta"/>
    <n v="1501348"/>
    <n v="1501348"/>
    <n v="186479"/>
    <n v="30"/>
    <d v="2016-06-01T00:00:00"/>
    <x v="0"/>
    <n v="3"/>
    <n v="1"/>
    <n v="2"/>
    <n v="0"/>
    <n v="0"/>
  </r>
  <r>
    <n v="8553096"/>
    <s v="Micro pyme"/>
    <n v="27552740"/>
    <s v="Tarjeta"/>
    <n v="684165"/>
    <n v="684165"/>
    <n v="126883"/>
    <n v="30"/>
    <d v="2016-05-19T00:00:00"/>
    <x v="0"/>
    <n v="3"/>
    <n v="1"/>
    <n v="2"/>
    <n v="1"/>
    <n v="0"/>
  </r>
  <r>
    <n v="8553189"/>
    <s v="Personal"/>
    <n v="15321950"/>
    <s v="Tarjeta"/>
    <n v="6245681"/>
    <n v="6245681"/>
    <n v="697031"/>
    <n v="30"/>
    <d v="2016-05-31T00:00:00"/>
    <x v="1"/>
    <n v="3"/>
    <n v="1"/>
    <n v="2"/>
    <n v="0"/>
    <n v="6245681"/>
  </r>
  <r>
    <n v="8553292"/>
    <s v="Micro pyme"/>
    <n v="26038478"/>
    <s v="Tarjeta"/>
    <n v="512218"/>
    <n v="512218"/>
    <n v="1605"/>
    <n v="30"/>
    <d v="2016-06-01T00:00:00"/>
    <x v="0"/>
    <n v="3"/>
    <n v="0"/>
    <n v="3"/>
    <n v="2"/>
    <n v="803"/>
  </r>
  <r>
    <n v="8553414"/>
    <s v="Micro pyme"/>
    <n v="16700034"/>
    <s v="Tarjeta"/>
    <n v="4931152"/>
    <n v="2227153"/>
    <n v="1426176"/>
    <n v="240"/>
    <d v="2016-02-28T00:00:00"/>
    <x v="2"/>
    <n v="3"/>
    <n v="1"/>
    <n v="2"/>
    <n v="1"/>
    <n v="713088"/>
  </r>
  <r>
    <n v="8553666"/>
    <s v="Micro pyme"/>
    <n v="26377696"/>
    <s v="Tarjeta"/>
    <n v="2125013"/>
    <n v="2125013"/>
    <n v="988632"/>
    <n v="90"/>
    <d v="2016-05-19T00:00:00"/>
    <x v="0"/>
    <n v="3"/>
    <n v="1"/>
    <n v="2"/>
    <n v="0"/>
    <n v="0"/>
  </r>
  <r>
    <n v="8553693"/>
    <s v="Preferencial"/>
    <n v="23663051"/>
    <s v="Tarjeta"/>
    <n v="24616164"/>
    <n v="164408"/>
    <n v="164408"/>
    <n v="90"/>
    <d v="2016-05-19T00:00:00"/>
    <x v="0"/>
    <n v="3"/>
    <n v="1"/>
    <n v="2"/>
    <n v="1"/>
    <n v="164408"/>
  </r>
  <r>
    <n v="8553693"/>
    <s v="Preferencial"/>
    <n v="23932368"/>
    <s v="Hipotercario"/>
    <n v="24616164"/>
    <n v="24451756"/>
    <n v="316433"/>
    <n v="2"/>
    <d v="2016-06-08T00:00:00"/>
    <x v="0"/>
    <n v="3"/>
    <n v="1"/>
    <n v="2"/>
    <n v="0"/>
    <n v="0"/>
  </r>
  <r>
    <n v="8553743"/>
    <s v="Micro pyme"/>
    <n v="20545144"/>
    <s v="Tarjeta"/>
    <n v="2629154"/>
    <n v="1001397"/>
    <n v="1001397"/>
    <n v="180"/>
    <d v="2016-05-01T00:00:00"/>
    <x v="2"/>
    <n v="3"/>
    <n v="0"/>
    <n v="3"/>
    <n v="2"/>
    <n v="333799"/>
  </r>
  <r>
    <n v="8553743"/>
    <s v="Micro pyme"/>
    <n v="21877122"/>
    <s v="Vehiculo"/>
    <n v="2629154"/>
    <n v="1627757"/>
    <n v="1632056"/>
    <n v="310"/>
    <d v="2016-04-28T00:00:00"/>
    <x v="2"/>
    <n v="3"/>
    <n v="1"/>
    <n v="2"/>
    <n v="1"/>
    <n v="0"/>
  </r>
  <r>
    <n v="8554278"/>
    <s v="Micro pyme"/>
    <n v="20987702"/>
    <s v="Tarjeta"/>
    <n v="2039490"/>
    <n v="2039490"/>
    <n v="261696"/>
    <n v="30"/>
    <d v="2016-05-31T00:00:00"/>
    <x v="1"/>
    <n v="3"/>
    <n v="1"/>
    <n v="2"/>
    <n v="0"/>
    <n v="130848"/>
  </r>
  <r>
    <n v="8554397"/>
    <s v="Micro pyme"/>
    <n v="28146964"/>
    <s v="Tarjeta"/>
    <n v="705544"/>
    <n v="705544"/>
    <n v="124443"/>
    <n v="30"/>
    <d v="2016-05-31T00:00:00"/>
    <x v="1"/>
    <n v="3"/>
    <n v="1"/>
    <n v="2"/>
    <n v="1"/>
    <n v="0"/>
  </r>
  <r>
    <n v="8554529"/>
    <s v="Micro pyme"/>
    <n v="27523507"/>
    <s v="Tarjeta"/>
    <n v="5255044"/>
    <n v="5255044"/>
    <n v="507792"/>
    <n v="30"/>
    <d v="2016-05-19T00:00:00"/>
    <x v="0"/>
    <n v="3"/>
    <n v="2"/>
    <n v="1"/>
    <n v="0"/>
    <n v="5255044"/>
  </r>
  <r>
    <n v="8554929"/>
    <s v="Micro pyme"/>
    <n v="26813424"/>
    <s v="Tarjeta"/>
    <n v="673774"/>
    <n v="673774"/>
    <n v="29648"/>
    <n v="30"/>
    <d v="2016-05-18T00:00:00"/>
    <x v="0"/>
    <n v="3"/>
    <n v="1"/>
    <n v="2"/>
    <n v="1"/>
    <n v="0"/>
  </r>
  <r>
    <n v="8554952"/>
    <s v="Micro pyme"/>
    <n v="14370932"/>
    <s v="Tarjeta"/>
    <n v="4960503"/>
    <n v="4960503"/>
    <n v="4960503"/>
    <n v="210"/>
    <d v="2016-04-02T00:00:00"/>
    <x v="2"/>
    <n v="3"/>
    <n v="0"/>
    <n v="3"/>
    <n v="1"/>
    <n v="0"/>
  </r>
  <r>
    <n v="8555181"/>
    <s v="Preferencial"/>
    <n v="28267368"/>
    <s v="Tarjeta"/>
    <n v="37338014"/>
    <n v="5513966"/>
    <n v="296881"/>
    <n v="30"/>
    <d v="2016-06-01T00:00:00"/>
    <x v="0"/>
    <n v="3"/>
    <n v="1"/>
    <n v="2"/>
    <n v="1"/>
    <n v="296881"/>
  </r>
  <r>
    <n v="8555188"/>
    <s v="Micro pyme"/>
    <n v="23486645"/>
    <s v="Tarjeta"/>
    <n v="745020"/>
    <n v="372510"/>
    <n v="200401"/>
    <n v="60"/>
    <d v="2016-06-03T00:00:00"/>
    <x v="0"/>
    <n v="3"/>
    <n v="1"/>
    <n v="2"/>
    <n v="1"/>
    <n v="0"/>
  </r>
  <r>
    <n v="8555305"/>
    <s v="Micro pyme"/>
    <n v="21346506"/>
    <s v="Tarjeta"/>
    <n v="2757854"/>
    <n v="1481429"/>
    <n v="1481076"/>
    <n v="360"/>
    <d v="2016-04-27T00:00:00"/>
    <x v="2"/>
    <n v="3"/>
    <n v="1"/>
    <n v="2"/>
    <n v="0"/>
    <n v="740538"/>
  </r>
  <r>
    <n v="8555315"/>
    <s v="Personal"/>
    <n v="26673640"/>
    <s v="Tarjeta"/>
    <n v="19765410"/>
    <n v="10430877"/>
    <n v="7806"/>
    <n v="30"/>
    <d v="2016-05-31T00:00:00"/>
    <x v="1"/>
    <n v="3"/>
    <n v="1"/>
    <n v="2"/>
    <n v="1"/>
    <n v="0"/>
  </r>
  <r>
    <n v="8555342"/>
    <s v="Micro pyme"/>
    <n v="25416050"/>
    <s v="Tarjeta"/>
    <n v="1054348"/>
    <n v="1054348"/>
    <n v="164685"/>
    <n v="30"/>
    <d v="2016-05-31T00:00:00"/>
    <x v="1"/>
    <n v="3"/>
    <n v="0"/>
    <n v="3"/>
    <n v="1"/>
    <n v="0"/>
  </r>
  <r>
    <n v="8555675"/>
    <s v="Personal"/>
    <n v="14868002"/>
    <s v="Tarjeta"/>
    <n v="4582694"/>
    <n v="2292174"/>
    <n v="250661"/>
    <n v="30"/>
    <d v="2016-05-31T00:00:00"/>
    <x v="1"/>
    <n v="3"/>
    <n v="1"/>
    <n v="2"/>
    <n v="1"/>
    <n v="83553"/>
  </r>
  <r>
    <n v="8555675"/>
    <s v="Personal"/>
    <n v="28583654"/>
    <s v="Tarjeta"/>
    <n v="4582694"/>
    <n v="2290520"/>
    <n v="249006"/>
    <n v="30"/>
    <d v="2016-06-02T00:00:00"/>
    <x v="1"/>
    <n v="3"/>
    <n v="1"/>
    <n v="2"/>
    <n v="1"/>
    <n v="0"/>
  </r>
  <r>
    <n v="8555736"/>
    <s v="Micro pyme"/>
    <n v="25460723"/>
    <s v="Tarjeta"/>
    <n v="3903938"/>
    <n v="1324346"/>
    <n v="538022"/>
    <n v="60"/>
    <d v="2016-06-03T00:00:00"/>
    <x v="0"/>
    <n v="3"/>
    <n v="1"/>
    <n v="2"/>
    <n v="0"/>
    <n v="0"/>
  </r>
  <r>
    <n v="8555791"/>
    <s v="Micro pyme"/>
    <n v="25874889"/>
    <s v="Tarjeta"/>
    <n v="3270392"/>
    <n v="1857085"/>
    <n v="290917"/>
    <n v="90"/>
    <d v="2016-05-18T00:00:00"/>
    <x v="0"/>
    <n v="3"/>
    <n v="1"/>
    <n v="2"/>
    <n v="1"/>
    <n v="145458"/>
  </r>
  <r>
    <n v="8555825"/>
    <s v="Micro pyme"/>
    <n v="23416027"/>
    <s v="Tarjeta"/>
    <n v="190146"/>
    <n v="190146"/>
    <n v="8041"/>
    <n v="30"/>
    <d v="2016-05-18T00:00:00"/>
    <x v="0"/>
    <n v="3"/>
    <n v="0"/>
    <n v="3"/>
    <n v="1"/>
    <n v="8041"/>
  </r>
  <r>
    <n v="8555868"/>
    <s v="Micro pyme"/>
    <n v="10788626"/>
    <s v="Tarjeta"/>
    <n v="561005"/>
    <n v="561005"/>
    <n v="7806"/>
    <n v="30"/>
    <d v="2016-05-31T00:00:00"/>
    <x v="1"/>
    <n v="3"/>
    <n v="1"/>
    <n v="2"/>
    <n v="1"/>
    <n v="7806"/>
  </r>
  <r>
    <n v="8556030"/>
    <s v="Preferencial"/>
    <n v="19681511"/>
    <s v="Consumo"/>
    <n v="24438272"/>
    <n v="9974138"/>
    <n v="2287209"/>
    <n v="77"/>
    <d v="2016-05-21T00:00:00"/>
    <x v="0"/>
    <n v="3"/>
    <n v="1"/>
    <n v="2"/>
    <n v="1"/>
    <n v="0"/>
  </r>
  <r>
    <n v="8556030"/>
    <s v="Preferencial"/>
    <n v="24292654"/>
    <s v="Tarjeta"/>
    <n v="24438272"/>
    <n v="7600362"/>
    <n v="1646381"/>
    <n v="60"/>
    <d v="2016-05-21T00:00:00"/>
    <x v="0"/>
    <n v="3"/>
    <n v="1"/>
    <n v="2"/>
    <n v="0"/>
    <n v="823190"/>
  </r>
  <r>
    <n v="8556030"/>
    <s v="Preferencial"/>
    <n v="26488898"/>
    <s v="Consumo"/>
    <n v="24438272"/>
    <n v="6863771"/>
    <n v="578837"/>
    <n v="16"/>
    <d v="2016-05-24T00:00:00"/>
    <x v="0"/>
    <n v="3"/>
    <n v="2"/>
    <n v="1"/>
    <n v="1"/>
    <n v="0"/>
  </r>
  <r>
    <n v="8556391"/>
    <s v="Personal"/>
    <n v="23249256"/>
    <s v="Tarjeta"/>
    <n v="3742981"/>
    <n v="1900905"/>
    <n v="610552"/>
    <n v="60"/>
    <d v="2016-05-01T00:00:00"/>
    <x v="0"/>
    <n v="3"/>
    <n v="1"/>
    <n v="2"/>
    <n v="0"/>
    <n v="0"/>
  </r>
  <r>
    <n v="8556391"/>
    <s v="Personal"/>
    <n v="28582736"/>
    <s v="Tarjeta"/>
    <n v="3742981"/>
    <n v="1842076"/>
    <n v="259560"/>
    <n v="30"/>
    <d v="2016-06-02T00:00:00"/>
    <x v="0"/>
    <n v="3"/>
    <n v="0"/>
    <n v="3"/>
    <n v="1"/>
    <n v="259560"/>
  </r>
  <r>
    <n v="8556426"/>
    <s v="Micro pyme"/>
    <n v="1709105"/>
    <s v="Tarjeta"/>
    <n v="2634634"/>
    <n v="2634634"/>
    <n v="33527"/>
    <n v="30"/>
    <d v="2016-05-31T00:00:00"/>
    <x v="2"/>
    <n v="3"/>
    <n v="1"/>
    <n v="2"/>
    <n v="2"/>
    <n v="0"/>
  </r>
  <r>
    <n v="8556428"/>
    <s v="Micro pyme"/>
    <n v="2953804"/>
    <s v="Tarjeta"/>
    <n v="669576"/>
    <n v="669576"/>
    <n v="110091"/>
    <n v="30"/>
    <d v="2016-05-18T00:00:00"/>
    <x v="0"/>
    <n v="3"/>
    <n v="1"/>
    <n v="2"/>
    <n v="0"/>
    <n v="0"/>
  </r>
  <r>
    <n v="8556457"/>
    <s v="Personal"/>
    <n v="27019597"/>
    <s v="Tarjeta"/>
    <n v="5140997"/>
    <n v="2623329"/>
    <n v="397173"/>
    <n v="30"/>
    <d v="2016-05-18T00:00:00"/>
    <x v="0"/>
    <n v="3"/>
    <n v="1"/>
    <n v="2"/>
    <n v="1"/>
    <n v="0"/>
  </r>
  <r>
    <n v="8556457"/>
    <s v="Personal"/>
    <n v="27021386"/>
    <s v="Tarjeta"/>
    <n v="5140997"/>
    <n v="2517668"/>
    <n v="156498"/>
    <n v="30"/>
    <d v="2016-05-19T00:00:00"/>
    <x v="0"/>
    <n v="3"/>
    <n v="1"/>
    <n v="2"/>
    <n v="0"/>
    <n v="78249"/>
  </r>
  <r>
    <n v="8556636"/>
    <s v="Micro pyme"/>
    <n v="20095662"/>
    <s v="Tarjeta"/>
    <n v="2190923"/>
    <n v="2120110"/>
    <n v="163849"/>
    <n v="30"/>
    <d v="2016-05-31T00:00:00"/>
    <x v="1"/>
    <n v="3"/>
    <n v="0"/>
    <n v="3"/>
    <n v="1"/>
    <n v="0"/>
  </r>
  <r>
    <n v="8556668"/>
    <s v="Micro pyme"/>
    <n v="23262163"/>
    <s v="Tarjeta"/>
    <n v="484484"/>
    <n v="484484"/>
    <n v="78256"/>
    <n v="30"/>
    <d v="2016-05-31T00:00:00"/>
    <x v="1"/>
    <n v="3"/>
    <n v="1"/>
    <n v="2"/>
    <n v="2"/>
    <n v="78256"/>
  </r>
  <r>
    <n v="8556848"/>
    <s v="Micro pyme"/>
    <n v="27485416"/>
    <s v="Tarjeta"/>
    <n v="2740026"/>
    <n v="2740026"/>
    <n v="79598"/>
    <n v="30"/>
    <d v="2016-05-19T00:00:00"/>
    <x v="0"/>
    <n v="3"/>
    <n v="1"/>
    <n v="2"/>
    <n v="0"/>
    <n v="0"/>
  </r>
  <r>
    <n v="8556862"/>
    <s v="Micro pyme"/>
    <n v="21386184"/>
    <s v="Tarjeta"/>
    <n v="2412441"/>
    <n v="633420"/>
    <n v="201902"/>
    <n v="60"/>
    <d v="2016-04-30T00:00:00"/>
    <x v="0"/>
    <n v="3"/>
    <n v="1"/>
    <n v="2"/>
    <n v="1"/>
    <n v="0"/>
  </r>
  <r>
    <n v="8556874"/>
    <s v="Micro pyme"/>
    <n v="22431746"/>
    <s v="Tarjeta"/>
    <n v="4793058"/>
    <n v="1463036"/>
    <n v="7706"/>
    <n v="30"/>
    <d v="2016-05-31T00:00:00"/>
    <x v="1"/>
    <n v="3"/>
    <n v="1"/>
    <n v="2"/>
    <n v="0"/>
    <n v="3853"/>
  </r>
  <r>
    <n v="8556971"/>
    <s v="Micro pyme"/>
    <n v="23736047"/>
    <s v="Tarjeta"/>
    <n v="1042103"/>
    <n v="456247"/>
    <n v="44920"/>
    <n v="30"/>
    <d v="2016-05-31T00:00:00"/>
    <x v="1"/>
    <n v="3"/>
    <n v="0"/>
    <n v="3"/>
    <n v="1"/>
    <n v="0"/>
  </r>
  <r>
    <n v="8557015"/>
    <s v="Micro pyme"/>
    <n v="27004164"/>
    <s v="Tarjeta"/>
    <n v="904862"/>
    <n v="904862"/>
    <n v="904862"/>
    <n v="120"/>
    <d v="2016-05-18T00:00:00"/>
    <x v="2"/>
    <n v="3"/>
    <n v="1"/>
    <n v="2"/>
    <n v="2"/>
    <n v="904862"/>
  </r>
  <r>
    <n v="8557036"/>
    <s v="Micro pyme"/>
    <n v="26395640"/>
    <s v="Tarjeta"/>
    <n v="1465149"/>
    <n v="1465149"/>
    <n v="130713"/>
    <n v="30"/>
    <d v="2016-05-19T00:00:00"/>
    <x v="0"/>
    <n v="3"/>
    <n v="1"/>
    <n v="2"/>
    <n v="0"/>
    <n v="0"/>
  </r>
  <r>
    <n v="8557297"/>
    <s v="Personal"/>
    <n v="25845100"/>
    <s v="Tarjeta"/>
    <n v="4451292"/>
    <n v="3105633"/>
    <n v="440616"/>
    <n v="30"/>
    <d v="2016-05-18T00:00:00"/>
    <x v="0"/>
    <n v="3"/>
    <n v="1"/>
    <n v="2"/>
    <n v="1"/>
    <n v="146872"/>
  </r>
  <r>
    <n v="8557297"/>
    <s v="Personal"/>
    <n v="25846718"/>
    <s v="Tarjeta"/>
    <n v="4451292"/>
    <n v="1345660"/>
    <n v="220535"/>
    <n v="30"/>
    <d v="2016-05-19T00:00:00"/>
    <x v="0"/>
    <n v="3"/>
    <n v="2"/>
    <n v="1"/>
    <n v="0"/>
    <n v="0"/>
  </r>
  <r>
    <n v="8557743"/>
    <s v="Personal"/>
    <n v="23790214"/>
    <s v="Consumo"/>
    <n v="4096875"/>
    <n v="2441202"/>
    <n v="356785"/>
    <n v="90"/>
    <d v="2016-05-07T00:00:00"/>
    <x v="0"/>
    <n v="3"/>
    <n v="1"/>
    <n v="2"/>
    <n v="0"/>
    <n v="0"/>
  </r>
  <r>
    <n v="8557743"/>
    <s v="Personal"/>
    <n v="25042402"/>
    <s v="Tarjeta"/>
    <n v="4096875"/>
    <n v="1655673"/>
    <n v="1655673"/>
    <n v="360"/>
    <d v="2016-03-14T00:00:00"/>
    <x v="0"/>
    <n v="3"/>
    <n v="0"/>
    <n v="3"/>
    <n v="2"/>
    <n v="827836"/>
  </r>
  <r>
    <n v="8557752"/>
    <s v="Micro pyme"/>
    <n v="22994170"/>
    <s v="Tarjeta"/>
    <n v="3186964"/>
    <n v="694509"/>
    <n v="76741"/>
    <n v="30"/>
    <d v="2016-05-18T00:00:00"/>
    <x v="0"/>
    <n v="3"/>
    <n v="1"/>
    <n v="2"/>
    <n v="1"/>
    <n v="0"/>
  </r>
  <r>
    <n v="8557907"/>
    <s v="Micro pyme"/>
    <n v="16361629"/>
    <s v="Tarjeta"/>
    <n v="1381756"/>
    <n v="142033"/>
    <n v="34585"/>
    <n v="30"/>
    <d v="2016-05-28T00:00:00"/>
    <x v="0"/>
    <n v="3"/>
    <n v="1"/>
    <n v="2"/>
    <n v="1"/>
    <n v="0"/>
  </r>
  <r>
    <n v="8557907"/>
    <s v="Micro pyme"/>
    <n v="16362152"/>
    <s v="Tarjeta"/>
    <n v="1381756"/>
    <n v="920197"/>
    <n v="86491"/>
    <n v="30"/>
    <d v="2016-05-19T00:00:00"/>
    <x v="0"/>
    <n v="3"/>
    <n v="1"/>
    <n v="2"/>
    <n v="0"/>
    <n v="28831"/>
  </r>
  <r>
    <n v="8557907"/>
    <s v="Micro pyme"/>
    <n v="16363686"/>
    <s v="Tarjeta"/>
    <n v="1381756"/>
    <n v="319525"/>
    <n v="10954"/>
    <n v="30"/>
    <d v="2016-05-18T00:00:00"/>
    <x v="0"/>
    <n v="3"/>
    <n v="1"/>
    <n v="2"/>
    <n v="0"/>
    <n v="0"/>
  </r>
  <r>
    <n v="8557916"/>
    <s v="Micro pyme"/>
    <n v="26218300"/>
    <s v="Tarjeta"/>
    <n v="458930"/>
    <n v="458930"/>
    <n v="108934"/>
    <n v="30"/>
    <d v="2016-05-31T00:00:00"/>
    <x v="1"/>
    <n v="3"/>
    <n v="0"/>
    <n v="3"/>
    <n v="2"/>
    <n v="0"/>
  </r>
  <r>
    <n v="8557950"/>
    <s v="Micro pyme"/>
    <n v="20970930"/>
    <s v="Tarjeta"/>
    <n v="2044550"/>
    <n v="126022"/>
    <n v="31426"/>
    <n v="60"/>
    <d v="2016-05-01T00:00:00"/>
    <x v="0"/>
    <n v="3"/>
    <n v="1"/>
    <n v="2"/>
    <n v="1"/>
    <n v="0"/>
  </r>
  <r>
    <n v="8558072"/>
    <s v="Micro pyme"/>
    <n v="4392423"/>
    <s v="Tarjeta"/>
    <n v="2632657"/>
    <n v="1802173"/>
    <n v="36158"/>
    <n v="30"/>
    <d v="2016-05-31T00:00:00"/>
    <x v="1"/>
    <n v="3"/>
    <n v="1"/>
    <n v="2"/>
    <n v="1"/>
    <n v="36158"/>
  </r>
  <r>
    <n v="8558124"/>
    <s v="Micro pyme"/>
    <n v="26976651"/>
    <s v="Tarjeta"/>
    <n v="917344"/>
    <n v="917344"/>
    <n v="528039"/>
    <n v="30"/>
    <d v="2016-05-31T00:00:00"/>
    <x v="1"/>
    <n v="3"/>
    <n v="1"/>
    <n v="2"/>
    <n v="0"/>
    <n v="917344"/>
  </r>
  <r>
    <n v="8558363"/>
    <s v="Micro pyme"/>
    <n v="21516779"/>
    <s v="Tarjeta"/>
    <n v="931250"/>
    <n v="23946"/>
    <n v="22970"/>
    <n v="60"/>
    <d v="2016-04-20T00:00:00"/>
    <x v="0"/>
    <n v="3"/>
    <n v="1"/>
    <n v="2"/>
    <n v="0"/>
    <n v="0"/>
  </r>
  <r>
    <n v="8558454"/>
    <s v="Micro pyme"/>
    <n v="20952780"/>
    <s v="Tarjeta"/>
    <n v="1720116"/>
    <n v="1720116"/>
    <n v="49175"/>
    <n v="30"/>
    <d v="2016-06-01T00:00:00"/>
    <x v="0"/>
    <n v="3"/>
    <n v="0"/>
    <n v="3"/>
    <n v="2"/>
    <n v="0"/>
  </r>
  <r>
    <n v="8558498"/>
    <s v="Micro pyme"/>
    <n v="23317795"/>
    <s v="Tarjeta"/>
    <n v="1289853"/>
    <n v="1289853"/>
    <n v="284489"/>
    <n v="90"/>
    <d v="2016-05-18T00:00:00"/>
    <x v="0"/>
    <n v="3"/>
    <n v="1"/>
    <n v="2"/>
    <n v="1"/>
    <n v="284489"/>
  </r>
  <r>
    <n v="8558545"/>
    <s v="Preferencial"/>
    <n v="23658040"/>
    <s v="Tarjeta"/>
    <n v="15969422"/>
    <n v="1066840"/>
    <n v="538676"/>
    <n v="90"/>
    <d v="2016-06-03T00:00:00"/>
    <x v="0"/>
    <n v="3"/>
    <n v="1"/>
    <n v="2"/>
    <n v="1"/>
    <n v="538676"/>
  </r>
  <r>
    <n v="8558545"/>
    <s v="Preferencial"/>
    <n v="23658178"/>
    <s v="Tarjeta"/>
    <n v="15969422"/>
    <n v="2182093"/>
    <n v="531379"/>
    <n v="90"/>
    <d v="2016-05-29T00:00:00"/>
    <x v="0"/>
    <n v="3"/>
    <n v="1"/>
    <n v="2"/>
    <n v="0"/>
    <n v="0"/>
  </r>
  <r>
    <n v="8558545"/>
    <s v="Preferencial"/>
    <n v="26572022"/>
    <s v="Micro credito"/>
    <n v="15969422"/>
    <n v="11653650"/>
    <n v="1212100"/>
    <n v="32"/>
    <d v="2016-05-29T00:00:00"/>
    <x v="0"/>
    <n v="3"/>
    <n v="2"/>
    <n v="1"/>
    <n v="0"/>
    <n v="1212100"/>
  </r>
  <r>
    <n v="8558545"/>
    <s v="Preferencial"/>
    <n v="28583662"/>
    <s v="Tarjeta"/>
    <n v="15969422"/>
    <n v="1066840"/>
    <n v="538676"/>
    <n v="90"/>
    <d v="2016-06-02T00:00:00"/>
    <x v="0"/>
    <n v="3"/>
    <n v="1"/>
    <n v="2"/>
    <n v="1"/>
    <n v="1066840"/>
  </r>
  <r>
    <n v="8558638"/>
    <s v="Personal"/>
    <n v="25961154"/>
    <s v="Tarjeta"/>
    <n v="3687302"/>
    <n v="360719"/>
    <n v="75854"/>
    <n v="30"/>
    <d v="2016-05-18T00:00:00"/>
    <x v="0"/>
    <n v="3"/>
    <n v="0"/>
    <n v="3"/>
    <n v="1"/>
    <n v="360719"/>
  </r>
  <r>
    <n v="8558638"/>
    <s v="Personal"/>
    <n v="25962746"/>
    <s v="Tarjeta"/>
    <n v="3687302"/>
    <n v="124370"/>
    <n v="21760"/>
    <n v="30"/>
    <d v="2016-05-19T00:00:00"/>
    <x v="0"/>
    <n v="3"/>
    <n v="1"/>
    <n v="2"/>
    <n v="2"/>
    <n v="21760"/>
  </r>
  <r>
    <n v="8558638"/>
    <s v="Personal"/>
    <n v="25963644"/>
    <s v="Tarjeta"/>
    <n v="3687302"/>
    <n v="1086116"/>
    <n v="140128"/>
    <n v="30"/>
    <d v="2016-05-18T00:00:00"/>
    <x v="0"/>
    <n v="3"/>
    <n v="1"/>
    <n v="2"/>
    <n v="0"/>
    <n v="70064"/>
  </r>
  <r>
    <n v="8558664"/>
    <s v="Personal"/>
    <n v="16084697"/>
    <s v="Tarjeta"/>
    <n v="4779140"/>
    <n v="910114"/>
    <n v="121857"/>
    <n v="30"/>
    <d v="2016-05-18T00:00:00"/>
    <x v="0"/>
    <n v="3"/>
    <n v="1"/>
    <n v="2"/>
    <n v="0"/>
    <n v="0"/>
  </r>
  <r>
    <n v="8558664"/>
    <s v="Personal"/>
    <n v="20541812"/>
    <s v="Tarjeta"/>
    <n v="4779140"/>
    <n v="1722950"/>
    <n v="226652"/>
    <n v="30"/>
    <d v="2016-05-18T00:00:00"/>
    <x v="0"/>
    <n v="3"/>
    <n v="1"/>
    <n v="2"/>
    <n v="1"/>
    <n v="0"/>
  </r>
  <r>
    <n v="8558900"/>
    <s v="Micro pyme"/>
    <n v="25301860"/>
    <s v="Tarjeta"/>
    <n v="5271255"/>
    <n v="2707230"/>
    <n v="109945"/>
    <n v="30"/>
    <d v="2016-05-31T00:00:00"/>
    <x v="1"/>
    <n v="3"/>
    <n v="0"/>
    <n v="3"/>
    <n v="1"/>
    <n v="36649"/>
  </r>
  <r>
    <n v="8559026"/>
    <s v="Preferencial"/>
    <n v="25923877"/>
    <s v="Sobregiro"/>
    <n v="30064054"/>
    <n v="944084"/>
    <n v="944084"/>
    <n v="68"/>
    <d v="2016-04-17T00:00:00"/>
    <x v="2"/>
    <n v="3"/>
    <n v="1"/>
    <n v="2"/>
    <n v="2"/>
    <n v="472042"/>
  </r>
  <r>
    <n v="8559026"/>
    <s v="Preferencial"/>
    <n v="25934012"/>
    <s v="Consumo"/>
    <n v="30064054"/>
    <n v="17725202"/>
    <n v="1447899"/>
    <n v="20"/>
    <d v="2016-05-20T00:00:00"/>
    <x v="2"/>
    <n v="3"/>
    <n v="1"/>
    <n v="2"/>
    <n v="0"/>
    <n v="723950"/>
  </r>
  <r>
    <n v="8559026"/>
    <s v="Preferencial"/>
    <n v="25942733"/>
    <s v="Tarjeta"/>
    <n v="30064054"/>
    <n v="2071620"/>
    <n v="537367"/>
    <n v="60"/>
    <d v="2016-04-20T00:00:00"/>
    <x v="2"/>
    <n v="3"/>
    <n v="1"/>
    <n v="2"/>
    <n v="0"/>
    <n v="0"/>
  </r>
  <r>
    <m/>
    <m/>
    <m/>
    <m/>
    <m/>
    <m/>
    <m/>
    <m/>
    <m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1">
  <r>
    <n v="8085392"/>
    <x v="0"/>
    <n v="27892052"/>
    <s v="Tarjeta"/>
    <n v="4531735"/>
    <n v="1825484"/>
    <n v="28374"/>
    <n v="30"/>
    <d v="2016-05-19T00:00:00"/>
    <s v="Empresa C"/>
    <n v="3"/>
    <n v="1"/>
    <n v="2"/>
    <n v="1"/>
    <n v="0"/>
    <x v="0"/>
    <n v="0"/>
  </r>
  <r>
    <n v="8085687"/>
    <x v="0"/>
    <n v="27777136"/>
    <s v="Tarjeta"/>
    <n v="568630"/>
    <n v="568630"/>
    <n v="93751"/>
    <n v="30"/>
    <d v="2016-05-31T00:00:00"/>
    <s v="Empresa A"/>
    <n v="3"/>
    <n v="0"/>
    <n v="3"/>
    <n v="1"/>
    <n v="46876"/>
    <x v="1"/>
    <n v="8.2436733904296289E-2"/>
  </r>
  <r>
    <n v="8085706"/>
    <x v="0"/>
    <n v="25794246"/>
    <s v="Tarjeta"/>
    <n v="2169491"/>
    <n v="1336171"/>
    <n v="48365"/>
    <n v="30"/>
    <d v="2016-05-31T00:00:00"/>
    <s v="Empresa A"/>
    <n v="3"/>
    <n v="1"/>
    <n v="2"/>
    <n v="2"/>
    <n v="0"/>
    <x v="0"/>
    <n v="0"/>
  </r>
  <r>
    <n v="8088495"/>
    <x v="1"/>
    <n v="21175250"/>
    <s v="Tarjeta"/>
    <n v="10721876"/>
    <n v="6144033"/>
    <n v="6144033"/>
    <n v="120"/>
    <d v="2016-05-18T00:00:00"/>
    <s v="Empresa B"/>
    <n v="3"/>
    <n v="1"/>
    <n v="2"/>
    <n v="0"/>
    <n v="6144033"/>
    <x v="2"/>
    <n v="1"/>
  </r>
  <r>
    <n v="8088495"/>
    <x v="1"/>
    <n v="25700352"/>
    <s v="Tarjeta"/>
    <n v="10721876"/>
    <n v="3803643"/>
    <n v="3803643"/>
    <n v="120"/>
    <d v="2016-05-18T00:00:00"/>
    <s v="Empresa B"/>
    <n v="3"/>
    <n v="1"/>
    <n v="2"/>
    <n v="0"/>
    <n v="1901822"/>
    <x v="1"/>
    <n v="0.50000013145292554"/>
  </r>
  <r>
    <n v="8088899"/>
    <x v="0"/>
    <n v="26370037"/>
    <s v="Tarjeta"/>
    <n v="1959887"/>
    <n v="1959887"/>
    <n v="1959887"/>
    <n v="150"/>
    <d v="2016-05-19T00:00:00"/>
    <s v="Empresa B"/>
    <n v="3"/>
    <n v="1"/>
    <n v="2"/>
    <n v="1"/>
    <n v="653296"/>
    <x v="3"/>
    <n v="0.33333350341116608"/>
  </r>
  <r>
    <n v="8089371"/>
    <x v="1"/>
    <n v="21887785"/>
    <s v="Tarjeta"/>
    <n v="3595049"/>
    <n v="1565575"/>
    <n v="183019"/>
    <n v="30"/>
    <d v="2016-05-31T00:00:00"/>
    <s v="Empresa A"/>
    <n v="3"/>
    <n v="0"/>
    <n v="3"/>
    <n v="1"/>
    <n v="0"/>
    <x v="0"/>
    <n v="0"/>
  </r>
  <r>
    <n v="8089371"/>
    <x v="1"/>
    <n v="24378718"/>
    <s v="Tarjeta"/>
    <n v="3595049"/>
    <n v="2029474"/>
    <n v="213568"/>
    <n v="30"/>
    <d v="2016-05-31T00:00:00"/>
    <s v="Empresa A"/>
    <n v="3"/>
    <n v="1"/>
    <n v="2"/>
    <n v="2"/>
    <n v="213568"/>
    <x v="2"/>
    <n v="0.10523317864628963"/>
  </r>
  <r>
    <n v="8089696"/>
    <x v="1"/>
    <n v="16084748"/>
    <s v="Tarjeta"/>
    <n v="5498500"/>
    <n v="1270224"/>
    <n v="108134"/>
    <n v="30"/>
    <d v="2016-05-18T00:00:00"/>
    <s v="Empresa C"/>
    <n v="3"/>
    <n v="1"/>
    <n v="2"/>
    <n v="0"/>
    <n v="0"/>
    <x v="0"/>
    <n v="0"/>
  </r>
  <r>
    <n v="8089696"/>
    <x v="1"/>
    <n v="20145473"/>
    <s v="Tarjeta"/>
    <n v="5498500"/>
    <n v="2115936"/>
    <n v="68545"/>
    <n v="30"/>
    <d v="2016-05-18T00:00:00"/>
    <s v="Empresa C"/>
    <n v="3"/>
    <n v="1"/>
    <n v="2"/>
    <n v="0"/>
    <n v="0"/>
    <x v="0"/>
    <n v="0"/>
  </r>
  <r>
    <n v="8089696"/>
    <x v="1"/>
    <n v="20146321"/>
    <s v="Tarjeta"/>
    <n v="5498500"/>
    <n v="2112340"/>
    <n v="91643"/>
    <n v="30"/>
    <d v="2016-05-19T00:00:00"/>
    <s v="Empresa C"/>
    <n v="3"/>
    <n v="1"/>
    <n v="2"/>
    <n v="1"/>
    <n v="91643"/>
    <x v="2"/>
    <n v="4.3384587708418153E-2"/>
  </r>
  <r>
    <n v="8089801"/>
    <x v="1"/>
    <n v="26958913"/>
    <s v="Tarjeta"/>
    <n v="3908903"/>
    <n v="1930237"/>
    <n v="324883"/>
    <n v="90"/>
    <d v="2016-05-18T00:00:00"/>
    <s v="Empresa C"/>
    <n v="3"/>
    <n v="0"/>
    <n v="3"/>
    <n v="1"/>
    <n v="0"/>
    <x v="0"/>
    <n v="0"/>
  </r>
  <r>
    <n v="8089801"/>
    <x v="1"/>
    <n v="26967590"/>
    <s v="Tarjeta"/>
    <n v="3908903"/>
    <n v="1978665"/>
    <n v="382382"/>
    <n v="90"/>
    <d v="2016-05-18T00:00:00"/>
    <s v="Empresa C"/>
    <n v="3"/>
    <n v="1"/>
    <n v="2"/>
    <n v="2"/>
    <n v="127460"/>
    <x v="3"/>
    <n v="6.4417170162710716E-2"/>
  </r>
  <r>
    <n v="8090100"/>
    <x v="0"/>
    <n v="25579254"/>
    <s v="Tarjeta"/>
    <n v="1081271"/>
    <n v="1081271"/>
    <n v="1081271"/>
    <n v="180"/>
    <d v="2016-05-01T00:00:00"/>
    <s v="Empresa B"/>
    <n v="3"/>
    <n v="1"/>
    <n v="2"/>
    <n v="0"/>
    <n v="0"/>
    <x v="0"/>
    <n v="0"/>
  </r>
  <r>
    <n v="8090327"/>
    <x v="0"/>
    <n v="24060799"/>
    <s v="Tarjeta"/>
    <n v="726156"/>
    <n v="726156"/>
    <n v="241174"/>
    <n v="60"/>
    <d v="2016-04-20T00:00:00"/>
    <s v="Empresa C"/>
    <n v="3"/>
    <n v="1"/>
    <n v="2"/>
    <n v="0"/>
    <n v="0"/>
    <x v="0"/>
    <n v="0"/>
  </r>
  <r>
    <n v="8090376"/>
    <x v="1"/>
    <n v="28116836"/>
    <s v="Tarjeta"/>
    <n v="12801111"/>
    <n v="3410156"/>
    <n v="489522"/>
    <n v="60"/>
    <d v="2016-05-01T00:00:00"/>
    <s v="Empresa C"/>
    <n v="3"/>
    <n v="2"/>
    <n v="1"/>
    <n v="1"/>
    <n v="489522"/>
    <x v="2"/>
    <n v="0.14354827169196951"/>
  </r>
  <r>
    <n v="8090702"/>
    <x v="0"/>
    <n v="26143640"/>
    <s v="Tarjeta"/>
    <n v="577181"/>
    <n v="577181"/>
    <n v="65826"/>
    <n v="30"/>
    <d v="2016-05-18T00:00:00"/>
    <s v="Empresa C"/>
    <n v="3"/>
    <n v="1"/>
    <n v="2"/>
    <n v="0"/>
    <n v="65826"/>
    <x v="2"/>
    <n v="0.11404741320313731"/>
  </r>
  <r>
    <n v="8090807"/>
    <x v="0"/>
    <n v="24076434"/>
    <s v="Tarjeta"/>
    <n v="634514"/>
    <n v="634514"/>
    <n v="105924"/>
    <n v="30"/>
    <d v="2016-05-18T00:00:00"/>
    <s v="Empresa C"/>
    <n v="3"/>
    <n v="0"/>
    <n v="3"/>
    <n v="2"/>
    <n v="0"/>
    <x v="0"/>
    <n v="0"/>
  </r>
  <r>
    <n v="8091415"/>
    <x v="0"/>
    <n v="26388699"/>
    <s v="Tarjeta"/>
    <n v="1961782"/>
    <n v="1070425"/>
    <n v="119184"/>
    <n v="60"/>
    <d v="2016-04-21T00:00:00"/>
    <s v="Empresa C"/>
    <n v="3"/>
    <n v="1"/>
    <n v="2"/>
    <n v="1"/>
    <n v="0"/>
    <x v="0"/>
    <n v="0"/>
  </r>
  <r>
    <n v="8091415"/>
    <x v="0"/>
    <n v="28543492"/>
    <s v="Tarjeta"/>
    <n v="1961782"/>
    <n v="891357"/>
    <n v="51253"/>
    <n v="30"/>
    <d v="2016-06-02T00:00:00"/>
    <s v="Empresa C"/>
    <n v="3"/>
    <n v="1"/>
    <n v="2"/>
    <n v="0"/>
    <n v="0"/>
    <x v="0"/>
    <n v="0"/>
  </r>
  <r>
    <n v="8091720"/>
    <x v="2"/>
    <n v="25710171"/>
    <s v="Tarjeta"/>
    <n v="20409234"/>
    <n v="4068219"/>
    <n v="551735"/>
    <n v="30"/>
    <d v="2016-05-18T00:00:00"/>
    <s v="Empresa C"/>
    <n v="3"/>
    <n v="1"/>
    <n v="2"/>
    <n v="1"/>
    <n v="0"/>
    <x v="0"/>
    <n v="0"/>
  </r>
  <r>
    <n v="8091720"/>
    <x v="2"/>
    <n v="25711212"/>
    <s v="Tarjeta"/>
    <n v="20409234"/>
    <n v="3022366"/>
    <n v="1286278"/>
    <n v="90"/>
    <d v="2016-05-18T00:00:00"/>
    <s v="Empresa C"/>
    <n v="3"/>
    <n v="1"/>
    <n v="2"/>
    <n v="0"/>
    <n v="1286278"/>
    <x v="2"/>
    <n v="0.4255864445272346"/>
  </r>
  <r>
    <n v="8091720"/>
    <x v="2"/>
    <n v="25711791"/>
    <s v="Tarjeta"/>
    <n v="20409234"/>
    <n v="6752322"/>
    <n v="1226946"/>
    <n v="90"/>
    <d v="2016-05-18T00:00:00"/>
    <s v="Empresa C"/>
    <n v="3"/>
    <n v="0"/>
    <n v="3"/>
    <n v="2"/>
    <n v="613473"/>
    <x v="1"/>
    <n v="9.0853635238366884E-2"/>
  </r>
  <r>
    <n v="8092203"/>
    <x v="0"/>
    <n v="27368714"/>
    <s v="Tarjeta"/>
    <n v="1640018"/>
    <n v="1640018"/>
    <n v="45380"/>
    <n v="30"/>
    <d v="2016-05-31T00:00:00"/>
    <s v="Empresa A"/>
    <n v="3"/>
    <n v="1"/>
    <n v="2"/>
    <n v="1"/>
    <n v="1640018"/>
    <x v="2"/>
    <n v="1"/>
  </r>
  <r>
    <n v="8092365"/>
    <x v="0"/>
    <n v="26716493"/>
    <s v="Tarjeta"/>
    <n v="1440570"/>
    <n v="1440570"/>
    <n v="133848"/>
    <n v="30"/>
    <d v="2016-05-31T00:00:00"/>
    <s v="Empresa A"/>
    <n v="3"/>
    <n v="1"/>
    <n v="2"/>
    <n v="0"/>
    <n v="44616"/>
    <x v="3"/>
    <n v="3.0971073949894835E-2"/>
  </r>
  <r>
    <n v="8120004"/>
    <x v="0"/>
    <n v="27770039"/>
    <s v="Tarjeta"/>
    <n v="934528"/>
    <n v="323819"/>
    <n v="68141"/>
    <n v="30"/>
    <d v="2016-05-19T00:00:00"/>
    <s v="Empresa C"/>
    <n v="3"/>
    <n v="1"/>
    <n v="2"/>
    <n v="1"/>
    <n v="0"/>
    <x v="0"/>
    <n v="0"/>
  </r>
  <r>
    <n v="8120077"/>
    <x v="0"/>
    <n v="23053023"/>
    <s v="Tarjeta"/>
    <n v="2420324"/>
    <n v="205309"/>
    <n v="205309"/>
    <n v="150"/>
    <d v="2016-04-20T00:00:00"/>
    <s v="Empresa B"/>
    <n v="3"/>
    <n v="1"/>
    <n v="2"/>
    <n v="0"/>
    <n v="205309"/>
    <x v="2"/>
    <n v="1"/>
  </r>
  <r>
    <n v="8120077"/>
    <x v="0"/>
    <n v="23102782"/>
    <s v="Tarjeta"/>
    <n v="2420324"/>
    <n v="2215015"/>
    <n v="2215015"/>
    <n v="150"/>
    <d v="2016-04-27T00:00:00"/>
    <s v="Empresa B"/>
    <n v="3"/>
    <n v="0"/>
    <n v="3"/>
    <n v="2"/>
    <n v="0"/>
    <x v="0"/>
    <n v="0"/>
  </r>
  <r>
    <n v="8120123"/>
    <x v="0"/>
    <n v="24060274"/>
    <s v="Tarjeta"/>
    <n v="1788407"/>
    <n v="320799"/>
    <n v="116536"/>
    <n v="30"/>
    <d v="2016-05-31T00:00:00"/>
    <s v="Empresa A"/>
    <n v="3"/>
    <n v="1"/>
    <n v="2"/>
    <n v="1"/>
    <n v="0"/>
    <x v="0"/>
    <n v="0"/>
  </r>
  <r>
    <n v="8120123"/>
    <x v="0"/>
    <n v="24378668"/>
    <s v="Tarjeta"/>
    <n v="1788407"/>
    <n v="1467608"/>
    <n v="197364"/>
    <n v="30"/>
    <d v="2016-05-31T00:00:00"/>
    <s v="Empresa A"/>
    <n v="3"/>
    <n v="1"/>
    <n v="2"/>
    <n v="0"/>
    <n v="0"/>
    <x v="0"/>
    <n v="0"/>
  </r>
  <r>
    <n v="8120258"/>
    <x v="0"/>
    <n v="22218377"/>
    <s v="Tarjeta"/>
    <n v="1412302"/>
    <n v="1412302"/>
    <n v="1412302"/>
    <n v="360"/>
    <d v="2016-03-14T00:00:00"/>
    <s v="Empresa B"/>
    <n v="3"/>
    <n v="1"/>
    <n v="2"/>
    <n v="1"/>
    <n v="1412302"/>
    <x v="2"/>
    <n v="1"/>
  </r>
  <r>
    <n v="8120280"/>
    <x v="1"/>
    <n v="17490411"/>
    <s v="Tarjeta"/>
    <n v="10326033"/>
    <n v="5680456"/>
    <n v="813887"/>
    <n v="30"/>
    <d v="2016-05-31T00:00:00"/>
    <s v="Empresa A"/>
    <n v="3"/>
    <n v="2"/>
    <n v="1"/>
    <n v="0"/>
    <n v="0"/>
    <x v="0"/>
    <n v="0"/>
  </r>
  <r>
    <n v="8120338"/>
    <x v="2"/>
    <n v="25641175"/>
    <s v="Hipotercario"/>
    <n v="113947293"/>
    <n v="111268433"/>
    <n v="1264807"/>
    <n v="16"/>
    <d v="2016-05-25T00:00:00"/>
    <s v="Empresa C"/>
    <n v="3"/>
    <n v="1"/>
    <n v="2"/>
    <n v="1"/>
    <n v="0"/>
    <x v="0"/>
    <n v="0"/>
  </r>
  <r>
    <n v="8120338"/>
    <x v="2"/>
    <n v="27451233"/>
    <s v="Tarjeta"/>
    <n v="113947293"/>
    <n v="2678861"/>
    <n v="335289"/>
    <n v="30"/>
    <d v="2016-05-29T00:00:00"/>
    <s v="Empresa C"/>
    <n v="3"/>
    <n v="0"/>
    <n v="3"/>
    <n v="1"/>
    <n v="335289"/>
    <x v="2"/>
    <n v="0.12516102925833031"/>
  </r>
  <r>
    <n v="8120351"/>
    <x v="1"/>
    <n v="25400500"/>
    <s v="Tarjeta"/>
    <n v="2878695"/>
    <n v="1338193"/>
    <n v="16578"/>
    <n v="30"/>
    <d v="2016-05-19T00:00:00"/>
    <s v="Empresa C"/>
    <n v="3"/>
    <n v="1"/>
    <n v="2"/>
    <n v="1"/>
    <n v="0"/>
    <x v="0"/>
    <n v="0"/>
  </r>
  <r>
    <n v="8120351"/>
    <x v="1"/>
    <n v="25402114"/>
    <s v="Tarjeta"/>
    <n v="2878695"/>
    <n v="1540501"/>
    <n v="130255"/>
    <n v="30"/>
    <d v="2016-05-18T00:00:00"/>
    <s v="Empresa C"/>
    <n v="3"/>
    <n v="1"/>
    <n v="2"/>
    <n v="1"/>
    <n v="0"/>
    <x v="0"/>
    <n v="0"/>
  </r>
  <r>
    <n v="8120504"/>
    <x v="1"/>
    <n v="25516208"/>
    <s v="Tarjeta"/>
    <n v="7991195"/>
    <n v="3468196"/>
    <n v="431460"/>
    <n v="30"/>
    <d v="2016-05-31T00:00:00"/>
    <s v="Empresa A"/>
    <n v="3"/>
    <n v="1"/>
    <n v="2"/>
    <n v="0"/>
    <n v="215730"/>
    <x v="1"/>
    <n v="6.2202366878919182E-2"/>
  </r>
  <r>
    <n v="8120567"/>
    <x v="0"/>
    <n v="21872767"/>
    <s v="Tarjeta"/>
    <n v="2637659"/>
    <n v="2637659"/>
    <n v="351945"/>
    <n v="30"/>
    <d v="2016-05-18T00:00:00"/>
    <s v="Empresa C"/>
    <n v="3"/>
    <n v="1"/>
    <n v="2"/>
    <n v="1"/>
    <n v="0"/>
    <x v="0"/>
    <n v="0"/>
  </r>
  <r>
    <n v="8120613"/>
    <x v="0"/>
    <n v="15453603"/>
    <s v="Tarjeta"/>
    <n v="2164914"/>
    <n v="2164914"/>
    <n v="2164914"/>
    <n v="150"/>
    <d v="2016-06-03T00:00:00"/>
    <s v="Empresa B"/>
    <n v="3"/>
    <n v="0"/>
    <n v="3"/>
    <n v="1"/>
    <n v="721638"/>
    <x v="3"/>
    <n v="0.33333333333333331"/>
  </r>
  <r>
    <n v="8120615"/>
    <x v="0"/>
    <n v="20326533"/>
    <s v="Tarjeta"/>
    <n v="1106234"/>
    <n v="1106234"/>
    <n v="1106234"/>
    <n v="360"/>
    <d v="2016-04-25T00:00:00"/>
    <s v="Empresa B"/>
    <n v="3"/>
    <n v="1"/>
    <n v="2"/>
    <n v="1"/>
    <n v="0"/>
    <x v="0"/>
    <n v="0"/>
  </r>
  <r>
    <n v="8120642"/>
    <x v="0"/>
    <n v="27997023"/>
    <s v="Tarjeta"/>
    <n v="2743000"/>
    <n v="2743000"/>
    <n v="268763"/>
    <n v="30"/>
    <d v="2016-05-19T00:00:00"/>
    <s v="Empresa C"/>
    <n v="3"/>
    <n v="1"/>
    <n v="2"/>
    <n v="1"/>
    <n v="268763"/>
    <x v="2"/>
    <n v="9.7981407218374048E-2"/>
  </r>
  <r>
    <n v="8120741"/>
    <x v="2"/>
    <n v="22880917"/>
    <s v="Tarjeta"/>
    <n v="32697109"/>
    <n v="894762"/>
    <n v="201679"/>
    <n v="60"/>
    <d v="2016-04-27T00:00:00"/>
    <s v="Empresa C"/>
    <n v="3"/>
    <n v="1"/>
    <n v="2"/>
    <n v="0"/>
    <n v="100840"/>
    <x v="1"/>
    <n v="0.11270036054280357"/>
  </r>
  <r>
    <n v="8120773"/>
    <x v="1"/>
    <n v="16069377"/>
    <s v="Tarjeta"/>
    <n v="6608687"/>
    <n v="3792766"/>
    <n v="933729"/>
    <n v="60"/>
    <d v="2016-04-20T00:00:00"/>
    <s v="Empresa C"/>
    <n v="3"/>
    <n v="1"/>
    <n v="2"/>
    <n v="1"/>
    <n v="3792766"/>
    <x v="2"/>
    <n v="1"/>
  </r>
  <r>
    <n v="8120773"/>
    <x v="1"/>
    <n v="19003063"/>
    <s v="Libranza"/>
    <n v="6608687"/>
    <n v="2815922"/>
    <n v="269289"/>
    <n v="7"/>
    <d v="2016-06-02T00:00:00"/>
    <s v="Empresa C"/>
    <n v="3"/>
    <n v="0"/>
    <n v="3"/>
    <n v="1"/>
    <n v="269289"/>
    <x v="2"/>
    <n v="9.5630844888459271E-2"/>
  </r>
  <r>
    <n v="8120833"/>
    <x v="1"/>
    <n v="24374772"/>
    <s v="Tarjeta"/>
    <n v="6153747"/>
    <n v="650182"/>
    <n v="650182"/>
    <n v="210"/>
    <d v="2016-03-18T00:00:00"/>
    <s v="Empresa B"/>
    <n v="3"/>
    <n v="1"/>
    <n v="2"/>
    <n v="1"/>
    <n v="650182"/>
    <x v="2"/>
    <n v="1"/>
  </r>
  <r>
    <n v="8120848"/>
    <x v="2"/>
    <n v="25950361"/>
    <s v="Tarjeta"/>
    <n v="85083072"/>
    <n v="919131"/>
    <n v="919131"/>
    <n v="60"/>
    <d v="2016-05-28T00:00:00"/>
    <s v="Empresa C"/>
    <n v="3"/>
    <n v="1"/>
    <n v="2"/>
    <n v="1"/>
    <n v="919131"/>
    <x v="2"/>
    <n v="1"/>
  </r>
  <r>
    <n v="8120848"/>
    <x v="2"/>
    <n v="27351285"/>
    <s v="Hipotercario"/>
    <n v="85083072"/>
    <n v="83158465"/>
    <n v="2577610"/>
    <n v="116"/>
    <d v="2016-05-28T00:00:00"/>
    <s v="Empresa C"/>
    <n v="3"/>
    <n v="1"/>
    <n v="2"/>
    <n v="0"/>
    <n v="83158465"/>
    <x v="2"/>
    <n v="1"/>
  </r>
  <r>
    <n v="8120848"/>
    <x v="2"/>
    <n v="28586063"/>
    <s v="Tarjeta"/>
    <n v="85083072"/>
    <n v="1005475"/>
    <n v="455695"/>
    <n v="90"/>
    <d v="2016-06-02T00:00:00"/>
    <s v="Empresa C"/>
    <n v="3"/>
    <n v="2"/>
    <n v="1"/>
    <n v="1"/>
    <n v="151898"/>
    <x v="3"/>
    <n v="0.15107088689425396"/>
  </r>
  <r>
    <n v="8120977"/>
    <x v="0"/>
    <n v="25568684"/>
    <s v="Tarjeta"/>
    <n v="3059201"/>
    <n v="3059201"/>
    <n v="226541"/>
    <n v="30"/>
    <d v="2016-05-31T00:00:00"/>
    <s v="Empresa A"/>
    <n v="3"/>
    <n v="1"/>
    <n v="2"/>
    <n v="0"/>
    <n v="226541"/>
    <x v="2"/>
    <n v="7.4052342425358783E-2"/>
  </r>
  <r>
    <n v="8121172"/>
    <x v="1"/>
    <n v="15535226"/>
    <s v="Tarjeta"/>
    <n v="5244294"/>
    <n v="1749585"/>
    <n v="1749585"/>
    <n v="150"/>
    <d v="2016-05-18T00:00:00"/>
    <s v="Empresa B"/>
    <n v="3"/>
    <n v="0"/>
    <n v="3"/>
    <n v="1"/>
    <n v="1749585"/>
    <x v="2"/>
    <n v="1"/>
  </r>
  <r>
    <n v="8121172"/>
    <x v="1"/>
    <n v="20238795"/>
    <s v="Tarjeta"/>
    <n v="5244294"/>
    <n v="1221570"/>
    <n v="1221570"/>
    <n v="180"/>
    <d v="2016-04-20T00:00:00"/>
    <s v="Empresa B"/>
    <n v="3"/>
    <n v="1"/>
    <n v="2"/>
    <n v="2"/>
    <n v="407190"/>
    <x v="3"/>
    <n v="0.33333333333333331"/>
  </r>
  <r>
    <n v="8121247"/>
    <x v="1"/>
    <n v="1689560"/>
    <s v="Tarjeta"/>
    <n v="2978984"/>
    <n v="1510425"/>
    <n v="254769"/>
    <n v="30"/>
    <d v="2016-05-31T00:00:00"/>
    <s v="Empresa A"/>
    <n v="3"/>
    <n v="1"/>
    <n v="2"/>
    <n v="0"/>
    <n v="0"/>
    <x v="0"/>
    <n v="0"/>
  </r>
  <r>
    <n v="8121247"/>
    <x v="1"/>
    <n v="28582863"/>
    <s v="Tarjeta"/>
    <n v="2978984"/>
    <n v="1468559"/>
    <n v="205836"/>
    <n v="30"/>
    <d v="2016-06-02T00:00:00"/>
    <s v="Empresa A"/>
    <n v="3"/>
    <n v="1"/>
    <n v="2"/>
    <n v="1"/>
    <n v="0"/>
    <x v="0"/>
    <n v="0"/>
  </r>
  <r>
    <n v="8121396"/>
    <x v="0"/>
    <n v="25634049"/>
    <s v="Tarjeta"/>
    <n v="196700"/>
    <n v="196700"/>
    <n v="8950"/>
    <n v="30"/>
    <d v="2016-05-31T00:00:00"/>
    <s v="Empresa A"/>
    <n v="3"/>
    <n v="1"/>
    <n v="2"/>
    <n v="0"/>
    <n v="0"/>
    <x v="0"/>
    <n v="0"/>
  </r>
  <r>
    <n v="8121437"/>
    <x v="0"/>
    <n v="21978793"/>
    <s v="Tarjeta"/>
    <n v="1304995"/>
    <n v="1304995"/>
    <n v="1304995"/>
    <n v="120"/>
    <d v="2016-05-18T00:00:00"/>
    <s v="Empresa B"/>
    <n v="3"/>
    <n v="0"/>
    <n v="3"/>
    <n v="1"/>
    <n v="1304995"/>
    <x v="2"/>
    <n v="1"/>
  </r>
  <r>
    <n v="8121787"/>
    <x v="0"/>
    <n v="28250237"/>
    <s v="Tarjeta"/>
    <n v="297380"/>
    <n v="297380"/>
    <n v="38527"/>
    <n v="30"/>
    <d v="2016-05-31T00:00:00"/>
    <s v="Empresa A"/>
    <n v="3"/>
    <n v="1"/>
    <n v="2"/>
    <n v="2"/>
    <n v="38527"/>
    <x v="2"/>
    <n v="0.12955477839800927"/>
  </r>
  <r>
    <n v="8122348"/>
    <x v="1"/>
    <n v="23138110"/>
    <s v="Tarjeta"/>
    <n v="7377150"/>
    <n v="1312367"/>
    <n v="35203"/>
    <n v="30"/>
    <d v="2016-05-19T00:00:00"/>
    <s v="Empresa C"/>
    <n v="3"/>
    <n v="1"/>
    <n v="2"/>
    <n v="0"/>
    <n v="17602"/>
    <x v="1"/>
    <n v="1.3412406742930903E-2"/>
  </r>
  <r>
    <n v="8122348"/>
    <x v="1"/>
    <n v="27354461"/>
    <s v="Tarjeta"/>
    <n v="7377150"/>
    <n v="999534"/>
    <n v="28207"/>
    <n v="30"/>
    <d v="2016-05-18T00:00:00"/>
    <s v="Empresa C"/>
    <n v="3"/>
    <n v="1"/>
    <n v="2"/>
    <n v="1"/>
    <n v="9402"/>
    <x v="3"/>
    <n v="9.4063833746525875E-3"/>
  </r>
  <r>
    <n v="8122438"/>
    <x v="2"/>
    <n v="25825719"/>
    <s v="Tarjeta"/>
    <n v="14859276"/>
    <n v="477199"/>
    <n v="76390"/>
    <n v="30"/>
    <d v="2016-05-28T00:00:00"/>
    <s v="Empresa C"/>
    <n v="3"/>
    <n v="1"/>
    <n v="2"/>
    <n v="0"/>
    <n v="38195"/>
    <x v="1"/>
    <n v="8.003998331932799E-2"/>
  </r>
  <r>
    <n v="8122438"/>
    <x v="2"/>
    <n v="27451551"/>
    <s v="Tarjeta"/>
    <n v="14859276"/>
    <n v="2519662"/>
    <n v="321860"/>
    <n v="30"/>
    <d v="2016-05-18T00:00:00"/>
    <s v="Empresa C"/>
    <n v="3"/>
    <n v="0"/>
    <n v="3"/>
    <n v="1"/>
    <n v="0"/>
    <x v="0"/>
    <n v="0"/>
  </r>
  <r>
    <n v="8122952"/>
    <x v="2"/>
    <n v="26844999"/>
    <s v="Tarjeta"/>
    <n v="10212975"/>
    <n v="2064425"/>
    <n v="609334"/>
    <n v="60"/>
    <d v="2016-05-17T00:00:00"/>
    <s v="Empresa C"/>
    <n v="3"/>
    <n v="1"/>
    <n v="2"/>
    <n v="2"/>
    <n v="304667"/>
    <x v="1"/>
    <n v="0.14757959238044491"/>
  </r>
  <r>
    <n v="8122952"/>
    <x v="2"/>
    <n v="27342408"/>
    <s v="Tarjeta"/>
    <n v="10212975"/>
    <n v="2711820"/>
    <n v="483786"/>
    <n v="60"/>
    <d v="2016-05-17T00:00:00"/>
    <s v="Empresa C"/>
    <n v="3"/>
    <n v="1"/>
    <n v="2"/>
    <n v="0"/>
    <n v="483786"/>
    <x v="2"/>
    <n v="0.17839900878376883"/>
  </r>
  <r>
    <n v="8122952"/>
    <x v="2"/>
    <n v="27362528"/>
    <s v="Consumo"/>
    <n v="10212975"/>
    <n v="5436730"/>
    <n v="498016"/>
    <n v="83"/>
    <d v="2016-05-17T00:00:00"/>
    <s v="Empresa C"/>
    <n v="3"/>
    <n v="1"/>
    <n v="2"/>
    <n v="1"/>
    <n v="0"/>
    <x v="0"/>
    <n v="0"/>
  </r>
  <r>
    <n v="8123013"/>
    <x v="0"/>
    <n v="27748497"/>
    <s v="Tarjeta"/>
    <n v="579616"/>
    <n v="579616"/>
    <n v="24259"/>
    <n v="30"/>
    <d v="2016-05-18T00:00:00"/>
    <s v="Empresa C"/>
    <n v="3"/>
    <n v="2"/>
    <n v="1"/>
    <n v="0"/>
    <n v="0"/>
    <x v="0"/>
    <n v="0"/>
  </r>
  <r>
    <n v="8140803"/>
    <x v="0"/>
    <n v="16471105"/>
    <s v="Tarjeta"/>
    <n v="1779003"/>
    <n v="1779003"/>
    <n v="253535"/>
    <n v="30"/>
    <d v="2016-05-18T00:00:00"/>
    <s v="Empresa C"/>
    <n v="3"/>
    <n v="1"/>
    <n v="2"/>
    <n v="0"/>
    <n v="0"/>
    <x v="0"/>
    <n v="0"/>
  </r>
  <r>
    <n v="8140967"/>
    <x v="1"/>
    <n v="1261260"/>
    <s v="Tarjeta"/>
    <n v="2905211"/>
    <n v="1459649"/>
    <n v="39390"/>
    <n v="30"/>
    <d v="2016-05-19T00:00:00"/>
    <s v="Empresa C"/>
    <n v="3"/>
    <n v="0"/>
    <n v="3"/>
    <n v="2"/>
    <n v="0"/>
    <x v="0"/>
    <n v="0"/>
  </r>
  <r>
    <n v="8140967"/>
    <x v="1"/>
    <n v="1261261"/>
    <s v="Tarjeta"/>
    <n v="2905211"/>
    <n v="1445561"/>
    <n v="36913"/>
    <n v="30"/>
    <d v="2016-05-28T00:00:00"/>
    <s v="Empresa C"/>
    <n v="3"/>
    <n v="1"/>
    <n v="2"/>
    <n v="1"/>
    <n v="0"/>
    <x v="0"/>
    <n v="0"/>
  </r>
  <r>
    <n v="8141368"/>
    <x v="0"/>
    <n v="21108707"/>
    <s v="Tarjeta"/>
    <n v="638651"/>
    <n v="432742"/>
    <n v="432742"/>
    <n v="180"/>
    <d v="2016-04-20T00:00:00"/>
    <s v="Empresa B"/>
    <n v="3"/>
    <n v="1"/>
    <n v="2"/>
    <n v="1"/>
    <n v="0"/>
    <x v="0"/>
    <n v="0"/>
  </r>
  <r>
    <n v="8141661"/>
    <x v="0"/>
    <n v="26211389"/>
    <s v="Tarjeta"/>
    <n v="579279"/>
    <n v="579279"/>
    <n v="579279"/>
    <n v="180"/>
    <d v="2016-05-01T00:00:00"/>
    <s v="Empresa B"/>
    <n v="3"/>
    <n v="1"/>
    <n v="2"/>
    <n v="0"/>
    <n v="579279"/>
    <x v="2"/>
    <n v="1"/>
  </r>
  <r>
    <n v="8142131"/>
    <x v="0"/>
    <n v="23230686"/>
    <s v="Tarjeta"/>
    <n v="1727978"/>
    <n v="1727978"/>
    <n v="289619"/>
    <n v="30"/>
    <d v="2016-06-01T00:00:00"/>
    <s v="Empresa C"/>
    <n v="3"/>
    <n v="1"/>
    <n v="2"/>
    <n v="0"/>
    <n v="0"/>
    <x v="0"/>
    <n v="0"/>
  </r>
  <r>
    <n v="8142840"/>
    <x v="0"/>
    <n v="28584067"/>
    <s v="Tarjeta"/>
    <n v="2838169"/>
    <n v="2838169"/>
    <n v="387037"/>
    <n v="30"/>
    <d v="2016-06-03T00:00:00"/>
    <s v="Empresa C"/>
    <n v="3"/>
    <n v="0"/>
    <n v="3"/>
    <n v="2"/>
    <n v="0"/>
    <x v="0"/>
    <n v="0"/>
  </r>
  <r>
    <n v="8142913"/>
    <x v="0"/>
    <n v="15150108"/>
    <s v="Tarjeta"/>
    <n v="514449"/>
    <n v="514449"/>
    <n v="141909"/>
    <n v="30"/>
    <d v="2016-05-18T00:00:00"/>
    <s v="Empresa C"/>
    <n v="3"/>
    <n v="1"/>
    <n v="2"/>
    <n v="1"/>
    <n v="70955"/>
    <x v="1"/>
    <n v="0.13792426460154456"/>
  </r>
  <r>
    <n v="8143445"/>
    <x v="0"/>
    <n v="27500623"/>
    <s v="Tarjeta"/>
    <n v="584548"/>
    <n v="584548"/>
    <n v="62095"/>
    <n v="30"/>
    <d v="2016-05-19T00:00:00"/>
    <s v="Empresa C"/>
    <n v="3"/>
    <n v="1"/>
    <n v="2"/>
    <n v="1"/>
    <n v="0"/>
    <x v="0"/>
    <n v="0"/>
  </r>
  <r>
    <n v="8143616"/>
    <x v="0"/>
    <n v="28579108"/>
    <s v="Tarjeta"/>
    <n v="714564"/>
    <n v="714564"/>
    <n v="58271"/>
    <n v="30"/>
    <d v="2016-06-03T00:00:00"/>
    <s v="Empresa B"/>
    <n v="3"/>
    <n v="1"/>
    <n v="2"/>
    <n v="0"/>
    <n v="0"/>
    <x v="0"/>
    <n v="0"/>
  </r>
  <r>
    <n v="8143620"/>
    <x v="0"/>
    <n v="26382097"/>
    <s v="Tarjeta"/>
    <n v="3622598"/>
    <n v="3622598"/>
    <n v="344400"/>
    <n v="30"/>
    <d v="2016-06-01T00:00:00"/>
    <s v="Empresa C"/>
    <n v="3"/>
    <n v="1"/>
    <n v="2"/>
    <n v="0"/>
    <n v="0"/>
    <x v="0"/>
    <n v="0"/>
  </r>
  <r>
    <n v="8143701"/>
    <x v="0"/>
    <n v="21781337"/>
    <s v="Tarjeta"/>
    <n v="3167451"/>
    <n v="2711222"/>
    <n v="558354"/>
    <n v="30"/>
    <d v="2016-05-31T00:00:00"/>
    <s v="Empresa A"/>
    <n v="3"/>
    <n v="0"/>
    <n v="3"/>
    <n v="2"/>
    <n v="186118"/>
    <x v="3"/>
    <n v="6.8647274181162593E-2"/>
  </r>
  <r>
    <n v="8143941"/>
    <x v="1"/>
    <n v="28177048"/>
    <s v="Tarjeta"/>
    <n v="9371478"/>
    <n v="611921"/>
    <n v="208"/>
    <n v="30"/>
    <d v="2016-05-19T00:00:00"/>
    <s v="Empresa C"/>
    <n v="3"/>
    <n v="1"/>
    <n v="2"/>
    <n v="1"/>
    <n v="208"/>
    <x v="2"/>
    <n v="3.3991315872473736E-4"/>
  </r>
  <r>
    <n v="8144093"/>
    <x v="2"/>
    <n v="24256962"/>
    <s v="Tarjeta"/>
    <n v="13727354"/>
    <n v="2617487"/>
    <n v="783085"/>
    <n v="90"/>
    <d v="2016-05-21T00:00:00"/>
    <s v="Empresa B"/>
    <n v="3"/>
    <n v="1"/>
    <n v="2"/>
    <n v="1"/>
    <n v="0"/>
    <x v="0"/>
    <n v="0"/>
  </r>
  <r>
    <n v="8144093"/>
    <x v="2"/>
    <n v="24257547"/>
    <s v="Tarjeta"/>
    <n v="13727354"/>
    <n v="2791503"/>
    <n v="584222"/>
    <n v="90"/>
    <d v="2016-05-21T00:00:00"/>
    <s v="Empresa B"/>
    <n v="3"/>
    <n v="1"/>
    <n v="2"/>
    <n v="0"/>
    <n v="0"/>
    <x v="0"/>
    <n v="0"/>
  </r>
  <r>
    <n v="8144093"/>
    <x v="2"/>
    <n v="25328215"/>
    <s v="Consumo"/>
    <n v="13727354"/>
    <n v="8318363"/>
    <n v="1248521"/>
    <n v="108"/>
    <d v="2016-05-21T00:00:00"/>
    <s v="Empresa B"/>
    <n v="3"/>
    <n v="2"/>
    <n v="1"/>
    <n v="0"/>
    <n v="1248521"/>
    <x v="2"/>
    <n v="0.150092151544721"/>
  </r>
  <r>
    <n v="8144982"/>
    <x v="1"/>
    <n v="26085369"/>
    <s v="Tarjeta"/>
    <n v="10012836"/>
    <n v="4137778"/>
    <n v="150503"/>
    <n v="30"/>
    <d v="2016-05-31T00:00:00"/>
    <s v="Empresa A"/>
    <n v="3"/>
    <n v="1"/>
    <n v="2"/>
    <n v="1"/>
    <n v="0"/>
    <x v="0"/>
    <n v="0"/>
  </r>
  <r>
    <n v="8145532"/>
    <x v="1"/>
    <n v="27443036"/>
    <s v="Tarjeta"/>
    <n v="2978859"/>
    <n v="1352333"/>
    <n v="92233"/>
    <n v="30"/>
    <d v="2016-05-18T00:00:00"/>
    <s v="Empresa C"/>
    <n v="3"/>
    <n v="0"/>
    <n v="3"/>
    <n v="1"/>
    <n v="92233"/>
    <x v="2"/>
    <n v="6.8202876066767573E-2"/>
  </r>
  <r>
    <n v="8145532"/>
    <x v="1"/>
    <n v="27445813"/>
    <s v="Tarjeta"/>
    <n v="2978859"/>
    <n v="1626526"/>
    <n v="26195"/>
    <n v="30"/>
    <d v="2016-05-19T00:00:00"/>
    <s v="Empresa C"/>
    <n v="3"/>
    <n v="1"/>
    <n v="2"/>
    <n v="2"/>
    <n v="1626526"/>
    <x v="2"/>
    <n v="1"/>
  </r>
  <r>
    <n v="8145600"/>
    <x v="0"/>
    <n v="21147053"/>
    <s v="Tarjeta"/>
    <n v="971495"/>
    <n v="971495"/>
    <n v="788769"/>
    <n v="30"/>
    <d v="2016-05-18T00:00:00"/>
    <s v="Empresa C"/>
    <n v="3"/>
    <n v="1"/>
    <n v="2"/>
    <n v="0"/>
    <n v="0"/>
    <x v="0"/>
    <n v="0"/>
  </r>
  <r>
    <n v="8145696"/>
    <x v="1"/>
    <n v="1487545"/>
    <s v="Tarjeta"/>
    <n v="5904001"/>
    <n v="3328094"/>
    <n v="108367"/>
    <n v="30"/>
    <d v="2016-05-31T00:00:00"/>
    <s v="Empresa A"/>
    <n v="3"/>
    <n v="1"/>
    <n v="2"/>
    <n v="0"/>
    <n v="0"/>
    <x v="0"/>
    <n v="0"/>
  </r>
  <r>
    <n v="8146040"/>
    <x v="0"/>
    <n v="27997103"/>
    <s v="Tarjeta"/>
    <n v="1695036"/>
    <n v="1695036"/>
    <n v="91245"/>
    <n v="30"/>
    <d v="2016-06-01T00:00:00"/>
    <s v="Empresa C"/>
    <n v="3"/>
    <n v="1"/>
    <n v="2"/>
    <n v="1"/>
    <n v="0"/>
    <x v="0"/>
    <n v="0"/>
  </r>
  <r>
    <n v="8146127"/>
    <x v="1"/>
    <n v="20815640"/>
    <s v="Tarjeta"/>
    <n v="12776920"/>
    <n v="3251858"/>
    <n v="296607"/>
    <n v="30"/>
    <d v="2016-05-18T00:00:00"/>
    <s v="Empresa C"/>
    <n v="3"/>
    <n v="0"/>
    <n v="3"/>
    <n v="1"/>
    <n v="0"/>
    <x v="0"/>
    <n v="0"/>
  </r>
  <r>
    <n v="8146254"/>
    <x v="0"/>
    <n v="25426056"/>
    <s v="Tarjeta"/>
    <n v="448560"/>
    <n v="448560"/>
    <n v="62487"/>
    <n v="30"/>
    <d v="2016-05-19T00:00:00"/>
    <s v="Empresa C"/>
    <n v="3"/>
    <n v="1"/>
    <n v="2"/>
    <n v="2"/>
    <n v="20829"/>
    <x v="3"/>
    <n v="4.6435259497057249E-2"/>
  </r>
  <r>
    <n v="8146294"/>
    <x v="0"/>
    <n v="26813743"/>
    <s v="Tarjeta"/>
    <n v="1141094"/>
    <n v="1141094"/>
    <n v="1141094"/>
    <n v="120"/>
    <d v="2016-05-19T00:00:00"/>
    <s v="Empresa B"/>
    <n v="3"/>
    <n v="1"/>
    <n v="2"/>
    <n v="0"/>
    <n v="0"/>
    <x v="0"/>
    <n v="0"/>
  </r>
  <r>
    <n v="8146356"/>
    <x v="2"/>
    <n v="15560223"/>
    <s v="Tarjeta"/>
    <n v="10256139"/>
    <n v="3729360"/>
    <n v="344074"/>
    <n v="30"/>
    <d v="2016-05-31T00:00:00"/>
    <s v="Empresa A"/>
    <n v="3"/>
    <n v="1"/>
    <n v="2"/>
    <n v="0"/>
    <n v="344074"/>
    <x v="2"/>
    <n v="9.2260870497887032E-2"/>
  </r>
  <r>
    <n v="8146356"/>
    <x v="2"/>
    <n v="15560641"/>
    <s v="Tarjeta"/>
    <n v="10256139"/>
    <n v="2786841"/>
    <n v="210978"/>
    <n v="30"/>
    <d v="2016-05-31T00:00:00"/>
    <s v="Empresa A"/>
    <n v="3"/>
    <n v="1"/>
    <n v="2"/>
    <n v="1"/>
    <n v="2786841"/>
    <x v="2"/>
    <n v="1"/>
  </r>
  <r>
    <n v="8146356"/>
    <x v="2"/>
    <n v="15561187"/>
    <s v="Tarjeta"/>
    <n v="10256139"/>
    <n v="3739938"/>
    <n v="313501"/>
    <n v="30"/>
    <d v="2016-05-31T00:00:00"/>
    <s v="Empresa A"/>
    <n v="3"/>
    <n v="0"/>
    <n v="3"/>
    <n v="1"/>
    <n v="156751"/>
    <x v="1"/>
    <n v="4.1912726895472596E-2"/>
  </r>
  <r>
    <n v="8146680"/>
    <x v="0"/>
    <n v="10589807"/>
    <s v="Tarjeta"/>
    <n v="663866"/>
    <n v="663866"/>
    <n v="7806"/>
    <n v="30"/>
    <d v="2016-05-31T00:00:00"/>
    <s v="Empresa A"/>
    <n v="3"/>
    <n v="1"/>
    <n v="2"/>
    <n v="2"/>
    <n v="0"/>
    <x v="0"/>
    <n v="0"/>
  </r>
  <r>
    <n v="8147134"/>
    <x v="0"/>
    <n v="27154443"/>
    <s v="Tarjeta"/>
    <n v="4602159"/>
    <n v="1478064"/>
    <n v="54829"/>
    <n v="30"/>
    <d v="2016-05-31T00:00:00"/>
    <s v="Empresa A"/>
    <n v="3"/>
    <n v="1"/>
    <n v="2"/>
    <n v="0"/>
    <n v="0"/>
    <x v="0"/>
    <n v="0"/>
  </r>
  <r>
    <n v="8147204"/>
    <x v="1"/>
    <n v="27138725"/>
    <s v="Tarjeta"/>
    <n v="11689191"/>
    <n v="5087699"/>
    <n v="143366"/>
    <n v="30"/>
    <d v="2016-05-19T00:00:00"/>
    <s v="Empresa C"/>
    <n v="3"/>
    <n v="1"/>
    <n v="2"/>
    <n v="0"/>
    <n v="0"/>
    <x v="0"/>
    <n v="0"/>
  </r>
  <r>
    <n v="8147976"/>
    <x v="0"/>
    <n v="22912840"/>
    <s v="Tarjeta"/>
    <n v="526048"/>
    <n v="526048"/>
    <n v="184168"/>
    <n v="60"/>
    <d v="2016-05-01T00:00:00"/>
    <s v="Empresa C"/>
    <n v="3"/>
    <n v="2"/>
    <n v="1"/>
    <n v="1"/>
    <n v="92084"/>
    <x v="1"/>
    <n v="0.17504866476063022"/>
  </r>
  <r>
    <n v="8148012"/>
    <x v="0"/>
    <n v="26918078"/>
    <s v="Tarjeta"/>
    <n v="641684"/>
    <n v="639699"/>
    <n v="288051"/>
    <n v="30"/>
    <d v="2016-05-18T00:00:00"/>
    <s v="Empresa C"/>
    <n v="3"/>
    <n v="1"/>
    <n v="2"/>
    <n v="0"/>
    <n v="288051"/>
    <x v="2"/>
    <n v="0.45029146520472912"/>
  </r>
  <r>
    <n v="8148012"/>
    <x v="0"/>
    <n v="26918957"/>
    <s v="Tarjeta"/>
    <n v="641684"/>
    <n v="1985"/>
    <n v="1985"/>
    <n v="60"/>
    <d v="2016-04-21T00:00:00"/>
    <s v="Empresa C"/>
    <n v="3"/>
    <n v="0"/>
    <n v="3"/>
    <n v="2"/>
    <n v="993"/>
    <x v="1"/>
    <n v="0.50025188916876573"/>
  </r>
  <r>
    <n v="8148376"/>
    <x v="0"/>
    <n v="16869327"/>
    <s v="Tarjeta"/>
    <n v="740827"/>
    <n v="740827"/>
    <n v="740778"/>
    <n v="30"/>
    <d v="2016-05-18T00:00:00"/>
    <s v="Empresa C"/>
    <n v="3"/>
    <n v="1"/>
    <n v="2"/>
    <n v="1"/>
    <n v="246926"/>
    <x v="3"/>
    <n v="0.33331128590075687"/>
  </r>
  <r>
    <n v="8148804"/>
    <x v="0"/>
    <n v="24807483"/>
    <s v="Tarjeta"/>
    <n v="1050906"/>
    <n v="1050906"/>
    <n v="79570"/>
    <n v="30"/>
    <d v="2016-05-31T00:00:00"/>
    <s v="Empresa A"/>
    <n v="3"/>
    <n v="1"/>
    <n v="2"/>
    <n v="0"/>
    <n v="0"/>
    <x v="0"/>
    <n v="0"/>
  </r>
  <r>
    <n v="8149563"/>
    <x v="0"/>
    <n v="22789135"/>
    <s v="Tarjeta"/>
    <n v="2100422"/>
    <n v="926330"/>
    <n v="3902"/>
    <n v="30"/>
    <d v="2016-05-01T00:00:00"/>
    <s v="Empresa C"/>
    <n v="3"/>
    <n v="1"/>
    <n v="2"/>
    <n v="1"/>
    <n v="0"/>
    <x v="0"/>
    <n v="0"/>
  </r>
  <r>
    <n v="8149563"/>
    <x v="0"/>
    <n v="22789722"/>
    <s v="Tarjeta"/>
    <n v="2100422"/>
    <n v="1174092"/>
    <n v="335006"/>
    <n v="60"/>
    <d v="2016-04-30T00:00:00"/>
    <s v="Empresa C"/>
    <n v="3"/>
    <n v="1"/>
    <n v="2"/>
    <n v="0"/>
    <n v="0"/>
    <x v="0"/>
    <n v="0"/>
  </r>
  <r>
    <n v="8149652"/>
    <x v="2"/>
    <n v="14265682"/>
    <s v="Tarjeta"/>
    <n v="65246007"/>
    <n v="939625"/>
    <n v="81077"/>
    <n v="30"/>
    <d v="2016-05-19T00:00:00"/>
    <s v="Empresa B"/>
    <n v="3"/>
    <n v="0"/>
    <n v="3"/>
    <n v="2"/>
    <n v="0"/>
    <x v="0"/>
    <n v="0"/>
  </r>
  <r>
    <n v="8149652"/>
    <x v="2"/>
    <n v="16980898"/>
    <s v="Tarjeta"/>
    <n v="65246007"/>
    <n v="8058584"/>
    <n v="473160"/>
    <n v="30"/>
    <d v="2016-05-18T00:00:00"/>
    <s v="Empresa B"/>
    <n v="3"/>
    <n v="1"/>
    <n v="2"/>
    <n v="1"/>
    <n v="0"/>
    <x v="0"/>
    <n v="0"/>
  </r>
  <r>
    <n v="8149652"/>
    <x v="2"/>
    <n v="23954312"/>
    <s v="Tarjeta"/>
    <n v="65246007"/>
    <n v="3794184"/>
    <n v="568806"/>
    <n v="60"/>
    <d v="2016-04-30T00:00:00"/>
    <s v="Empresa B"/>
    <n v="3"/>
    <n v="1"/>
    <n v="2"/>
    <n v="0"/>
    <n v="0"/>
    <x v="0"/>
    <n v="0"/>
  </r>
  <r>
    <n v="8149873"/>
    <x v="0"/>
    <n v="21128782"/>
    <s v="Tarjeta"/>
    <n v="2061818"/>
    <n v="953538"/>
    <n v="7806"/>
    <n v="30"/>
    <d v="2016-05-31T00:00:00"/>
    <s v="Empresa A"/>
    <n v="3"/>
    <n v="1"/>
    <n v="2"/>
    <n v="1"/>
    <n v="2602"/>
    <x v="3"/>
    <n v="2.728784799347273E-3"/>
  </r>
  <r>
    <n v="8149873"/>
    <x v="0"/>
    <n v="21130021"/>
    <s v="Tarjeta"/>
    <n v="2061818"/>
    <n v="971400"/>
    <n v="3902"/>
    <n v="30"/>
    <d v="2016-05-31T00:00:00"/>
    <s v="Empresa A"/>
    <n v="3"/>
    <n v="1"/>
    <n v="2"/>
    <n v="0"/>
    <n v="3902"/>
    <x v="2"/>
    <n v="4.0168828494955731E-3"/>
  </r>
  <r>
    <n v="8150642"/>
    <x v="0"/>
    <n v="21255889"/>
    <s v="Tarjeta"/>
    <n v="1386019"/>
    <n v="1386019"/>
    <n v="204090"/>
    <n v="30"/>
    <d v="2016-05-18T00:00:00"/>
    <s v="Empresa C"/>
    <n v="3"/>
    <n v="0"/>
    <n v="3"/>
    <n v="2"/>
    <n v="0"/>
    <x v="0"/>
    <n v="0"/>
  </r>
  <r>
    <n v="8150722"/>
    <x v="0"/>
    <n v="24211866"/>
    <s v="Tarjeta"/>
    <n v="3093246"/>
    <n v="3093246"/>
    <n v="356731"/>
    <n v="30"/>
    <d v="2016-05-18T00:00:00"/>
    <s v="Empresa C"/>
    <n v="3"/>
    <n v="1"/>
    <n v="2"/>
    <n v="1"/>
    <n v="356731"/>
    <x v="2"/>
    <n v="0.1153257775165635"/>
  </r>
  <r>
    <n v="8151650"/>
    <x v="0"/>
    <n v="25137085"/>
    <s v="Tarjeta"/>
    <n v="416537"/>
    <n v="416537"/>
    <n v="356952"/>
    <n v="60"/>
    <d v="2016-05-01T00:00:00"/>
    <s v="Empresa C"/>
    <n v="3"/>
    <n v="1"/>
    <n v="2"/>
    <n v="0"/>
    <n v="0"/>
    <x v="0"/>
    <n v="0"/>
  </r>
  <r>
    <n v="8151925"/>
    <x v="0"/>
    <n v="26319431"/>
    <s v="Tarjeta"/>
    <n v="2306098"/>
    <n v="2030862"/>
    <n v="44541"/>
    <n v="30"/>
    <d v="2016-05-31T00:00:00"/>
    <s v="Empresa A"/>
    <n v="3"/>
    <n v="1"/>
    <n v="2"/>
    <n v="1"/>
    <n v="0"/>
    <x v="0"/>
    <n v="0"/>
  </r>
  <r>
    <n v="8152781"/>
    <x v="0"/>
    <n v="26226398"/>
    <s v="Tarjeta"/>
    <n v="735580"/>
    <n v="735580"/>
    <n v="215434"/>
    <n v="90"/>
    <d v="2016-05-28T00:00:00"/>
    <s v="Empresa C"/>
    <n v="3"/>
    <n v="2"/>
    <n v="1"/>
    <n v="0"/>
    <n v="0"/>
    <x v="0"/>
    <n v="0"/>
  </r>
  <r>
    <n v="8153448"/>
    <x v="1"/>
    <n v="26125116"/>
    <s v="Tarjeta"/>
    <n v="12267114"/>
    <n v="2972446"/>
    <n v="969253"/>
    <n v="90"/>
    <d v="2016-05-21T00:00:00"/>
    <s v="Empresa B"/>
    <n v="3"/>
    <n v="1"/>
    <n v="2"/>
    <n v="1"/>
    <n v="2972446"/>
    <x v="2"/>
    <n v="1"/>
  </r>
  <r>
    <n v="8153448"/>
    <x v="1"/>
    <n v="26129875"/>
    <s v="Consumo"/>
    <n v="12267114"/>
    <n v="9294668"/>
    <n v="1167353"/>
    <n v="107"/>
    <d v="2016-05-21T00:00:00"/>
    <s v="Empresa B"/>
    <n v="3"/>
    <n v="0"/>
    <n v="3"/>
    <n v="1"/>
    <n v="389117"/>
    <x v="0"/>
    <n v="4.1864539970658449E-2"/>
  </r>
  <r>
    <n v="8153540"/>
    <x v="2"/>
    <n v="25028738"/>
    <s v="Tarjeta"/>
    <n v="14509525"/>
    <n v="545213"/>
    <n v="84309"/>
    <n v="30"/>
    <d v="2016-05-18T00:00:00"/>
    <s v="Empresa C"/>
    <n v="3"/>
    <n v="1"/>
    <n v="2"/>
    <n v="1"/>
    <n v="545213"/>
    <x v="2"/>
    <n v="1"/>
  </r>
  <r>
    <n v="8153540"/>
    <x v="2"/>
    <n v="26813496"/>
    <s v="Tarjeta"/>
    <n v="14509525"/>
    <n v="737987"/>
    <n v="133769"/>
    <n v="30"/>
    <d v="2016-05-18T00:00:00"/>
    <s v="Empresa C"/>
    <n v="3"/>
    <n v="1"/>
    <n v="2"/>
    <n v="1"/>
    <n v="66884"/>
    <x v="1"/>
    <n v="9.0630322756362916E-2"/>
  </r>
  <r>
    <n v="8153587"/>
    <x v="0"/>
    <n v="24000694"/>
    <s v="Tarjeta"/>
    <n v="1407469"/>
    <n v="728831"/>
    <n v="147704"/>
    <n v="30"/>
    <d v="2016-05-31T00:00:00"/>
    <s v="Empresa A"/>
    <n v="3"/>
    <n v="1"/>
    <n v="2"/>
    <n v="0"/>
    <n v="0"/>
    <x v="0"/>
    <n v="0"/>
  </r>
  <r>
    <n v="8159247"/>
    <x v="0"/>
    <n v="24925294"/>
    <s v="Tarjeta"/>
    <n v="995802"/>
    <n v="493530"/>
    <n v="493530"/>
    <n v="90"/>
    <d v="2016-05-18T00:00:00"/>
    <s v="Empresa C"/>
    <n v="3"/>
    <n v="1"/>
    <n v="2"/>
    <n v="1"/>
    <n v="0"/>
    <x v="0"/>
    <n v="0"/>
  </r>
  <r>
    <n v="8159247"/>
    <x v="0"/>
    <n v="24925514"/>
    <s v="Tarjeta"/>
    <n v="995802"/>
    <n v="502273"/>
    <n v="502273"/>
    <n v="90"/>
    <d v="2016-05-18T00:00:00"/>
    <s v="Empresa C"/>
    <n v="3"/>
    <n v="0"/>
    <n v="3"/>
    <n v="1"/>
    <n v="0"/>
    <x v="0"/>
    <n v="0"/>
  </r>
  <r>
    <n v="8159304"/>
    <x v="0"/>
    <n v="25008009"/>
    <s v="Tarjeta"/>
    <n v="897545"/>
    <n v="897545"/>
    <n v="132"/>
    <n v="30"/>
    <d v="2016-05-19T00:00:00"/>
    <s v="Empresa C"/>
    <n v="3"/>
    <n v="1"/>
    <n v="2"/>
    <n v="1"/>
    <n v="66"/>
    <x v="1"/>
    <n v="7.3533917519455854E-5"/>
  </r>
  <r>
    <n v="8159820"/>
    <x v="1"/>
    <n v="22290865"/>
    <s v="Tarjeta"/>
    <n v="8319888"/>
    <n v="2253800"/>
    <n v="495559"/>
    <n v="90"/>
    <d v="2016-05-18T00:00:00"/>
    <s v="Empresa B"/>
    <n v="3"/>
    <n v="1"/>
    <n v="2"/>
    <n v="1"/>
    <n v="0"/>
    <x v="0"/>
    <n v="0"/>
  </r>
  <r>
    <n v="8159820"/>
    <x v="1"/>
    <n v="22291304"/>
    <s v="Tarjeta"/>
    <n v="8319888"/>
    <n v="3189842"/>
    <n v="621391"/>
    <n v="90"/>
    <d v="2016-05-18T00:00:00"/>
    <s v="Empresa B"/>
    <n v="3"/>
    <n v="1"/>
    <n v="2"/>
    <n v="0"/>
    <n v="207131"/>
    <x v="3"/>
    <n v="6.4934564157096183E-2"/>
  </r>
  <r>
    <n v="8159820"/>
    <x v="1"/>
    <n v="24951061"/>
    <s v="Tarjeta"/>
    <n v="8319888"/>
    <n v="2876246"/>
    <n v="2876246"/>
    <n v="240"/>
    <d v="2016-02-28T00:00:00"/>
    <s v="Empresa B"/>
    <n v="3"/>
    <n v="1"/>
    <n v="2"/>
    <n v="1"/>
    <n v="2876246"/>
    <x v="2"/>
    <n v="1"/>
  </r>
  <r>
    <n v="8160167"/>
    <x v="0"/>
    <n v="2861483"/>
    <s v="Tarjeta"/>
    <n v="707139"/>
    <n v="707139"/>
    <n v="108136"/>
    <n v="30"/>
    <d v="2016-05-31T00:00:00"/>
    <s v="Empresa A"/>
    <n v="3"/>
    <n v="0"/>
    <n v="3"/>
    <n v="1"/>
    <n v="108136"/>
    <x v="2"/>
    <n v="0.1529204300710327"/>
  </r>
  <r>
    <n v="8160262"/>
    <x v="0"/>
    <n v="26180107"/>
    <s v="Tarjeta"/>
    <n v="603239"/>
    <n v="603239"/>
    <n v="135668"/>
    <n v="30"/>
    <d v="2016-05-18T00:00:00"/>
    <s v="Empresa C"/>
    <n v="3"/>
    <n v="1"/>
    <n v="2"/>
    <n v="1"/>
    <n v="135668"/>
    <x v="2"/>
    <n v="0.22489925220352133"/>
  </r>
  <r>
    <n v="8160270"/>
    <x v="0"/>
    <n v="27760880"/>
    <s v="Tarjeta"/>
    <n v="803940"/>
    <n v="803940"/>
    <n v="19433"/>
    <n v="30"/>
    <d v="2016-05-31T00:00:00"/>
    <s v="Empresa A"/>
    <n v="3"/>
    <n v="1"/>
    <n v="2"/>
    <n v="1"/>
    <n v="9717"/>
    <x v="1"/>
    <n v="1.2086722889767892E-2"/>
  </r>
  <r>
    <n v="8160623"/>
    <x v="1"/>
    <n v="21313010"/>
    <s v="Consumo"/>
    <n v="3283505"/>
    <n v="2290843"/>
    <n v="388958"/>
    <n v="92"/>
    <d v="2016-06-07T00:00:00"/>
    <s v="Empresa B"/>
    <n v="3"/>
    <n v="1"/>
    <n v="2"/>
    <n v="0"/>
    <n v="2290843"/>
    <x v="2"/>
    <n v="1"/>
  </r>
  <r>
    <n v="8160623"/>
    <x v="1"/>
    <n v="27645067"/>
    <s v="Tarjeta"/>
    <n v="3283505"/>
    <n v="992662"/>
    <n v="496923"/>
    <n v="90"/>
    <d v="2016-06-07T00:00:00"/>
    <s v="Empresa B"/>
    <n v="3"/>
    <n v="2"/>
    <n v="1"/>
    <n v="1"/>
    <n v="165641"/>
    <x v="3"/>
    <n v="0.16686545873620628"/>
  </r>
  <r>
    <n v="8160956"/>
    <x v="1"/>
    <n v="21942759"/>
    <s v="Tarjeta"/>
    <n v="3650022"/>
    <n v="1273964"/>
    <n v="3429"/>
    <n v="30"/>
    <d v="2016-04-21T00:00:00"/>
    <s v="Empresa C"/>
    <n v="3"/>
    <n v="1"/>
    <n v="2"/>
    <n v="0"/>
    <n v="3429"/>
    <x v="2"/>
    <n v="2.6915988206888107E-3"/>
  </r>
  <r>
    <n v="8160956"/>
    <x v="1"/>
    <n v="21943359"/>
    <s v="Tarjeta"/>
    <n v="3650022"/>
    <n v="1144768"/>
    <n v="3902"/>
    <n v="30"/>
    <d v="2016-04-27T00:00:00"/>
    <s v="Empresa C"/>
    <n v="3"/>
    <n v="0"/>
    <n v="3"/>
    <n v="1"/>
    <n v="3902"/>
    <x v="2"/>
    <n v="3.4085509028903673E-3"/>
  </r>
  <r>
    <n v="8160956"/>
    <x v="1"/>
    <n v="21943838"/>
    <s v="Tarjeta"/>
    <n v="3650022"/>
    <n v="1231290"/>
    <n v="3902"/>
    <n v="30"/>
    <d v="2016-04-20T00:00:00"/>
    <s v="Empresa C"/>
    <n v="3"/>
    <n v="1"/>
    <n v="2"/>
    <n v="2"/>
    <n v="0"/>
    <x v="0"/>
    <n v="0"/>
  </r>
  <r>
    <n v="8161759"/>
    <x v="0"/>
    <n v="24392059"/>
    <s v="Tarjeta"/>
    <n v="1594542"/>
    <n v="1594542"/>
    <n v="135805"/>
    <n v="30"/>
    <d v="2016-05-31T00:00:00"/>
    <s v="Empresa A"/>
    <n v="3"/>
    <n v="1"/>
    <n v="2"/>
    <n v="0"/>
    <n v="0"/>
    <x v="0"/>
    <n v="0"/>
  </r>
  <r>
    <n v="8161857"/>
    <x v="0"/>
    <n v="28595455"/>
    <s v="Tarjeta"/>
    <n v="1818144"/>
    <n v="1818144"/>
    <n v="74653"/>
    <n v="30"/>
    <d v="2016-06-03T00:00:00"/>
    <s v="Empresa C"/>
    <n v="3"/>
    <n v="1"/>
    <n v="2"/>
    <n v="1"/>
    <n v="0"/>
    <x v="0"/>
    <n v="0"/>
  </r>
  <r>
    <n v="8162090"/>
    <x v="1"/>
    <n v="12041523"/>
    <s v="Tarjeta"/>
    <n v="7587364"/>
    <n v="4680569"/>
    <n v="291811"/>
    <n v="30"/>
    <d v="2016-05-18T00:00:00"/>
    <s v="Empresa C"/>
    <n v="3"/>
    <n v="1"/>
    <n v="2"/>
    <n v="0"/>
    <n v="0"/>
    <x v="0"/>
    <n v="0"/>
  </r>
  <r>
    <n v="8162090"/>
    <x v="1"/>
    <n v="20732916"/>
    <s v="Tarjeta"/>
    <n v="7587364"/>
    <n v="52554"/>
    <n v="26360"/>
    <n v="30"/>
    <d v="2016-05-28T00:00:00"/>
    <s v="Empresa C"/>
    <n v="3"/>
    <n v="0"/>
    <n v="3"/>
    <n v="1"/>
    <n v="0"/>
    <x v="0"/>
    <n v="0"/>
  </r>
  <r>
    <n v="8162090"/>
    <x v="1"/>
    <n v="20736069"/>
    <s v="Tarjeta"/>
    <n v="7587364"/>
    <n v="2854242"/>
    <n v="222018"/>
    <n v="30"/>
    <d v="2016-05-29T00:00:00"/>
    <s v="Empresa C"/>
    <n v="3"/>
    <n v="1"/>
    <n v="2"/>
    <n v="2"/>
    <n v="74006"/>
    <x v="3"/>
    <n v="2.5928425130034523E-2"/>
  </r>
  <r>
    <n v="8162545"/>
    <x v="1"/>
    <n v="20841513"/>
    <s v="Libranza"/>
    <n v="4789448"/>
    <n v="1784835"/>
    <n v="121322"/>
    <n v="3"/>
    <d v="2016-06-08T00:00:00"/>
    <s v="Empresa A"/>
    <n v="3"/>
    <n v="1"/>
    <n v="2"/>
    <n v="0"/>
    <n v="0"/>
    <x v="0"/>
    <n v="0"/>
  </r>
  <r>
    <n v="8162545"/>
    <x v="1"/>
    <n v="22625570"/>
    <s v="Tarjeta"/>
    <n v="4789448"/>
    <n v="3004613"/>
    <n v="199087"/>
    <n v="30"/>
    <d v="2016-05-31T00:00:00"/>
    <s v="Empresa A"/>
    <n v="3"/>
    <n v="1"/>
    <n v="2"/>
    <n v="1"/>
    <n v="0"/>
    <x v="0"/>
    <n v="0"/>
  </r>
  <r>
    <n v="8162900"/>
    <x v="1"/>
    <n v="26490081"/>
    <s v="Tarjeta"/>
    <n v="13614874"/>
    <n v="195147"/>
    <n v="66210"/>
    <n v="60"/>
    <d v="2016-05-01T00:00:00"/>
    <s v="Empresa C"/>
    <n v="3"/>
    <n v="1"/>
    <n v="2"/>
    <n v="0"/>
    <n v="0"/>
    <x v="0"/>
    <n v="0"/>
  </r>
  <r>
    <n v="8163083"/>
    <x v="0"/>
    <n v="26691394"/>
    <s v="Tarjeta"/>
    <n v="1363259"/>
    <n v="1363259"/>
    <n v="185711"/>
    <n v="30"/>
    <d v="2016-05-18T00:00:00"/>
    <s v="Empresa C"/>
    <n v="3"/>
    <n v="0"/>
    <n v="3"/>
    <n v="1"/>
    <n v="0"/>
    <x v="0"/>
    <n v="0"/>
  </r>
  <r>
    <n v="8163089"/>
    <x v="0"/>
    <n v="23261406"/>
    <s v="Tarjeta"/>
    <n v="173215"/>
    <n v="173215"/>
    <n v="173215"/>
    <n v="150"/>
    <d v="2016-05-18T00:00:00"/>
    <s v="Empresa B"/>
    <n v="3"/>
    <n v="1"/>
    <n v="2"/>
    <n v="2"/>
    <n v="173215"/>
    <x v="2"/>
    <n v="1"/>
  </r>
  <r>
    <n v="8163206"/>
    <x v="0"/>
    <n v="21051982"/>
    <s v="Tarjeta"/>
    <n v="1887250"/>
    <n v="1887250"/>
    <n v="667225"/>
    <n v="60"/>
    <d v="2016-04-20T00:00:00"/>
    <s v="Empresa C"/>
    <n v="3"/>
    <n v="1"/>
    <n v="2"/>
    <n v="0"/>
    <n v="0"/>
    <x v="0"/>
    <n v="0"/>
  </r>
  <r>
    <n v="8163225"/>
    <x v="1"/>
    <n v="14785233"/>
    <s v="Tarjeta"/>
    <n v="9848543"/>
    <n v="3347684"/>
    <n v="281931"/>
    <n v="30"/>
    <d v="2016-05-18T00:00:00"/>
    <s v="Empresa C"/>
    <n v="3"/>
    <n v="1"/>
    <n v="2"/>
    <n v="1"/>
    <n v="140966"/>
    <x v="1"/>
    <n v="4.2108514423703072E-2"/>
  </r>
  <r>
    <n v="8163225"/>
    <x v="1"/>
    <n v="24997522"/>
    <s v="Tarjeta"/>
    <n v="9848543"/>
    <n v="2543713"/>
    <n v="663683"/>
    <n v="60"/>
    <d v="2016-04-30T00:00:00"/>
    <s v="Empresa C"/>
    <n v="3"/>
    <n v="2"/>
    <n v="1"/>
    <n v="0"/>
    <n v="663683"/>
    <x v="2"/>
    <n v="0.2609111169381137"/>
  </r>
  <r>
    <n v="8163268"/>
    <x v="0"/>
    <n v="27339206"/>
    <s v="Tarjeta"/>
    <n v="1697982"/>
    <n v="1697982"/>
    <n v="128466"/>
    <n v="30"/>
    <d v="2016-05-31T00:00:00"/>
    <s v="Empresa A"/>
    <n v="3"/>
    <n v="1"/>
    <n v="2"/>
    <n v="0"/>
    <n v="128466"/>
    <x v="2"/>
    <n v="7.5658045845008959E-2"/>
  </r>
  <r>
    <n v="8163501"/>
    <x v="2"/>
    <n v="21616089"/>
    <s v="Tarjeta"/>
    <n v="16654937"/>
    <n v="3638964"/>
    <n v="307844"/>
    <n v="30"/>
    <d v="2016-05-18T00:00:00"/>
    <s v="Empresa C"/>
    <n v="3"/>
    <n v="0"/>
    <n v="3"/>
    <n v="2"/>
    <n v="0"/>
    <x v="0"/>
    <n v="0"/>
  </r>
  <r>
    <n v="8163501"/>
    <x v="2"/>
    <n v="21618226"/>
    <s v="Tarjeta"/>
    <n v="16654937"/>
    <n v="3654564"/>
    <n v="306548"/>
    <n v="30"/>
    <d v="2016-05-19T00:00:00"/>
    <s v="Empresa C"/>
    <n v="3"/>
    <n v="1"/>
    <n v="2"/>
    <n v="1"/>
    <n v="306548"/>
    <x v="2"/>
    <n v="8.3880867868232706E-2"/>
  </r>
  <r>
    <n v="8163501"/>
    <x v="2"/>
    <n v="21621233"/>
    <s v="Tarjeta"/>
    <n v="16654937"/>
    <n v="5630941"/>
    <n v="495485"/>
    <n v="30"/>
    <d v="2016-05-18T00:00:00"/>
    <s v="Empresa C"/>
    <n v="3"/>
    <n v="1"/>
    <n v="2"/>
    <n v="1"/>
    <n v="0"/>
    <x v="0"/>
    <n v="0"/>
  </r>
  <r>
    <n v="8163501"/>
    <x v="2"/>
    <n v="24110082"/>
    <s v="Consumo"/>
    <n v="16654937"/>
    <n v="3730468"/>
    <n v="181423"/>
    <n v="27"/>
    <d v="2016-05-18T00:00:00"/>
    <s v="Empresa C"/>
    <n v="3"/>
    <n v="1"/>
    <n v="2"/>
    <n v="0"/>
    <n v="181423"/>
    <x v="2"/>
    <n v="4.8632772081143708E-2"/>
  </r>
  <r>
    <n v="8163541"/>
    <x v="0"/>
    <n v="24920834"/>
    <s v="Tarjeta"/>
    <n v="809042"/>
    <n v="809042"/>
    <n v="28822"/>
    <n v="30"/>
    <d v="2016-05-31T00:00:00"/>
    <s v="Empresa A"/>
    <n v="3"/>
    <n v="1"/>
    <n v="2"/>
    <n v="0"/>
    <n v="809042"/>
    <x v="2"/>
    <n v="1"/>
  </r>
  <r>
    <n v="8163778"/>
    <x v="0"/>
    <n v="27381420"/>
    <s v="Tarjeta"/>
    <n v="1205746"/>
    <n v="1205746"/>
    <n v="178639"/>
    <n v="30"/>
    <d v="2016-05-31T00:00:00"/>
    <s v="Empresa A"/>
    <n v="3"/>
    <n v="0"/>
    <n v="3"/>
    <n v="2"/>
    <n v="59546"/>
    <x v="3"/>
    <n v="4.9385193896558648E-2"/>
  </r>
  <r>
    <n v="8163809"/>
    <x v="0"/>
    <n v="26370927"/>
    <s v="Tarjeta"/>
    <n v="2843356"/>
    <n v="2843356"/>
    <n v="2843356"/>
    <n v="150"/>
    <d v="2016-05-29T00:00:00"/>
    <s v="Empresa B"/>
    <n v="3"/>
    <n v="1"/>
    <n v="2"/>
    <n v="1"/>
    <n v="0"/>
    <x v="0"/>
    <n v="0"/>
  </r>
  <r>
    <n v="8163832"/>
    <x v="0"/>
    <n v="24843109"/>
    <s v="Tarjeta"/>
    <n v="179012"/>
    <n v="179012"/>
    <n v="52061"/>
    <n v="30"/>
    <d v="2016-05-31T00:00:00"/>
    <s v="Empresa A"/>
    <n v="3"/>
    <n v="1"/>
    <n v="2"/>
    <n v="1"/>
    <n v="0"/>
    <x v="0"/>
    <n v="0"/>
  </r>
  <r>
    <n v="8164317"/>
    <x v="1"/>
    <n v="24836777"/>
    <s v="Tarjeta"/>
    <n v="10945736"/>
    <n v="1221509"/>
    <n v="7399"/>
    <n v="30"/>
    <d v="2016-05-31T00:00:00"/>
    <s v="Empresa A"/>
    <n v="3"/>
    <n v="1"/>
    <n v="2"/>
    <n v="0"/>
    <n v="0"/>
    <x v="0"/>
    <n v="0"/>
  </r>
  <r>
    <n v="8164706"/>
    <x v="0"/>
    <n v="27675670"/>
    <s v="Tarjeta"/>
    <n v="406792"/>
    <n v="406792"/>
    <n v="189556"/>
    <n v="60"/>
    <d v="2016-04-20T00:00:00"/>
    <s v="Empresa C"/>
    <n v="3"/>
    <n v="1"/>
    <n v="2"/>
    <n v="0"/>
    <n v="94778"/>
    <x v="1"/>
    <n v="0.23298884933823674"/>
  </r>
  <r>
    <n v="8164716"/>
    <x v="0"/>
    <n v="23812101"/>
    <s v="Tarjeta"/>
    <n v="3716003"/>
    <n v="3044833"/>
    <n v="170877"/>
    <n v="30"/>
    <d v="2016-05-31T00:00:00"/>
    <s v="Empresa A"/>
    <n v="3"/>
    <n v="0"/>
    <n v="3"/>
    <n v="2"/>
    <n v="0"/>
    <x v="0"/>
    <n v="0"/>
  </r>
  <r>
    <n v="8164846"/>
    <x v="1"/>
    <n v="24213987"/>
    <s v="Tarjeta"/>
    <n v="5550455"/>
    <n v="1934160"/>
    <n v="177245"/>
    <n v="30"/>
    <d v="2016-05-31T00:00:00"/>
    <s v="Empresa A"/>
    <n v="3"/>
    <n v="1"/>
    <n v="2"/>
    <n v="1"/>
    <n v="88622"/>
    <x v="1"/>
    <n v="4.5819373785002275E-2"/>
  </r>
  <r>
    <n v="8164886"/>
    <x v="1"/>
    <n v="26205139"/>
    <s v="Tarjeta"/>
    <n v="3445579"/>
    <n v="2030467"/>
    <n v="2030467"/>
    <n v="150"/>
    <d v="2016-05-29T00:00:00"/>
    <s v="Empresa B"/>
    <n v="3"/>
    <n v="1"/>
    <n v="2"/>
    <n v="1"/>
    <n v="0"/>
    <x v="0"/>
    <n v="0"/>
  </r>
  <r>
    <n v="8164886"/>
    <x v="1"/>
    <n v="26206180"/>
    <s v="Tarjeta"/>
    <n v="3445579"/>
    <n v="1415112"/>
    <n v="1415112"/>
    <n v="330"/>
    <d v="2016-04-27T00:00:00"/>
    <s v="Empresa B"/>
    <n v="3"/>
    <n v="1"/>
    <n v="2"/>
    <n v="0"/>
    <n v="0"/>
    <x v="0"/>
    <n v="0"/>
  </r>
  <r>
    <n v="8164974"/>
    <x v="0"/>
    <n v="25826418"/>
    <s v="Tarjeta"/>
    <n v="3300498"/>
    <n v="1584462"/>
    <n v="59970"/>
    <n v="30"/>
    <d v="2016-05-31T00:00:00"/>
    <s v="Empresa A"/>
    <n v="3"/>
    <n v="2"/>
    <n v="1"/>
    <n v="0"/>
    <n v="59970"/>
    <x v="2"/>
    <n v="3.7848809248817582E-2"/>
  </r>
  <r>
    <n v="8165150"/>
    <x v="1"/>
    <n v="25261181"/>
    <s v="Tarjeta"/>
    <n v="6824068"/>
    <n v="1076164"/>
    <n v="79965"/>
    <n v="30"/>
    <d v="2016-05-18T00:00:00"/>
    <s v="Empresa C"/>
    <n v="3"/>
    <n v="1"/>
    <n v="2"/>
    <n v="1"/>
    <n v="1076164"/>
    <x v="2"/>
    <n v="1"/>
  </r>
  <r>
    <n v="8165309"/>
    <x v="0"/>
    <n v="27696033"/>
    <s v="Tarjeta"/>
    <n v="1721703"/>
    <n v="1721703"/>
    <n v="219902"/>
    <n v="30"/>
    <d v="2016-05-31T00:00:00"/>
    <s v="Empresa A"/>
    <n v="3"/>
    <n v="0"/>
    <n v="3"/>
    <n v="1"/>
    <n v="0"/>
    <x v="0"/>
    <n v="0"/>
  </r>
  <r>
    <n v="8165415"/>
    <x v="0"/>
    <n v="21264525"/>
    <s v="Tarjeta"/>
    <n v="2621305"/>
    <n v="1527596"/>
    <n v="144873"/>
    <n v="30"/>
    <d v="2016-05-18T00:00:00"/>
    <s v="Empresa C"/>
    <n v="3"/>
    <n v="1"/>
    <n v="2"/>
    <n v="2"/>
    <n v="48291"/>
    <x v="3"/>
    <n v="3.1612415848169283E-2"/>
  </r>
  <r>
    <n v="8165415"/>
    <x v="0"/>
    <n v="28584076"/>
    <s v="Tarjeta"/>
    <n v="2621305"/>
    <n v="1093709"/>
    <n v="101794"/>
    <n v="30"/>
    <d v="2016-06-02T00:00:00"/>
    <s v="Empresa C"/>
    <n v="3"/>
    <n v="1"/>
    <n v="2"/>
    <n v="0"/>
    <n v="0"/>
    <x v="0"/>
    <n v="0"/>
  </r>
  <r>
    <n v="8165420"/>
    <x v="1"/>
    <n v="27823013"/>
    <s v="Tarjeta"/>
    <n v="9910905"/>
    <n v="4294731"/>
    <n v="121438"/>
    <n v="30"/>
    <d v="2016-05-31T00:00:00"/>
    <s v="Empresa A"/>
    <n v="3"/>
    <n v="1"/>
    <n v="2"/>
    <n v="0"/>
    <n v="0"/>
    <x v="0"/>
    <n v="0"/>
  </r>
  <r>
    <n v="8165423"/>
    <x v="0"/>
    <n v="27019405"/>
    <s v="Tarjeta"/>
    <n v="634044"/>
    <n v="634044"/>
    <n v="54703"/>
    <n v="30"/>
    <d v="2016-05-31T00:00:00"/>
    <s v="Empresa A"/>
    <n v="3"/>
    <n v="1"/>
    <n v="2"/>
    <n v="1"/>
    <n v="54703"/>
    <x v="2"/>
    <n v="8.6276346751960428E-2"/>
  </r>
  <r>
    <n v="8165559"/>
    <x v="0"/>
    <n v="24129857"/>
    <s v="Tarjeta"/>
    <n v="3081302"/>
    <n v="1817577"/>
    <n v="43937"/>
    <n v="30"/>
    <d v="2016-05-31T00:00:00"/>
    <s v="Empresa A"/>
    <n v="3"/>
    <n v="0"/>
    <n v="3"/>
    <n v="1"/>
    <n v="14645"/>
    <x v="3"/>
    <n v="8.0574303041906891E-3"/>
  </r>
  <r>
    <n v="8165867"/>
    <x v="0"/>
    <n v="28083468"/>
    <s v="Tarjeta"/>
    <n v="4942952"/>
    <n v="4942952"/>
    <n v="449976"/>
    <n v="30"/>
    <d v="2016-05-31T00:00:00"/>
    <s v="Empresa A"/>
    <n v="3"/>
    <n v="1"/>
    <n v="2"/>
    <n v="2"/>
    <n v="0"/>
    <x v="0"/>
    <n v="0"/>
  </r>
  <r>
    <n v="8165887"/>
    <x v="2"/>
    <n v="11364019"/>
    <s v="Tarjeta"/>
    <n v="28577063"/>
    <n v="3030970"/>
    <n v="798098"/>
    <n v="90"/>
    <d v="2016-05-11T00:00:00"/>
    <s v="Empresa B"/>
    <n v="3"/>
    <n v="1"/>
    <n v="2"/>
    <n v="0"/>
    <n v="798098"/>
    <x v="2"/>
    <n v="0.26331438450397066"/>
  </r>
  <r>
    <n v="8165887"/>
    <x v="2"/>
    <n v="26704806"/>
    <s v="Vehiculo"/>
    <n v="28577063"/>
    <n v="25546093"/>
    <n v="3211113"/>
    <n v="118"/>
    <d v="2016-05-11T00:00:00"/>
    <s v="Empresa B"/>
    <n v="3"/>
    <n v="1"/>
    <n v="2"/>
    <n v="0"/>
    <n v="1070371"/>
    <x v="0"/>
    <n v="4.189959693640824E-2"/>
  </r>
  <r>
    <n v="8165993"/>
    <x v="2"/>
    <n v="4366591"/>
    <s v="Hipotercario"/>
    <n v="21196708"/>
    <n v="19369075"/>
    <n v="442959"/>
    <n v="2"/>
    <d v="2016-06-08T00:00:00"/>
    <s v="Empresa A"/>
    <n v="3"/>
    <n v="1"/>
    <n v="2"/>
    <n v="1"/>
    <n v="221480"/>
    <x v="1"/>
    <n v="1.1434722618400724E-2"/>
  </r>
  <r>
    <n v="8165993"/>
    <x v="2"/>
    <n v="26466300"/>
    <s v="Tarjeta"/>
    <n v="21196708"/>
    <n v="1827633"/>
    <n v="621228"/>
    <n v="30"/>
    <d v="2016-05-31T00:00:00"/>
    <s v="Empresa A"/>
    <n v="3"/>
    <n v="0"/>
    <n v="3"/>
    <n v="1"/>
    <n v="0"/>
    <x v="0"/>
    <n v="0"/>
  </r>
  <r>
    <n v="8165995"/>
    <x v="1"/>
    <n v="19787114"/>
    <s v="Tarjeta"/>
    <n v="6788101"/>
    <n v="2577289"/>
    <n v="1400872"/>
    <n v="60"/>
    <d v="2016-05-01T00:00:00"/>
    <s v="Empresa C"/>
    <n v="3"/>
    <n v="1"/>
    <n v="2"/>
    <n v="2"/>
    <n v="466957"/>
    <x v="3"/>
    <n v="0.18118146626164158"/>
  </r>
  <r>
    <n v="8165995"/>
    <x v="1"/>
    <n v="28584115"/>
    <s v="Tarjeta"/>
    <n v="6788101"/>
    <n v="4210812"/>
    <n v="623889"/>
    <n v="60"/>
    <d v="2016-06-02T00:00:00"/>
    <s v="Empresa C"/>
    <n v="3"/>
    <n v="1"/>
    <n v="2"/>
    <n v="0"/>
    <n v="623889"/>
    <x v="2"/>
    <n v="0.14816358460078483"/>
  </r>
  <r>
    <n v="8166018"/>
    <x v="0"/>
    <n v="26407894"/>
    <s v="Tarjeta"/>
    <n v="252395"/>
    <n v="252395"/>
    <n v="70129"/>
    <n v="30"/>
    <d v="2016-05-31T00:00:00"/>
    <s v="Empresa A"/>
    <n v="3"/>
    <n v="1"/>
    <n v="2"/>
    <n v="0"/>
    <n v="70129"/>
    <x v="2"/>
    <n v="0.27785415717427048"/>
  </r>
  <r>
    <n v="8166066"/>
    <x v="0"/>
    <n v="25450737"/>
    <s v="Tarjeta"/>
    <n v="378038"/>
    <n v="378038"/>
    <n v="378038"/>
    <n v="150"/>
    <d v="2016-05-18T00:00:00"/>
    <s v="Empresa B"/>
    <n v="3"/>
    <n v="2"/>
    <n v="1"/>
    <n v="1"/>
    <n v="0"/>
    <x v="0"/>
    <n v="0"/>
  </r>
  <r>
    <n v="8166124"/>
    <x v="0"/>
    <n v="25535320"/>
    <s v="Tarjeta"/>
    <n v="1926711"/>
    <n v="739228"/>
    <n v="264812"/>
    <n v="90"/>
    <d v="2016-04-16T00:00:00"/>
    <s v="Empresa B"/>
    <n v="3"/>
    <n v="1"/>
    <n v="2"/>
    <n v="0"/>
    <n v="0"/>
    <x v="0"/>
    <n v="0"/>
  </r>
  <r>
    <n v="8166124"/>
    <x v="0"/>
    <n v="27177694"/>
    <s v="Tarjeta"/>
    <n v="1926711"/>
    <n v="1187483"/>
    <n v="1187483"/>
    <n v="180"/>
    <d v="2016-04-21T00:00:00"/>
    <s v="Empresa B"/>
    <n v="3"/>
    <n v="0"/>
    <n v="3"/>
    <n v="2"/>
    <n v="0"/>
    <x v="0"/>
    <n v="0"/>
  </r>
  <r>
    <n v="8166205"/>
    <x v="1"/>
    <n v="20943764"/>
    <s v="Tarjeta"/>
    <n v="8319218"/>
    <n v="1365396"/>
    <n v="142091"/>
    <n v="30"/>
    <d v="2016-05-31T00:00:00"/>
    <s v="Empresa A"/>
    <n v="3"/>
    <n v="1"/>
    <n v="2"/>
    <n v="1"/>
    <n v="1365396"/>
    <x v="2"/>
    <n v="1"/>
  </r>
  <r>
    <n v="8166205"/>
    <x v="1"/>
    <n v="20946217"/>
    <s v="Tarjeta"/>
    <n v="8319218"/>
    <n v="1967227"/>
    <n v="248321"/>
    <n v="30"/>
    <d v="2016-05-31T00:00:00"/>
    <s v="Empresa A"/>
    <n v="3"/>
    <n v="1"/>
    <n v="2"/>
    <n v="0"/>
    <n v="124161"/>
    <x v="1"/>
    <n v="6.3114729515200835E-2"/>
  </r>
  <r>
    <n v="8166235"/>
    <x v="1"/>
    <n v="22194960"/>
    <s v="Tarjeta"/>
    <n v="5955786"/>
    <n v="3008696"/>
    <n v="395182"/>
    <n v="30"/>
    <d v="2016-05-18T00:00:00"/>
    <s v="Empresa C"/>
    <n v="3"/>
    <n v="1"/>
    <n v="2"/>
    <n v="1"/>
    <n v="0"/>
    <x v="0"/>
    <n v="0"/>
  </r>
  <r>
    <n v="8166235"/>
    <x v="1"/>
    <n v="23293642"/>
    <s v="Tarjeta"/>
    <n v="5955786"/>
    <n v="2947090"/>
    <n v="354842"/>
    <n v="30"/>
    <d v="2016-05-18T00:00:00"/>
    <s v="Empresa C"/>
    <n v="3"/>
    <n v="1"/>
    <n v="2"/>
    <n v="0"/>
    <n v="0"/>
    <x v="0"/>
    <n v="0"/>
  </r>
  <r>
    <n v="8166389"/>
    <x v="0"/>
    <n v="26935836"/>
    <s v="Tarjeta"/>
    <n v="1750281"/>
    <n v="1750281"/>
    <n v="248728"/>
    <n v="60"/>
    <d v="2016-05-29T00:00:00"/>
    <s v="Empresa C"/>
    <n v="3"/>
    <n v="0"/>
    <n v="3"/>
    <n v="2"/>
    <n v="248728"/>
    <x v="2"/>
    <n v="0.14210746731524823"/>
  </r>
  <r>
    <n v="8166412"/>
    <x v="0"/>
    <n v="28040121"/>
    <s v="Tarjeta"/>
    <n v="744968"/>
    <n v="744968"/>
    <n v="88702"/>
    <n v="30"/>
    <d v="2016-05-31T00:00:00"/>
    <s v="Empresa A"/>
    <n v="3"/>
    <n v="1"/>
    <n v="2"/>
    <n v="1"/>
    <n v="0"/>
    <x v="0"/>
    <n v="0"/>
  </r>
  <r>
    <n v="8166533"/>
    <x v="0"/>
    <n v="27048470"/>
    <s v="Tarjeta"/>
    <n v="370758"/>
    <n v="370758"/>
    <n v="36789"/>
    <n v="30"/>
    <d v="2016-04-20T00:00:00"/>
    <s v="Empresa C"/>
    <n v="3"/>
    <n v="1"/>
    <n v="2"/>
    <n v="0"/>
    <n v="36789"/>
    <x v="2"/>
    <n v="9.9226449597850888E-2"/>
  </r>
  <r>
    <n v="8166876"/>
    <x v="1"/>
    <n v="25427986"/>
    <s v="Tarjeta"/>
    <n v="9342267"/>
    <n v="1423007"/>
    <n v="49461"/>
    <n v="30"/>
    <d v="2016-05-18T00:00:00"/>
    <s v="Empresa B"/>
    <n v="3"/>
    <n v="1"/>
    <n v="2"/>
    <n v="1"/>
    <n v="24731"/>
    <x v="1"/>
    <n v="1.7379394479436854E-2"/>
  </r>
  <r>
    <n v="8166876"/>
    <x v="1"/>
    <n v="25433531"/>
    <s v="Consumo"/>
    <n v="9342267"/>
    <n v="5417097"/>
    <n v="171660"/>
    <n v="29"/>
    <d v="2016-05-11T00:00:00"/>
    <s v="Empresa B"/>
    <n v="3"/>
    <n v="1"/>
    <n v="2"/>
    <n v="0"/>
    <n v="0"/>
    <x v="0"/>
    <n v="0"/>
  </r>
  <r>
    <n v="8166895"/>
    <x v="0"/>
    <n v="17937860"/>
    <s v="Tarjeta"/>
    <n v="1359116"/>
    <n v="1359116"/>
    <n v="183894"/>
    <n v="30"/>
    <d v="2016-05-31T00:00:00"/>
    <s v="Empresa A"/>
    <n v="3"/>
    <n v="0"/>
    <n v="3"/>
    <n v="2"/>
    <n v="0"/>
    <x v="0"/>
    <n v="0"/>
  </r>
  <r>
    <n v="8167005"/>
    <x v="1"/>
    <n v="25382403"/>
    <s v="Tarjeta"/>
    <n v="4731519"/>
    <n v="734787"/>
    <n v="7806"/>
    <n v="30"/>
    <d v="2016-05-28T00:00:00"/>
    <s v="Empresa C"/>
    <n v="3"/>
    <n v="1"/>
    <n v="2"/>
    <n v="1"/>
    <n v="2602"/>
    <x v="3"/>
    <n v="3.5411622687935417E-3"/>
  </r>
  <r>
    <n v="8167005"/>
    <x v="1"/>
    <n v="27609725"/>
    <s v="Tarjeta"/>
    <n v="4731519"/>
    <n v="1037574"/>
    <n v="11709"/>
    <n v="30"/>
    <d v="2016-05-18T00:00:00"/>
    <s v="Empresa C"/>
    <n v="3"/>
    <n v="1"/>
    <n v="2"/>
    <n v="0"/>
    <n v="11709"/>
    <x v="2"/>
    <n v="1.1284978228058915E-2"/>
  </r>
  <r>
    <n v="8167406"/>
    <x v="0"/>
    <n v="18535343"/>
    <s v="Tarjeta"/>
    <n v="1495475"/>
    <n v="1495475"/>
    <n v="418091"/>
    <n v="30"/>
    <d v="2016-05-31T00:00:00"/>
    <s v="Empresa A"/>
    <n v="3"/>
    <n v="1"/>
    <n v="2"/>
    <n v="1"/>
    <n v="0"/>
    <x v="0"/>
    <n v="0"/>
  </r>
  <r>
    <n v="8167480"/>
    <x v="1"/>
    <n v="24965165"/>
    <s v="Tarjeta"/>
    <n v="5793752"/>
    <n v="2019650"/>
    <n v="2019650"/>
    <n v="150"/>
    <d v="2016-05-01T00:00:00"/>
    <s v="Empresa B"/>
    <n v="3"/>
    <n v="2"/>
    <n v="1"/>
    <n v="0"/>
    <n v="2019650"/>
    <x v="2"/>
    <n v="1"/>
  </r>
  <r>
    <n v="8167480"/>
    <x v="1"/>
    <n v="24967274"/>
    <s v="Tarjeta"/>
    <n v="5793752"/>
    <n v="1799454"/>
    <n v="1799454"/>
    <n v="120"/>
    <d v="2016-05-01T00:00:00"/>
    <s v="Empresa B"/>
    <n v="3"/>
    <n v="1"/>
    <n v="2"/>
    <n v="1"/>
    <n v="0"/>
    <x v="0"/>
    <n v="0"/>
  </r>
  <r>
    <n v="8167480"/>
    <x v="1"/>
    <n v="25550360"/>
    <s v="Tarjeta"/>
    <n v="5793752"/>
    <n v="1974648"/>
    <n v="1974648"/>
    <n v="150"/>
    <d v="2016-05-01T00:00:00"/>
    <s v="Empresa B"/>
    <n v="3"/>
    <n v="0"/>
    <n v="3"/>
    <n v="1"/>
    <n v="0"/>
    <x v="0"/>
    <n v="0"/>
  </r>
  <r>
    <n v="8167498"/>
    <x v="0"/>
    <n v="14496476"/>
    <s v="Tarjeta"/>
    <n v="1063853"/>
    <n v="1063853"/>
    <n v="1063853"/>
    <n v="360"/>
    <d v="2016-04-25T00:00:00"/>
    <s v="Empresa B"/>
    <n v="3"/>
    <n v="1"/>
    <n v="2"/>
    <n v="1"/>
    <n v="0"/>
    <x v="0"/>
    <n v="0"/>
  </r>
  <r>
    <n v="8167510"/>
    <x v="0"/>
    <n v="24373132"/>
    <s v="Tarjeta"/>
    <n v="205477"/>
    <n v="205477"/>
    <n v="106820"/>
    <n v="60"/>
    <d v="2016-04-20T00:00:00"/>
    <s v="Empresa C"/>
    <n v="3"/>
    <n v="1"/>
    <n v="2"/>
    <n v="1"/>
    <n v="0"/>
    <x v="0"/>
    <n v="0"/>
  </r>
  <r>
    <n v="8167543"/>
    <x v="0"/>
    <n v="14590137"/>
    <s v="Tarjeta"/>
    <n v="564584"/>
    <n v="564584"/>
    <n v="458921"/>
    <n v="60"/>
    <d v="2016-04-21T00:00:00"/>
    <s v="Empresa C"/>
    <n v="3"/>
    <n v="1"/>
    <n v="2"/>
    <n v="0"/>
    <n v="0"/>
    <x v="0"/>
    <n v="0"/>
  </r>
  <r>
    <n v="8167778"/>
    <x v="0"/>
    <n v="27145364"/>
    <s v="Tarjeta"/>
    <n v="3777955"/>
    <n v="1843829"/>
    <n v="319741"/>
    <n v="60"/>
    <d v="2016-04-21T00:00:00"/>
    <s v="Empresa C"/>
    <n v="3"/>
    <n v="1"/>
    <n v="2"/>
    <n v="1"/>
    <n v="319741"/>
    <x v="2"/>
    <n v="0.17341141721927575"/>
  </r>
  <r>
    <n v="8167784"/>
    <x v="0"/>
    <n v="21647828"/>
    <s v="Tarjeta"/>
    <n v="23487"/>
    <n v="23487"/>
    <n v="16068"/>
    <n v="30"/>
    <d v="2016-05-31T00:00:00"/>
    <s v="Empresa A"/>
    <n v="3"/>
    <n v="0"/>
    <n v="3"/>
    <n v="1"/>
    <n v="5356"/>
    <x v="3"/>
    <n v="0.22804104398177716"/>
  </r>
  <r>
    <n v="8167985"/>
    <x v="0"/>
    <n v="21128781"/>
    <s v="Tarjeta"/>
    <n v="1701266"/>
    <n v="1701266"/>
    <n v="154225"/>
    <n v="30"/>
    <d v="2016-05-31T00:00:00"/>
    <s v="Empresa A"/>
    <n v="3"/>
    <n v="1"/>
    <n v="2"/>
    <n v="1"/>
    <n v="154225"/>
    <x v="2"/>
    <n v="9.065307835459005E-2"/>
  </r>
  <r>
    <n v="8168164"/>
    <x v="0"/>
    <n v="27255677"/>
    <s v="Tarjeta"/>
    <n v="1713019"/>
    <n v="1713019"/>
    <n v="113740"/>
    <n v="30"/>
    <d v="2016-05-18T00:00:00"/>
    <s v="Empresa C"/>
    <n v="3"/>
    <n v="1"/>
    <n v="2"/>
    <n v="1"/>
    <n v="0"/>
    <x v="0"/>
    <n v="0"/>
  </r>
  <r>
    <n v="8168198"/>
    <x v="0"/>
    <n v="23820381"/>
    <s v="Tarjeta"/>
    <n v="2351175"/>
    <n v="780934"/>
    <n v="208200"/>
    <n v="30"/>
    <d v="2016-05-31T00:00:00"/>
    <s v="Empresa A"/>
    <n v="3"/>
    <n v="1"/>
    <n v="2"/>
    <n v="0"/>
    <n v="0"/>
    <x v="0"/>
    <n v="0"/>
  </r>
  <r>
    <n v="8168200"/>
    <x v="0"/>
    <n v="24390372"/>
    <s v="Tarjeta"/>
    <n v="4045042"/>
    <n v="4045042"/>
    <n v="312381"/>
    <n v="30"/>
    <d v="2016-06-01T00:00:00"/>
    <s v="Empresa C"/>
    <n v="3"/>
    <n v="1"/>
    <n v="2"/>
    <n v="1"/>
    <n v="156191"/>
    <x v="1"/>
    <n v="3.861294888903502E-2"/>
  </r>
  <r>
    <n v="8168429"/>
    <x v="1"/>
    <n v="28586542"/>
    <s v="Tarjeta"/>
    <n v="12009370"/>
    <n v="2268817"/>
    <n v="62110"/>
    <n v="30"/>
    <d v="2016-06-03T00:00:00"/>
    <s v="Empresa C"/>
    <n v="3"/>
    <n v="0"/>
    <n v="3"/>
    <n v="1"/>
    <n v="31055"/>
    <x v="1"/>
    <n v="1.368775004771209E-2"/>
  </r>
  <r>
    <n v="8168460"/>
    <x v="0"/>
    <n v="2891486"/>
    <s v="Tarjeta"/>
    <n v="573993"/>
    <n v="573993"/>
    <n v="65242"/>
    <n v="30"/>
    <d v="2016-05-31T00:00:00"/>
    <s v="Empresa A"/>
    <n v="3"/>
    <n v="1"/>
    <n v="2"/>
    <n v="1"/>
    <n v="0"/>
    <x v="0"/>
    <n v="0"/>
  </r>
  <r>
    <n v="8168855"/>
    <x v="0"/>
    <n v="19612833"/>
    <s v="Tarjeta"/>
    <n v="1627420"/>
    <n v="1627420"/>
    <n v="215240"/>
    <n v="30"/>
    <d v="2016-05-18T00:00:00"/>
    <s v="Empresa C"/>
    <n v="3"/>
    <n v="1"/>
    <n v="2"/>
    <n v="1"/>
    <n v="0"/>
    <x v="0"/>
    <n v="0"/>
  </r>
  <r>
    <n v="8168905"/>
    <x v="0"/>
    <n v="27915388"/>
    <s v="Tarjeta"/>
    <n v="2992447"/>
    <n v="2992447"/>
    <n v="266325"/>
    <n v="30"/>
    <d v="2016-05-31T00:00:00"/>
    <s v="Empresa A"/>
    <n v="3"/>
    <n v="1"/>
    <n v="2"/>
    <n v="0"/>
    <n v="266325"/>
    <x v="2"/>
    <n v="8.8999069991882895E-2"/>
  </r>
  <r>
    <n v="8168937"/>
    <x v="1"/>
    <n v="21552660"/>
    <s v="Tarjeta"/>
    <n v="6618994"/>
    <n v="1642928"/>
    <n v="387007"/>
    <n v="60"/>
    <d v="2016-04-20T00:00:00"/>
    <s v="Empresa C"/>
    <n v="3"/>
    <n v="2"/>
    <n v="1"/>
    <n v="1"/>
    <n v="0"/>
    <x v="0"/>
    <n v="0"/>
  </r>
  <r>
    <n v="8169074"/>
    <x v="0"/>
    <n v="25017414"/>
    <s v="Tarjeta"/>
    <n v="2021021"/>
    <n v="991716"/>
    <n v="294586"/>
    <n v="60"/>
    <d v="2016-05-01T00:00:00"/>
    <s v="Empresa C"/>
    <n v="3"/>
    <n v="1"/>
    <n v="2"/>
    <n v="0"/>
    <n v="294586"/>
    <x v="2"/>
    <n v="0.29704673515401586"/>
  </r>
  <r>
    <n v="8169074"/>
    <x v="0"/>
    <n v="25018031"/>
    <s v="Tarjeta"/>
    <n v="2021021"/>
    <n v="1029305"/>
    <n v="296680"/>
    <n v="60"/>
    <d v="2016-04-30T00:00:00"/>
    <s v="Empresa C"/>
    <n v="3"/>
    <n v="0"/>
    <n v="3"/>
    <n v="1"/>
    <n v="1029305"/>
    <x v="2"/>
    <n v="1"/>
  </r>
  <r>
    <n v="8169102"/>
    <x v="0"/>
    <n v="25450537"/>
    <s v="Tarjeta"/>
    <n v="719082"/>
    <n v="719082"/>
    <n v="103698"/>
    <n v="30"/>
    <d v="2016-05-18T00:00:00"/>
    <s v="Empresa C"/>
    <n v="3"/>
    <n v="1"/>
    <n v="2"/>
    <n v="2"/>
    <n v="103698"/>
    <x v="2"/>
    <n v="0.14420886630453827"/>
  </r>
  <r>
    <n v="8169114"/>
    <x v="1"/>
    <n v="28219094"/>
    <s v="Tarjeta"/>
    <n v="8556160"/>
    <n v="4153892"/>
    <n v="84414"/>
    <n v="30"/>
    <d v="2016-05-31T00:00:00"/>
    <s v="Empresa A"/>
    <n v="3"/>
    <n v="1"/>
    <n v="2"/>
    <n v="0"/>
    <n v="42207"/>
    <x v="1"/>
    <n v="1.0160832298962034E-2"/>
  </r>
  <r>
    <n v="8169123"/>
    <x v="0"/>
    <n v="23737110"/>
    <s v="Tarjeta"/>
    <n v="4789710"/>
    <n v="4789710"/>
    <n v="415801"/>
    <n v="30"/>
    <d v="2016-05-18T00:00:00"/>
    <s v="Empresa C"/>
    <n v="3"/>
    <n v="1"/>
    <n v="2"/>
    <n v="1"/>
    <n v="138600"/>
    <x v="3"/>
    <n v="2.8937033766136155E-2"/>
  </r>
  <r>
    <n v="8169305"/>
    <x v="1"/>
    <n v="23981315"/>
    <s v="Tarjeta"/>
    <n v="7172558"/>
    <n v="4095822"/>
    <n v="1735554"/>
    <n v="90"/>
    <d v="2016-05-29T00:00:00"/>
    <s v="Empresa C"/>
    <n v="3"/>
    <n v="1"/>
    <n v="2"/>
    <n v="0"/>
    <n v="4095822"/>
    <x v="2"/>
    <n v="1"/>
  </r>
  <r>
    <n v="8169312"/>
    <x v="0"/>
    <n v="27097133"/>
    <s v="Tarjeta"/>
    <n v="1646465"/>
    <n v="1646465"/>
    <n v="256848"/>
    <n v="30"/>
    <d v="2016-05-31T00:00:00"/>
    <s v="Empresa A"/>
    <n v="3"/>
    <n v="0"/>
    <n v="3"/>
    <n v="1"/>
    <n v="0"/>
    <x v="0"/>
    <n v="0"/>
  </r>
  <r>
    <n v="8169455"/>
    <x v="0"/>
    <n v="17140148"/>
    <s v="Tarjeta"/>
    <n v="1007996"/>
    <n v="1007996"/>
    <n v="328142"/>
    <n v="60"/>
    <d v="2016-04-30T00:00:00"/>
    <s v="Empresa C"/>
    <n v="3"/>
    <n v="1"/>
    <n v="2"/>
    <n v="2"/>
    <n v="164071"/>
    <x v="1"/>
    <n v="0.16276949511704411"/>
  </r>
  <r>
    <n v="8169800"/>
    <x v="0"/>
    <n v="27338499"/>
    <s v="Tarjeta"/>
    <n v="1894254"/>
    <n v="1894254"/>
    <n v="350572"/>
    <n v="30"/>
    <d v="2016-05-31T00:00:00"/>
    <s v="Empresa A"/>
    <n v="3"/>
    <n v="1"/>
    <n v="2"/>
    <n v="0"/>
    <n v="0"/>
    <x v="0"/>
    <n v="0"/>
  </r>
  <r>
    <n v="8169896"/>
    <x v="1"/>
    <n v="23435595"/>
    <s v="Tarjeta"/>
    <n v="2691763"/>
    <n v="1347698"/>
    <n v="468209"/>
    <n v="90"/>
    <d v="2016-05-18T00:00:00"/>
    <s v="Empresa C"/>
    <n v="3"/>
    <n v="1"/>
    <n v="2"/>
    <n v="1"/>
    <n v="0"/>
    <x v="0"/>
    <n v="0"/>
  </r>
  <r>
    <n v="8169896"/>
    <x v="1"/>
    <n v="23435865"/>
    <s v="Tarjeta"/>
    <n v="2691763"/>
    <n v="1344064"/>
    <n v="397486"/>
    <n v="90"/>
    <d v="2016-05-18T00:00:00"/>
    <s v="Empresa C"/>
    <n v="3"/>
    <n v="1"/>
    <n v="2"/>
    <n v="0"/>
    <n v="0"/>
    <x v="0"/>
    <n v="0"/>
  </r>
  <r>
    <n v="8169918"/>
    <x v="0"/>
    <n v="25753095"/>
    <s v="Tarjeta"/>
    <n v="783257"/>
    <n v="783257"/>
    <n v="783257"/>
    <n v="180"/>
    <d v="2016-04-20T00:00:00"/>
    <s v="Empresa B"/>
    <n v="3"/>
    <n v="0"/>
    <n v="3"/>
    <n v="1"/>
    <n v="783257"/>
    <x v="2"/>
    <n v="1"/>
  </r>
  <r>
    <n v="8169981"/>
    <x v="1"/>
    <n v="27032129"/>
    <s v="Tarjeta"/>
    <n v="5113212"/>
    <n v="2487286"/>
    <n v="392482"/>
    <n v="60"/>
    <d v="2016-04-20T00:00:00"/>
    <s v="Empresa C"/>
    <n v="3"/>
    <n v="1"/>
    <n v="2"/>
    <n v="2"/>
    <n v="130827"/>
    <x v="3"/>
    <n v="5.2598293883373282E-2"/>
  </r>
  <r>
    <n v="8169981"/>
    <x v="1"/>
    <n v="27033156"/>
    <s v="Tarjeta"/>
    <n v="5113212"/>
    <n v="2625926"/>
    <n v="429219"/>
    <n v="60"/>
    <d v="2016-04-21T00:00:00"/>
    <s v="Empresa C"/>
    <n v="3"/>
    <n v="1"/>
    <n v="2"/>
    <n v="0"/>
    <n v="143073"/>
    <x v="3"/>
    <n v="5.4484779845281245E-2"/>
  </r>
  <r>
    <n v="8170036"/>
    <x v="0"/>
    <n v="21447860"/>
    <s v="Tarjeta"/>
    <n v="1760563"/>
    <n v="1742797"/>
    <n v="91656"/>
    <n v="30"/>
    <d v="2016-05-31T00:00:00"/>
    <s v="Empresa A"/>
    <n v="3"/>
    <n v="1"/>
    <n v="2"/>
    <n v="1"/>
    <n v="91656"/>
    <x v="2"/>
    <n v="5.2591323028442209E-2"/>
  </r>
  <r>
    <n v="8170123"/>
    <x v="0"/>
    <n v="25601009"/>
    <s v="Tarjeta"/>
    <n v="947845"/>
    <n v="947845"/>
    <n v="947845"/>
    <n v="150"/>
    <d v="2016-05-19T00:00:00"/>
    <s v="Empresa B"/>
    <n v="3"/>
    <n v="2"/>
    <n v="1"/>
    <n v="0"/>
    <n v="0"/>
    <x v="0"/>
    <n v="0"/>
  </r>
  <r>
    <n v="8170382"/>
    <x v="2"/>
    <n v="26499265"/>
    <s v="Libranza"/>
    <n v="22577038"/>
    <n v="18218649"/>
    <n v="389043"/>
    <n v="3"/>
    <d v="2016-06-08T00:00:00"/>
    <s v="Empresa C"/>
    <n v="3"/>
    <n v="1"/>
    <n v="2"/>
    <n v="0"/>
    <n v="389043"/>
    <x v="2"/>
    <n v="2.1354108090012602E-2"/>
  </r>
  <r>
    <n v="8170382"/>
    <x v="2"/>
    <n v="28063744"/>
    <s v="Tarjeta"/>
    <n v="22577038"/>
    <n v="2140266"/>
    <n v="427254"/>
    <n v="30"/>
    <d v="2016-05-18T00:00:00"/>
    <s v="Empresa C"/>
    <n v="3"/>
    <n v="0"/>
    <n v="3"/>
    <n v="2"/>
    <n v="427254"/>
    <x v="2"/>
    <n v="0.19962658847077885"/>
  </r>
  <r>
    <n v="8170382"/>
    <x v="2"/>
    <n v="28065349"/>
    <s v="Tarjeta"/>
    <n v="22577038"/>
    <n v="2218123"/>
    <n v="329619"/>
    <n v="30"/>
    <d v="2016-05-19T00:00:00"/>
    <s v="Empresa C"/>
    <n v="3"/>
    <n v="1"/>
    <n v="2"/>
    <n v="1"/>
    <n v="0"/>
    <x v="0"/>
    <n v="0"/>
  </r>
  <r>
    <n v="8170439"/>
    <x v="0"/>
    <n v="27843990"/>
    <s v="Tarjeta"/>
    <n v="3697789"/>
    <n v="3697789"/>
    <n v="342226"/>
    <n v="30"/>
    <d v="2016-05-19T00:00:00"/>
    <s v="Empresa C"/>
    <n v="3"/>
    <n v="1"/>
    <n v="2"/>
    <n v="1"/>
    <n v="342226"/>
    <x v="2"/>
    <n v="9.2548817685379023E-2"/>
  </r>
  <r>
    <n v="8170763"/>
    <x v="1"/>
    <n v="26772925"/>
    <s v="Libranza"/>
    <n v="7161947"/>
    <n v="6615699"/>
    <n v="142107"/>
    <n v="7"/>
    <d v="2016-06-07T00:00:00"/>
    <s v="Empresa B"/>
    <n v="3"/>
    <n v="1"/>
    <n v="2"/>
    <n v="0"/>
    <n v="0"/>
    <x v="0"/>
    <n v="0"/>
  </r>
  <r>
    <n v="8170763"/>
    <x v="1"/>
    <n v="27233973"/>
    <s v="Tarjeta"/>
    <n v="7161947"/>
    <n v="546248"/>
    <n v="546248"/>
    <n v="120"/>
    <d v="2016-05-28T00:00:00"/>
    <s v="Empresa B"/>
    <n v="3"/>
    <n v="1"/>
    <n v="2"/>
    <n v="0"/>
    <n v="546248"/>
    <x v="2"/>
    <n v="1"/>
  </r>
  <r>
    <n v="8170768"/>
    <x v="0"/>
    <n v="25300694"/>
    <s v="Tarjeta"/>
    <n v="2146760"/>
    <n v="673220"/>
    <n v="680640"/>
    <n v="240"/>
    <d v="2016-02-17T00:00:00"/>
    <s v="Empresa B"/>
    <n v="3"/>
    <n v="0"/>
    <n v="3"/>
    <n v="2"/>
    <n v="444690"/>
    <x v="1"/>
    <n v="0.66054187338462911"/>
  </r>
  <r>
    <n v="8170777"/>
    <x v="1"/>
    <n v="26247384"/>
    <s v="Tarjeta"/>
    <n v="8741727"/>
    <n v="3429567"/>
    <n v="719109"/>
    <n v="90"/>
    <d v="2016-05-18T00:00:00"/>
    <s v="Empresa C"/>
    <n v="3"/>
    <n v="1"/>
    <n v="2"/>
    <n v="1"/>
    <n v="3429567"/>
    <x v="2"/>
    <n v="1"/>
  </r>
  <r>
    <n v="8170777"/>
    <x v="1"/>
    <n v="27130922"/>
    <s v="Tarjeta"/>
    <n v="8741727"/>
    <n v="5312160"/>
    <n v="764532"/>
    <n v="60"/>
    <d v="2016-05-18T00:00:00"/>
    <s v="Empresa C"/>
    <n v="3"/>
    <n v="1"/>
    <n v="2"/>
    <n v="1"/>
    <n v="382266"/>
    <x v="1"/>
    <n v="7.1960558416915149E-2"/>
  </r>
  <r>
    <n v="8170803"/>
    <x v="0"/>
    <n v="25962079"/>
    <s v="Tarjeta"/>
    <n v="1434936"/>
    <n v="1434936"/>
    <n v="476789"/>
    <n v="60"/>
    <d v="2016-05-01T00:00:00"/>
    <s v="Empresa C"/>
    <n v="3"/>
    <n v="1"/>
    <n v="2"/>
    <n v="0"/>
    <n v="238395"/>
    <x v="1"/>
    <n v="0.16613632942514509"/>
  </r>
  <r>
    <n v="8170829"/>
    <x v="1"/>
    <n v="27287702"/>
    <s v="Tarjeta"/>
    <n v="3045836"/>
    <n v="1352706"/>
    <n v="557681"/>
    <n v="60"/>
    <d v="2016-05-19T00:00:00"/>
    <s v="Empresa B"/>
    <n v="3"/>
    <n v="1"/>
    <n v="2"/>
    <n v="0"/>
    <n v="185894"/>
    <x v="3"/>
    <n v="0.1374238008850408"/>
  </r>
  <r>
    <n v="8170829"/>
    <x v="1"/>
    <n v="27289838"/>
    <s v="Tarjeta"/>
    <n v="3045836"/>
    <n v="1693130"/>
    <n v="1693130"/>
    <n v="120"/>
    <d v="2016-05-19T00:00:00"/>
    <s v="Empresa B"/>
    <n v="3"/>
    <n v="0"/>
    <n v="3"/>
    <n v="2"/>
    <n v="0"/>
    <x v="0"/>
    <n v="0"/>
  </r>
  <r>
    <n v="8170851"/>
    <x v="0"/>
    <n v="27057377"/>
    <s v="Tarjeta"/>
    <n v="2440789"/>
    <n v="1341555"/>
    <n v="178016"/>
    <n v="30"/>
    <d v="2016-05-31T00:00:00"/>
    <s v="Empresa A"/>
    <n v="3"/>
    <n v="1"/>
    <n v="2"/>
    <n v="1"/>
    <n v="1341555"/>
    <x v="2"/>
    <n v="1"/>
  </r>
  <r>
    <n v="8170902"/>
    <x v="1"/>
    <n v="4617082"/>
    <s v="Tarjeta"/>
    <n v="2717763"/>
    <n v="1667020"/>
    <n v="317673"/>
    <n v="30"/>
    <d v="2016-05-31T00:00:00"/>
    <s v="Empresa B"/>
    <n v="3"/>
    <n v="1"/>
    <n v="2"/>
    <n v="1"/>
    <n v="105891"/>
    <x v="3"/>
    <n v="6.3521133519693823E-2"/>
  </r>
  <r>
    <n v="8170902"/>
    <x v="1"/>
    <n v="11334214"/>
    <s v="Vehiculo"/>
    <n v="2717763"/>
    <n v="1050743"/>
    <n v="1053435"/>
    <n v="339"/>
    <d v="2016-04-23T00:00:00"/>
    <s v="Empresa B"/>
    <n v="3"/>
    <n v="1"/>
    <n v="2"/>
    <n v="0"/>
    <n v="1050743"/>
    <x v="1"/>
    <n v="1"/>
  </r>
  <r>
    <n v="8171445"/>
    <x v="0"/>
    <n v="23926424"/>
    <s v="Tarjeta"/>
    <n v="572418"/>
    <n v="572418"/>
    <n v="26887"/>
    <n v="30"/>
    <d v="2016-05-18T00:00:00"/>
    <s v="Empresa C"/>
    <n v="3"/>
    <n v="2"/>
    <n v="1"/>
    <n v="0"/>
    <n v="0"/>
    <x v="0"/>
    <n v="0"/>
  </r>
  <r>
    <n v="8171508"/>
    <x v="0"/>
    <n v="27924163"/>
    <s v="Tarjeta"/>
    <n v="32898"/>
    <n v="32898"/>
    <n v="26455"/>
    <n v="30"/>
    <d v="2016-05-18T00:00:00"/>
    <s v="Empresa C"/>
    <n v="3"/>
    <n v="1"/>
    <n v="2"/>
    <n v="1"/>
    <n v="0"/>
    <x v="0"/>
    <n v="0"/>
  </r>
  <r>
    <n v="8171519"/>
    <x v="1"/>
    <n v="24829797"/>
    <s v="Tarjeta"/>
    <n v="5541861"/>
    <n v="4532330"/>
    <n v="1694160"/>
    <n v="120"/>
    <d v="2016-05-20T00:00:00"/>
    <s v="Empresa B"/>
    <n v="3"/>
    <n v="0"/>
    <n v="3"/>
    <n v="1"/>
    <n v="0"/>
    <x v="0"/>
    <n v="0"/>
  </r>
  <r>
    <n v="8171519"/>
    <x v="1"/>
    <n v="25310605"/>
    <s v="Consumo"/>
    <n v="5541861"/>
    <n v="1009531"/>
    <n v="432483"/>
    <n v="110"/>
    <d v="2016-05-20T00:00:00"/>
    <s v="Empresa B"/>
    <n v="3"/>
    <n v="1"/>
    <n v="2"/>
    <n v="2"/>
    <n v="0"/>
    <x v="0"/>
    <n v="0"/>
  </r>
  <r>
    <n v="8171572"/>
    <x v="2"/>
    <n v="26893789"/>
    <s v="Libranza"/>
    <n v="45081146"/>
    <n v="31475289"/>
    <n v="2642183"/>
    <n v="65"/>
    <d v="2016-06-08T00:00:00"/>
    <s v="Empresa B"/>
    <n v="3"/>
    <n v="1"/>
    <n v="2"/>
    <n v="0"/>
    <n v="0"/>
    <x v="0"/>
    <n v="0"/>
  </r>
  <r>
    <n v="8171572"/>
    <x v="2"/>
    <n v="27857046"/>
    <s v="Tarjeta"/>
    <n v="45081146"/>
    <n v="6553880"/>
    <n v="1425676"/>
    <n v="60"/>
    <d v="2016-06-08T00:00:00"/>
    <s v="Empresa B"/>
    <n v="3"/>
    <n v="1"/>
    <n v="2"/>
    <n v="0"/>
    <n v="0"/>
    <x v="0"/>
    <n v="0"/>
  </r>
  <r>
    <n v="8171572"/>
    <x v="2"/>
    <n v="27858009"/>
    <s v="Tarjeta"/>
    <n v="45081146"/>
    <n v="7051976"/>
    <n v="1782848"/>
    <n v="60"/>
    <d v="2016-06-08T00:00:00"/>
    <s v="Empresa B"/>
    <n v="3"/>
    <n v="1"/>
    <n v="2"/>
    <n v="1"/>
    <n v="1782848"/>
    <x v="2"/>
    <n v="0.25281538110736623"/>
  </r>
  <r>
    <n v="8171608"/>
    <x v="0"/>
    <n v="27717868"/>
    <s v="Tarjeta"/>
    <n v="4006310"/>
    <n v="1091894"/>
    <n v="28275"/>
    <n v="30"/>
    <d v="2016-05-19T00:00:00"/>
    <s v="Empresa C"/>
    <n v="3"/>
    <n v="0"/>
    <n v="3"/>
    <n v="1"/>
    <n v="0"/>
    <x v="0"/>
    <n v="0"/>
  </r>
  <r>
    <n v="8171628"/>
    <x v="0"/>
    <n v="25979102"/>
    <s v="Tarjeta"/>
    <n v="4327540"/>
    <n v="1424622"/>
    <n v="121021"/>
    <n v="30"/>
    <d v="2016-05-19T00:00:00"/>
    <s v="Empresa C"/>
    <n v="3"/>
    <n v="1"/>
    <n v="2"/>
    <n v="2"/>
    <n v="121021"/>
    <x v="2"/>
    <n v="8.4949551530160275E-2"/>
  </r>
  <r>
    <n v="8171685"/>
    <x v="0"/>
    <n v="27541896"/>
    <s v="Tarjeta"/>
    <n v="4894974"/>
    <n v="733768"/>
    <n v="163316"/>
    <n v="60"/>
    <d v="2016-05-01T00:00:00"/>
    <s v="Empresa C"/>
    <n v="3"/>
    <n v="1"/>
    <n v="2"/>
    <n v="0"/>
    <n v="0"/>
    <x v="0"/>
    <n v="0"/>
  </r>
  <r>
    <n v="8171798"/>
    <x v="0"/>
    <n v="24099866"/>
    <s v="Tarjeta"/>
    <n v="634474"/>
    <n v="634474"/>
    <n v="149154"/>
    <n v="30"/>
    <d v="2016-05-31T00:00:00"/>
    <s v="Empresa A"/>
    <n v="3"/>
    <n v="1"/>
    <n v="2"/>
    <n v="0"/>
    <n v="0"/>
    <x v="0"/>
    <n v="0"/>
  </r>
  <r>
    <n v="8171800"/>
    <x v="0"/>
    <n v="26378227"/>
    <s v="Tarjeta"/>
    <n v="1258246"/>
    <n v="1258246"/>
    <n v="1259479"/>
    <n v="150"/>
    <d v="2016-05-29T00:00:00"/>
    <s v="Empresa B"/>
    <n v="3"/>
    <n v="1"/>
    <n v="2"/>
    <n v="1"/>
    <n v="629740"/>
    <x v="1"/>
    <n v="0.50049036515911838"/>
  </r>
  <r>
    <n v="8171807"/>
    <x v="0"/>
    <n v="14659275"/>
    <s v="Tarjeta"/>
    <n v="967821"/>
    <n v="967821"/>
    <n v="176387"/>
    <n v="30"/>
    <d v="2016-05-31T00:00:00"/>
    <s v="Empresa A"/>
    <n v="3"/>
    <n v="0"/>
    <n v="3"/>
    <n v="1"/>
    <n v="0"/>
    <x v="0"/>
    <n v="0"/>
  </r>
  <r>
    <n v="8171812"/>
    <x v="0"/>
    <n v="10480436"/>
    <s v="Tarjeta"/>
    <n v="767429"/>
    <n v="767429"/>
    <n v="95888"/>
    <n v="30"/>
    <d v="2016-05-18T00:00:00"/>
    <s v="Empresa C"/>
    <n v="3"/>
    <n v="1"/>
    <n v="2"/>
    <n v="2"/>
    <n v="0"/>
    <x v="0"/>
    <n v="0"/>
  </r>
  <r>
    <n v="8171817"/>
    <x v="0"/>
    <n v="21620879"/>
    <s v="Tarjeta"/>
    <n v="1595165"/>
    <n v="1595165"/>
    <n v="88261"/>
    <n v="30"/>
    <d v="2016-05-31T00:00:00"/>
    <s v="Empresa A"/>
    <n v="3"/>
    <n v="1"/>
    <n v="2"/>
    <n v="0"/>
    <n v="0"/>
    <x v="0"/>
    <n v="0"/>
  </r>
  <r>
    <n v="8171824"/>
    <x v="0"/>
    <n v="21483616"/>
    <s v="Tarjeta"/>
    <n v="567250"/>
    <n v="567250"/>
    <n v="74403"/>
    <n v="30"/>
    <d v="2016-05-31T00:00:00"/>
    <s v="Empresa A"/>
    <n v="3"/>
    <n v="1"/>
    <n v="2"/>
    <n v="0"/>
    <n v="37202"/>
    <x v="1"/>
    <n v="6.5583076245041866E-2"/>
  </r>
  <r>
    <n v="8171975"/>
    <x v="1"/>
    <n v="16563072"/>
    <s v="Vehiculo"/>
    <n v="3244174"/>
    <n v="1391394"/>
    <n v="337456"/>
    <n v="18"/>
    <d v="2016-05-18T00:00:00"/>
    <s v="Empresa C"/>
    <n v="3"/>
    <n v="2"/>
    <n v="1"/>
    <n v="1"/>
    <n v="112485"/>
    <x v="0"/>
    <n v="8.0843384404417434E-2"/>
  </r>
  <r>
    <n v="8171975"/>
    <x v="1"/>
    <n v="25481844"/>
    <s v="Tarjeta"/>
    <n v="3244174"/>
    <n v="1852780"/>
    <n v="285747"/>
    <n v="30"/>
    <d v="2016-05-18T00:00:00"/>
    <s v="Empresa C"/>
    <n v="3"/>
    <n v="1"/>
    <n v="2"/>
    <n v="0"/>
    <n v="285747"/>
    <x v="2"/>
    <n v="0.15422608188775785"/>
  </r>
  <r>
    <n v="8172057"/>
    <x v="0"/>
    <n v="26227202"/>
    <s v="Tarjeta"/>
    <n v="631938"/>
    <n v="631938"/>
    <n v="12281"/>
    <n v="30"/>
    <d v="2016-05-31T00:00:00"/>
    <s v="Empresa A"/>
    <n v="3"/>
    <n v="0"/>
    <n v="3"/>
    <n v="2"/>
    <n v="12281"/>
    <x v="2"/>
    <n v="1.9433868512417359E-2"/>
  </r>
  <r>
    <n v="8172184"/>
    <x v="0"/>
    <n v="10919528"/>
    <s v="Tarjeta"/>
    <n v="5158829"/>
    <n v="5158829"/>
    <n v="437630"/>
    <n v="30"/>
    <d v="2016-05-31T00:00:00"/>
    <s v="Empresa A"/>
    <n v="3"/>
    <n v="1"/>
    <n v="2"/>
    <n v="1"/>
    <n v="0"/>
    <x v="0"/>
    <n v="0"/>
  </r>
  <r>
    <n v="8172545"/>
    <x v="1"/>
    <n v="25644851"/>
    <s v="Tarjeta"/>
    <n v="4572600"/>
    <n v="1831678"/>
    <n v="530870"/>
    <n v="60"/>
    <d v="2016-05-18T00:00:00"/>
    <s v="Empresa C"/>
    <n v="3"/>
    <n v="1"/>
    <n v="2"/>
    <n v="0"/>
    <n v="0"/>
    <x v="0"/>
    <n v="0"/>
  </r>
  <r>
    <n v="8172545"/>
    <x v="1"/>
    <n v="25646668"/>
    <s v="Tarjeta"/>
    <n v="4572600"/>
    <n v="687934"/>
    <n v="322080"/>
    <n v="90"/>
    <d v="2016-05-18T00:00:00"/>
    <s v="Empresa C"/>
    <n v="3"/>
    <n v="1"/>
    <n v="2"/>
    <n v="1"/>
    <n v="0"/>
    <x v="0"/>
    <n v="0"/>
  </r>
  <r>
    <n v="8172545"/>
    <x v="1"/>
    <n v="26004598"/>
    <s v="Tarjeta"/>
    <n v="4572600"/>
    <n v="2052987"/>
    <n v="970410"/>
    <n v="90"/>
    <d v="2016-05-18T00:00:00"/>
    <s v="Empresa C"/>
    <n v="3"/>
    <n v="1"/>
    <n v="2"/>
    <n v="0"/>
    <n v="970410"/>
    <x v="2"/>
    <n v="0.47268199944763412"/>
  </r>
  <r>
    <n v="8172550"/>
    <x v="1"/>
    <n v="25090717"/>
    <s v="Tarjeta"/>
    <n v="5905484"/>
    <n v="2256151"/>
    <n v="473970"/>
    <n v="60"/>
    <d v="2016-04-30T00:00:00"/>
    <s v="Empresa C"/>
    <n v="3"/>
    <n v="0"/>
    <n v="3"/>
    <n v="2"/>
    <n v="0"/>
    <x v="0"/>
    <n v="0"/>
  </r>
  <r>
    <n v="8172550"/>
    <x v="1"/>
    <n v="25277134"/>
    <s v="Tarjeta"/>
    <n v="5905484"/>
    <n v="3649333"/>
    <n v="484498"/>
    <n v="30"/>
    <d v="2016-05-19T00:00:00"/>
    <s v="Empresa C"/>
    <n v="3"/>
    <n v="1"/>
    <n v="2"/>
    <n v="1"/>
    <n v="3649333"/>
    <x v="2"/>
    <n v="1"/>
  </r>
  <r>
    <n v="8172608"/>
    <x v="0"/>
    <n v="26813449"/>
    <s v="Tarjeta"/>
    <n v="495316"/>
    <n v="495316"/>
    <n v="151335"/>
    <n v="60"/>
    <d v="2016-04-20T00:00:00"/>
    <s v="Empresa C"/>
    <n v="3"/>
    <n v="1"/>
    <n v="2"/>
    <n v="0"/>
    <n v="0"/>
    <x v="0"/>
    <n v="0"/>
  </r>
  <r>
    <n v="8172822"/>
    <x v="0"/>
    <n v="24100634"/>
    <s v="Tarjeta"/>
    <n v="512309"/>
    <n v="512309"/>
    <n v="512309"/>
    <n v="60"/>
    <d v="2016-03-19T00:00:00"/>
    <s v="Empresa C"/>
    <n v="3"/>
    <n v="1"/>
    <n v="2"/>
    <n v="1"/>
    <n v="0"/>
    <x v="0"/>
    <n v="0"/>
  </r>
  <r>
    <n v="8172834"/>
    <x v="0"/>
    <n v="21754177"/>
    <s v="Tarjeta"/>
    <n v="1460293"/>
    <n v="476381"/>
    <n v="98782"/>
    <n v="30"/>
    <d v="2016-05-18T00:00:00"/>
    <s v="Empresa C"/>
    <n v="3"/>
    <n v="1"/>
    <n v="2"/>
    <n v="0"/>
    <n v="49391"/>
    <x v="1"/>
    <n v="0.10367961778492425"/>
  </r>
  <r>
    <n v="8172834"/>
    <x v="0"/>
    <n v="25341571"/>
    <s v="Tarjeta"/>
    <n v="1460293"/>
    <n v="983912"/>
    <n v="155771"/>
    <n v="30"/>
    <d v="2016-05-18T00:00:00"/>
    <s v="Empresa C"/>
    <n v="3"/>
    <n v="0"/>
    <n v="3"/>
    <n v="2"/>
    <n v="0"/>
    <x v="0"/>
    <n v="0"/>
  </r>
  <r>
    <n v="8172857"/>
    <x v="1"/>
    <n v="27565008"/>
    <s v="Tarjeta"/>
    <n v="7793750"/>
    <n v="4003435"/>
    <n v="284345"/>
    <n v="30"/>
    <d v="2016-05-18T00:00:00"/>
    <s v="Empresa C"/>
    <n v="3"/>
    <n v="1"/>
    <n v="2"/>
    <n v="1"/>
    <n v="0"/>
    <x v="0"/>
    <n v="0"/>
  </r>
  <r>
    <n v="8172884"/>
    <x v="1"/>
    <n v="21348233"/>
    <s v="Libranza"/>
    <n v="5533706"/>
    <n v="2366830"/>
    <n v="129247"/>
    <n v="3"/>
    <d v="2016-06-08T00:00:00"/>
    <s v="Empresa C"/>
    <n v="3"/>
    <n v="1"/>
    <n v="2"/>
    <n v="0"/>
    <n v="43082"/>
    <x v="0"/>
    <n v="1.8202405749462362E-2"/>
  </r>
  <r>
    <n v="8172884"/>
    <x v="1"/>
    <n v="23312798"/>
    <s v="Tarjeta"/>
    <n v="5533706"/>
    <n v="2328942"/>
    <n v="238589"/>
    <n v="30"/>
    <d v="2016-05-18T00:00:00"/>
    <s v="Empresa C"/>
    <n v="3"/>
    <n v="1"/>
    <n v="2"/>
    <n v="1"/>
    <n v="238589"/>
    <x v="2"/>
    <n v="0.10244523049522057"/>
  </r>
  <r>
    <n v="8172884"/>
    <x v="1"/>
    <n v="23313640"/>
    <s v="Tarjeta"/>
    <n v="5533706"/>
    <n v="837934"/>
    <n v="101429"/>
    <n v="30"/>
    <d v="2016-05-19T00:00:00"/>
    <s v="Empresa C"/>
    <n v="3"/>
    <n v="2"/>
    <n v="1"/>
    <n v="0"/>
    <n v="50715"/>
    <x v="1"/>
    <n v="6.0523859874405381E-2"/>
  </r>
  <r>
    <n v="8172906"/>
    <x v="0"/>
    <n v="25709096"/>
    <s v="Tarjeta"/>
    <n v="14203"/>
    <n v="14203"/>
    <n v="8825"/>
    <n v="60"/>
    <d v="2016-05-18T00:00:00"/>
    <s v="Empresa C"/>
    <n v="3"/>
    <n v="1"/>
    <n v="2"/>
    <n v="1"/>
    <n v="14203"/>
    <x v="2"/>
    <n v="1"/>
  </r>
  <r>
    <n v="8172916"/>
    <x v="0"/>
    <n v="28122029"/>
    <s v="Tarjeta"/>
    <n v="862649"/>
    <n v="862649"/>
    <n v="115396"/>
    <n v="30"/>
    <d v="2016-05-31T00:00:00"/>
    <s v="Empresa A"/>
    <n v="3"/>
    <n v="0"/>
    <n v="3"/>
    <n v="1"/>
    <n v="0"/>
    <x v="0"/>
    <n v="0"/>
  </r>
  <r>
    <n v="8172935"/>
    <x v="0"/>
    <n v="27864939"/>
    <s v="Tarjeta"/>
    <n v="735308"/>
    <n v="735308"/>
    <n v="92451"/>
    <n v="30"/>
    <d v="2016-05-31T00:00:00"/>
    <s v="Empresa A"/>
    <n v="3"/>
    <n v="1"/>
    <n v="2"/>
    <n v="1"/>
    <n v="92451"/>
    <x v="2"/>
    <n v="0.12573098619898057"/>
  </r>
  <r>
    <n v="8173426"/>
    <x v="0"/>
    <n v="27096953"/>
    <s v="Tarjeta"/>
    <n v="2661563"/>
    <n v="1229518"/>
    <n v="101724"/>
    <n v="30"/>
    <d v="2016-05-31T00:00:00"/>
    <s v="Empresa A"/>
    <n v="3"/>
    <n v="1"/>
    <n v="2"/>
    <n v="1"/>
    <n v="33908"/>
    <x v="3"/>
    <n v="2.757828677579344E-2"/>
  </r>
  <r>
    <n v="8173437"/>
    <x v="1"/>
    <n v="26476759"/>
    <s v="Libranza"/>
    <n v="7507596"/>
    <n v="7079429"/>
    <n v="203394"/>
    <n v="3"/>
    <d v="2016-06-08T00:00:00"/>
    <s v="Empresa A"/>
    <n v="3"/>
    <n v="1"/>
    <n v="2"/>
    <n v="0"/>
    <n v="0"/>
    <x v="0"/>
    <n v="0"/>
  </r>
  <r>
    <n v="8173437"/>
    <x v="1"/>
    <n v="26774236"/>
    <s v="Tarjeta"/>
    <n v="7507596"/>
    <n v="428167"/>
    <n v="67451"/>
    <n v="30"/>
    <d v="2016-05-31T00:00:00"/>
    <s v="Empresa A"/>
    <n v="3"/>
    <n v="1"/>
    <n v="2"/>
    <n v="1"/>
    <n v="0"/>
    <x v="0"/>
    <n v="0"/>
  </r>
  <r>
    <n v="8173444"/>
    <x v="0"/>
    <n v="27690468"/>
    <s v="Tarjeta"/>
    <n v="622345"/>
    <n v="622345"/>
    <n v="219415"/>
    <n v="90"/>
    <d v="2016-05-28T00:00:00"/>
    <s v="Empresa C"/>
    <n v="3"/>
    <n v="0"/>
    <n v="3"/>
    <n v="1"/>
    <n v="0"/>
    <x v="0"/>
    <n v="0"/>
  </r>
  <r>
    <n v="8173552"/>
    <x v="0"/>
    <n v="15784792"/>
    <s v="Tarjeta"/>
    <n v="1924813"/>
    <n v="1092794"/>
    <n v="1092794"/>
    <n v="150"/>
    <d v="2016-05-18T00:00:00"/>
    <s v="Empresa B"/>
    <n v="3"/>
    <n v="1"/>
    <n v="2"/>
    <n v="1"/>
    <n v="364265"/>
    <x v="3"/>
    <n v="0.33333363836185043"/>
  </r>
  <r>
    <n v="8173552"/>
    <x v="0"/>
    <n v="20787125"/>
    <s v="Tarjeta"/>
    <n v="1924813"/>
    <n v="832019"/>
    <n v="427866"/>
    <n v="60"/>
    <d v="2016-04-30T00:00:00"/>
    <s v="Empresa B"/>
    <n v="3"/>
    <n v="1"/>
    <n v="2"/>
    <n v="1"/>
    <n v="0"/>
    <x v="0"/>
    <n v="0"/>
  </r>
  <r>
    <n v="8173554"/>
    <x v="1"/>
    <n v="26936631"/>
    <s v="Tarjeta"/>
    <n v="2878382"/>
    <n v="1788847"/>
    <n v="442215"/>
    <n v="60"/>
    <d v="2016-04-30T00:00:00"/>
    <s v="Empresa C"/>
    <n v="3"/>
    <n v="1"/>
    <n v="2"/>
    <n v="0"/>
    <n v="0"/>
    <x v="0"/>
    <n v="0"/>
  </r>
  <r>
    <n v="8173554"/>
    <x v="1"/>
    <n v="28584103"/>
    <s v="Tarjeta"/>
    <n v="2878382"/>
    <n v="1089535"/>
    <n v="215560"/>
    <n v="60"/>
    <d v="2016-06-02T00:00:00"/>
    <s v="Empresa C"/>
    <n v="3"/>
    <n v="1"/>
    <n v="2"/>
    <n v="1"/>
    <n v="1089535"/>
    <x v="2"/>
    <n v="1"/>
  </r>
  <r>
    <n v="8173659"/>
    <x v="2"/>
    <n v="22424854"/>
    <s v="Vehiculo"/>
    <n v="22962426"/>
    <n v="21529474"/>
    <n v="4104396"/>
    <n v="151"/>
    <d v="2016-03-11T00:00:00"/>
    <s v="Empresa B"/>
    <n v="3"/>
    <n v="0"/>
    <n v="3"/>
    <n v="1"/>
    <n v="0"/>
    <x v="0"/>
    <n v="0"/>
  </r>
  <r>
    <n v="8173659"/>
    <x v="2"/>
    <n v="26356232"/>
    <s v="Tarjeta"/>
    <n v="22962426"/>
    <n v="1432951"/>
    <n v="687631"/>
    <n v="60"/>
    <d v="2016-04-20T00:00:00"/>
    <s v="Empresa B"/>
    <n v="3"/>
    <n v="1"/>
    <n v="2"/>
    <n v="1"/>
    <n v="0"/>
    <x v="0"/>
    <n v="0"/>
  </r>
  <r>
    <n v="8173751"/>
    <x v="0"/>
    <n v="23390348"/>
    <s v="Tarjeta"/>
    <n v="873703"/>
    <n v="873703"/>
    <n v="5705"/>
    <n v="30"/>
    <d v="2016-05-18T00:00:00"/>
    <s v="Empresa C"/>
    <n v="3"/>
    <n v="1"/>
    <n v="2"/>
    <n v="1"/>
    <n v="0"/>
    <x v="0"/>
    <n v="0"/>
  </r>
  <r>
    <n v="8173877"/>
    <x v="1"/>
    <n v="23856527"/>
    <s v="Tarjeta"/>
    <n v="10088882"/>
    <n v="4381811"/>
    <n v="4381811"/>
    <n v="360"/>
    <d v="2016-04-27T00:00:00"/>
    <s v="Empresa B"/>
    <n v="3"/>
    <n v="1"/>
    <n v="2"/>
    <n v="0"/>
    <n v="0"/>
    <x v="0"/>
    <n v="0"/>
  </r>
  <r>
    <n v="8173935"/>
    <x v="0"/>
    <n v="26913436"/>
    <s v="Tarjeta"/>
    <n v="2249865"/>
    <n v="2249865"/>
    <n v="212808"/>
    <n v="30"/>
    <d v="2016-05-18T00:00:00"/>
    <s v="Empresa C"/>
    <n v="3"/>
    <n v="2"/>
    <n v="1"/>
    <n v="1"/>
    <n v="0"/>
    <x v="0"/>
    <n v="0"/>
  </r>
  <r>
    <n v="8173944"/>
    <x v="0"/>
    <n v="21732738"/>
    <s v="Tarjeta"/>
    <n v="211662"/>
    <n v="211662"/>
    <n v="89563"/>
    <n v="60"/>
    <d v="2016-05-01T00:00:00"/>
    <s v="Empresa C"/>
    <n v="3"/>
    <n v="1"/>
    <n v="2"/>
    <n v="0"/>
    <n v="0"/>
    <x v="0"/>
    <n v="0"/>
  </r>
  <r>
    <n v="8173948"/>
    <x v="0"/>
    <n v="12213655"/>
    <s v="Tarjeta"/>
    <n v="57228"/>
    <n v="57228"/>
    <n v="8578"/>
    <n v="30"/>
    <d v="2016-05-18T00:00:00"/>
    <s v="Empresa C"/>
    <n v="3"/>
    <n v="0"/>
    <n v="3"/>
    <n v="1"/>
    <n v="0"/>
    <x v="0"/>
    <n v="0"/>
  </r>
  <r>
    <n v="8174057"/>
    <x v="2"/>
    <n v="25232710"/>
    <s v="Tarjeta"/>
    <n v="28330895"/>
    <n v="20221250"/>
    <n v="1935578"/>
    <n v="30"/>
    <d v="2016-05-18T00:00:00"/>
    <s v="Empresa C"/>
    <n v="3"/>
    <n v="1"/>
    <n v="2"/>
    <n v="2"/>
    <n v="967789"/>
    <x v="1"/>
    <n v="4.7859998763676824E-2"/>
  </r>
  <r>
    <n v="8174057"/>
    <x v="2"/>
    <n v="26383422"/>
    <s v="Rotativo"/>
    <n v="28330895"/>
    <n v="4854544"/>
    <n v="462851"/>
    <n v="54"/>
    <d v="2016-04-21T00:00:00"/>
    <s v="Empresa C"/>
    <n v="3"/>
    <n v="1"/>
    <n v="2"/>
    <n v="0"/>
    <n v="0"/>
    <x v="0"/>
    <n v="0"/>
  </r>
  <r>
    <n v="8174057"/>
    <x v="2"/>
    <n v="26909240"/>
    <s v="Rotativo"/>
    <n v="28330895"/>
    <n v="176853"/>
    <n v="60413"/>
    <n v="54"/>
    <d v="2016-04-21T00:00:00"/>
    <s v="Empresa C"/>
    <n v="3"/>
    <n v="1"/>
    <n v="2"/>
    <n v="1"/>
    <n v="0"/>
    <x v="0"/>
    <n v="0"/>
  </r>
  <r>
    <n v="8174057"/>
    <x v="2"/>
    <n v="28215222"/>
    <s v="Rotativo"/>
    <n v="28330895"/>
    <n v="735265"/>
    <n v="38822"/>
    <n v="24"/>
    <d v="2016-05-17T00:00:00"/>
    <s v="Empresa C"/>
    <n v="3"/>
    <n v="1"/>
    <n v="2"/>
    <n v="0"/>
    <n v="0"/>
    <x v="0"/>
    <n v="0"/>
  </r>
  <r>
    <n v="8174059"/>
    <x v="1"/>
    <n v="22099246"/>
    <s v="Tarjeta"/>
    <n v="2997089"/>
    <n v="389510"/>
    <n v="74041"/>
    <n v="60"/>
    <d v="2016-05-18T00:00:00"/>
    <s v="Empresa B"/>
    <n v="3"/>
    <n v="0"/>
    <n v="3"/>
    <n v="1"/>
    <n v="74041"/>
    <x v="2"/>
    <n v="0.19008754589099125"/>
  </r>
  <r>
    <n v="8174059"/>
    <x v="1"/>
    <n v="23427410"/>
    <s v="Tarjeta"/>
    <n v="2997089"/>
    <n v="2607579"/>
    <n v="2607579"/>
    <n v="120"/>
    <d v="2016-05-18T00:00:00"/>
    <s v="Empresa B"/>
    <n v="3"/>
    <n v="1"/>
    <n v="2"/>
    <n v="2"/>
    <n v="0"/>
    <x v="1"/>
    <n v="0"/>
  </r>
  <r>
    <n v="8174167"/>
    <x v="0"/>
    <n v="22474920"/>
    <s v="Tarjeta"/>
    <n v="4085316"/>
    <n v="4085316"/>
    <n v="451375"/>
    <n v="30"/>
    <d v="2016-05-18T00:00:00"/>
    <s v="Empresa C"/>
    <n v="3"/>
    <n v="1"/>
    <n v="2"/>
    <n v="0"/>
    <n v="0"/>
    <x v="0"/>
    <n v="0"/>
  </r>
  <r>
    <n v="8174228"/>
    <x v="1"/>
    <n v="25119402"/>
    <s v="Tarjeta"/>
    <n v="14585454"/>
    <n v="5223502"/>
    <n v="300425"/>
    <n v="30"/>
    <d v="2016-05-14T00:00:00"/>
    <s v="Empresa B"/>
    <n v="3"/>
    <n v="1"/>
    <n v="2"/>
    <n v="1"/>
    <n v="0"/>
    <x v="0"/>
    <n v="0"/>
  </r>
  <r>
    <n v="8174723"/>
    <x v="1"/>
    <n v="20516171"/>
    <s v="Tarjeta"/>
    <n v="9012644"/>
    <n v="1862360"/>
    <n v="1862360"/>
    <n v="270"/>
    <d v="2016-04-27T00:00:00"/>
    <s v="Empresa B"/>
    <n v="3"/>
    <n v="1"/>
    <n v="2"/>
    <n v="0"/>
    <n v="1862360"/>
    <x v="2"/>
    <n v="1"/>
  </r>
  <r>
    <n v="8174723"/>
    <x v="1"/>
    <n v="22647176"/>
    <s v="Libranza"/>
    <n v="9012644"/>
    <n v="7150283"/>
    <n v="1619568"/>
    <n v="204"/>
    <d v="2016-03-17T00:00:00"/>
    <s v="Empresa B"/>
    <n v="3"/>
    <n v="0"/>
    <n v="3"/>
    <n v="1"/>
    <n v="0"/>
    <x v="1"/>
    <n v="0"/>
  </r>
  <r>
    <n v="8174927"/>
    <x v="0"/>
    <n v="25357564"/>
    <s v="Tarjeta"/>
    <n v="58864"/>
    <n v="58864"/>
    <n v="19716"/>
    <n v="30"/>
    <d v="2016-05-31T00:00:00"/>
    <s v="Empresa A"/>
    <n v="3"/>
    <n v="1"/>
    <n v="2"/>
    <n v="2"/>
    <n v="0"/>
    <x v="0"/>
    <n v="0"/>
  </r>
  <r>
    <n v="8175003"/>
    <x v="0"/>
    <n v="11405813"/>
    <s v="Tarjeta"/>
    <n v="2606591"/>
    <n v="926229"/>
    <n v="134045"/>
    <n v="30"/>
    <d v="2016-05-31T00:00:00"/>
    <s v="Empresa A"/>
    <n v="3"/>
    <n v="1"/>
    <n v="2"/>
    <n v="0"/>
    <n v="134045"/>
    <x v="2"/>
    <n v="0.14472122984704647"/>
  </r>
  <r>
    <n v="8175087"/>
    <x v="0"/>
    <n v="26656234"/>
    <s v="Tarjeta"/>
    <n v="2177151"/>
    <n v="2177151"/>
    <n v="2177151"/>
    <n v="120"/>
    <d v="2016-05-18T00:00:00"/>
    <s v="Empresa B"/>
    <n v="3"/>
    <n v="1"/>
    <n v="2"/>
    <n v="1"/>
    <n v="2177151"/>
    <x v="2"/>
    <n v="1"/>
  </r>
  <r>
    <n v="8175094"/>
    <x v="0"/>
    <n v="25678340"/>
    <s v="Tarjeta"/>
    <n v="1028114"/>
    <n v="1028114"/>
    <n v="120863"/>
    <n v="30"/>
    <d v="2016-05-31T00:00:00"/>
    <s v="Empresa A"/>
    <n v="3"/>
    <n v="2"/>
    <n v="1"/>
    <n v="0"/>
    <n v="1028114"/>
    <x v="2"/>
    <n v="1"/>
  </r>
  <r>
    <n v="8175117"/>
    <x v="0"/>
    <n v="21924524"/>
    <s v="Tarjeta"/>
    <n v="2312783"/>
    <n v="1693015"/>
    <n v="164418"/>
    <n v="30"/>
    <d v="2016-05-18T00:00:00"/>
    <s v="Empresa C"/>
    <n v="3"/>
    <n v="1"/>
    <n v="2"/>
    <n v="0"/>
    <n v="54806"/>
    <x v="3"/>
    <n v="3.2371833681331827E-2"/>
  </r>
  <r>
    <n v="8175117"/>
    <x v="0"/>
    <n v="24163237"/>
    <s v="Tarjeta"/>
    <n v="2312783"/>
    <n v="619769"/>
    <n v="48528"/>
    <n v="30"/>
    <d v="2016-05-29T00:00:00"/>
    <s v="Empresa C"/>
    <n v="3"/>
    <n v="0"/>
    <n v="3"/>
    <n v="2"/>
    <n v="0"/>
    <x v="0"/>
    <n v="0"/>
  </r>
  <r>
    <n v="8175233"/>
    <x v="0"/>
    <n v="27048969"/>
    <s v="Tarjeta"/>
    <n v="1756228"/>
    <n v="1756228"/>
    <n v="166626"/>
    <n v="30"/>
    <d v="2016-05-31T00:00:00"/>
    <s v="Empresa A"/>
    <n v="3"/>
    <n v="1"/>
    <n v="2"/>
    <n v="1"/>
    <n v="83313"/>
    <x v="1"/>
    <n v="4.743860136610964E-2"/>
  </r>
  <r>
    <n v="8175412"/>
    <x v="0"/>
    <n v="27722229"/>
    <s v="Tarjeta"/>
    <n v="2779403"/>
    <n v="1230688"/>
    <n v="11709"/>
    <n v="30"/>
    <d v="2016-04-20T00:00:00"/>
    <s v="Empresa C"/>
    <n v="3"/>
    <n v="1"/>
    <n v="2"/>
    <n v="1"/>
    <n v="11709"/>
    <x v="2"/>
    <n v="9.5141904365688128E-3"/>
  </r>
  <r>
    <n v="8175432"/>
    <x v="1"/>
    <n v="26725384"/>
    <s v="Tarjeta"/>
    <n v="19550598"/>
    <n v="905521"/>
    <n v="55875"/>
    <n v="30"/>
    <d v="2016-05-31T00:00:00"/>
    <s v="Empresa A"/>
    <n v="3"/>
    <n v="1"/>
    <n v="2"/>
    <n v="0"/>
    <n v="0"/>
    <x v="0"/>
    <n v="0"/>
  </r>
  <r>
    <n v="8175434"/>
    <x v="2"/>
    <n v="21490702"/>
    <s v="Consumo"/>
    <n v="38184408"/>
    <n v="3305009"/>
    <n v="3305009"/>
    <n v="454"/>
    <d v="2015-11-20T00:00:00"/>
    <s v="Empresa B"/>
    <n v="3"/>
    <n v="1"/>
    <n v="2"/>
    <n v="0"/>
    <n v="3305009"/>
    <x v="2"/>
    <n v="1"/>
  </r>
  <r>
    <n v="8175434"/>
    <x v="2"/>
    <n v="22984080"/>
    <s v="Rotativo"/>
    <n v="38184408"/>
    <n v="1247624"/>
    <n v="847109"/>
    <n v="329"/>
    <d v="2015-11-20T00:00:00"/>
    <s v="Empresa B"/>
    <n v="3"/>
    <n v="0"/>
    <n v="3"/>
    <n v="2"/>
    <n v="423554"/>
    <x v="1"/>
    <n v="0.33948849974030637"/>
  </r>
  <r>
    <n v="8175434"/>
    <x v="2"/>
    <n v="22984353"/>
    <s v="Rotativo"/>
    <n v="38184408"/>
    <n v="1603173"/>
    <n v="1088545"/>
    <n v="329"/>
    <d v="2015-11-20T00:00:00"/>
    <s v="Empresa B"/>
    <n v="3"/>
    <n v="1"/>
    <n v="2"/>
    <n v="1"/>
    <n v="0"/>
    <x v="1"/>
    <n v="0"/>
  </r>
  <r>
    <n v="8175434"/>
    <x v="2"/>
    <n v="23068002"/>
    <s v="Rotativo"/>
    <n v="38184408"/>
    <n v="1829873"/>
    <n v="1153476"/>
    <n v="329"/>
    <d v="2015-11-20T00:00:00"/>
    <s v="Empresa B"/>
    <n v="3"/>
    <n v="1"/>
    <n v="2"/>
    <n v="1"/>
    <n v="0"/>
    <x v="1"/>
    <n v="0"/>
  </r>
  <r>
    <n v="8175434"/>
    <x v="2"/>
    <n v="23123539"/>
    <s v="Rotativo"/>
    <n v="38184408"/>
    <n v="2897450"/>
    <n v="2211719"/>
    <n v="571"/>
    <d v="2015-11-20T00:00:00"/>
    <s v="Empresa B"/>
    <n v="3"/>
    <n v="1"/>
    <n v="2"/>
    <n v="0"/>
    <n v="2211719"/>
    <x v="2"/>
    <n v="0.76333293068042585"/>
  </r>
  <r>
    <n v="8175434"/>
    <x v="2"/>
    <n v="23827455"/>
    <s v="Tarjeta"/>
    <n v="38184408"/>
    <n v="4065749"/>
    <n v="4065749"/>
    <n v="360"/>
    <d v="2015-11-20T00:00:00"/>
    <s v="Empresa B"/>
    <n v="3"/>
    <n v="1"/>
    <n v="2"/>
    <n v="0"/>
    <n v="4065749"/>
    <x v="2"/>
    <n v="1"/>
  </r>
  <r>
    <n v="8175434"/>
    <x v="2"/>
    <n v="24903975"/>
    <s v="Rotativo"/>
    <n v="38184408"/>
    <n v="2170233"/>
    <n v="1334071"/>
    <n v="602"/>
    <d v="2015-11-20T00:00:00"/>
    <s v="Empresa B"/>
    <n v="3"/>
    <n v="0"/>
    <n v="3"/>
    <n v="2"/>
    <n v="444690"/>
    <x v="3"/>
    <n v="0.20490426603963721"/>
  </r>
  <r>
    <n v="8175521"/>
    <x v="0"/>
    <n v="28584078"/>
    <s v="Tarjeta"/>
    <n v="2257448"/>
    <n v="935943"/>
    <n v="82164"/>
    <n v="30"/>
    <d v="2016-06-03T00:00:00"/>
    <s v="Empresa C"/>
    <n v="3"/>
    <n v="1"/>
    <n v="2"/>
    <n v="1"/>
    <n v="82164"/>
    <x v="2"/>
    <n v="8.7787397309451537E-2"/>
  </r>
  <r>
    <n v="8177174"/>
    <x v="0"/>
    <n v="16031676"/>
    <s v="Tarjeta"/>
    <n v="2250334"/>
    <n v="1140847"/>
    <n v="403364"/>
    <n v="60"/>
    <d v="2016-04-30T00:00:00"/>
    <s v="Empresa C"/>
    <n v="3"/>
    <n v="1"/>
    <n v="2"/>
    <n v="1"/>
    <n v="134455"/>
    <x v="3"/>
    <n v="0.11785541794824372"/>
  </r>
  <r>
    <n v="8177174"/>
    <x v="0"/>
    <n v="17210228"/>
    <s v="Tarjeta"/>
    <n v="2250334"/>
    <n v="1109487"/>
    <n v="372978"/>
    <n v="60"/>
    <d v="2016-05-01T00:00:00"/>
    <s v="Empresa C"/>
    <n v="3"/>
    <n v="1"/>
    <n v="2"/>
    <n v="0"/>
    <n v="372978"/>
    <x v="2"/>
    <n v="0.33617158200141145"/>
  </r>
  <r>
    <n v="8177716"/>
    <x v="0"/>
    <n v="26262210"/>
    <s v="Tarjeta"/>
    <n v="1542416"/>
    <n v="1542416"/>
    <n v="338657"/>
    <n v="60"/>
    <d v="2016-05-01T00:00:00"/>
    <s v="Empresa C"/>
    <n v="3"/>
    <n v="2"/>
    <n v="1"/>
    <n v="0"/>
    <n v="1542416"/>
    <x v="2"/>
    <n v="1"/>
  </r>
  <r>
    <n v="8177887"/>
    <x v="1"/>
    <n v="26004795"/>
    <s v="Tarjeta"/>
    <n v="16645036"/>
    <n v="4070571"/>
    <n v="4070571"/>
    <n v="360"/>
    <d v="2015-11-28T00:00:00"/>
    <s v="Empresa B"/>
    <n v="3"/>
    <n v="1"/>
    <n v="2"/>
    <n v="1"/>
    <n v="423554"/>
    <x v="3"/>
    <n v="0.10405272380705312"/>
  </r>
  <r>
    <n v="8178293"/>
    <x v="0"/>
    <n v="19935619"/>
    <s v="Tarjeta"/>
    <n v="190232"/>
    <n v="190232"/>
    <n v="14567"/>
    <n v="30"/>
    <d v="2016-05-18T00:00:00"/>
    <s v="Empresa C"/>
    <n v="3"/>
    <n v="0"/>
    <n v="3"/>
    <n v="1"/>
    <n v="0"/>
    <x v="0"/>
    <n v="0"/>
  </r>
  <r>
    <n v="8178346"/>
    <x v="1"/>
    <n v="26154252"/>
    <s v="Tarjeta"/>
    <n v="8304178"/>
    <n v="2221749"/>
    <n v="403716"/>
    <n v="30"/>
    <d v="2016-05-29T00:00:00"/>
    <s v="Empresa C"/>
    <n v="3"/>
    <n v="1"/>
    <n v="2"/>
    <n v="2"/>
    <n v="0"/>
    <x v="0"/>
    <n v="0"/>
  </r>
  <r>
    <n v="8180768"/>
    <x v="0"/>
    <n v="1438298"/>
    <s v="Tarjeta"/>
    <n v="1927436"/>
    <n v="1927436"/>
    <n v="81599"/>
    <n v="30"/>
    <d v="2016-05-31T00:00:00"/>
    <s v="Empresa A"/>
    <n v="3"/>
    <n v="1"/>
    <n v="2"/>
    <n v="0"/>
    <n v="0"/>
    <x v="0"/>
    <n v="0"/>
  </r>
  <r>
    <n v="8181055"/>
    <x v="1"/>
    <n v="21622993"/>
    <s v="Tarjeta"/>
    <n v="7170559"/>
    <n v="1436715"/>
    <n v="1436715"/>
    <n v="360"/>
    <d v="2016-03-14T00:00:00"/>
    <s v="Empresa B"/>
    <n v="3"/>
    <n v="1"/>
    <n v="2"/>
    <n v="0"/>
    <n v="478905"/>
    <x v="3"/>
    <n v="0.33333333333333331"/>
  </r>
  <r>
    <n v="8181055"/>
    <x v="1"/>
    <n v="21623286"/>
    <s v="Tarjeta"/>
    <n v="7170559"/>
    <n v="2282558"/>
    <n v="2282558"/>
    <n v="360"/>
    <d v="2016-04-27T00:00:00"/>
    <s v="Empresa B"/>
    <n v="3"/>
    <n v="1"/>
    <n v="2"/>
    <n v="1"/>
    <n v="760853"/>
    <x v="3"/>
    <n v="0.33333347936832275"/>
  </r>
  <r>
    <n v="8181850"/>
    <x v="0"/>
    <n v="16943512"/>
    <s v="Tarjeta"/>
    <n v="3150543"/>
    <n v="3150543"/>
    <n v="356551"/>
    <n v="30"/>
    <d v="2016-05-18T00:00:00"/>
    <s v="Empresa C"/>
    <n v="3"/>
    <n v="0"/>
    <n v="3"/>
    <n v="1"/>
    <n v="0"/>
    <x v="0"/>
    <n v="0"/>
  </r>
  <r>
    <n v="8182206"/>
    <x v="2"/>
    <n v="12411571"/>
    <s v="Tarjeta"/>
    <n v="24483414"/>
    <n v="4750021"/>
    <n v="4750021"/>
    <n v="360"/>
    <d v="2015-11-21T00:00:00"/>
    <s v="Empresa B"/>
    <n v="3"/>
    <n v="1"/>
    <n v="2"/>
    <n v="2"/>
    <n v="0"/>
    <x v="1"/>
    <n v="0"/>
  </r>
  <r>
    <n v="8182206"/>
    <x v="2"/>
    <n v="15355963"/>
    <s v="Tarjeta"/>
    <n v="24483414"/>
    <n v="4749692"/>
    <n v="4749692"/>
    <n v="360"/>
    <d v="2015-11-21T00:00:00"/>
    <s v="Empresa B"/>
    <n v="3"/>
    <n v="1"/>
    <n v="2"/>
    <n v="0"/>
    <n v="0"/>
    <x v="1"/>
    <n v="0"/>
  </r>
  <r>
    <n v="8182206"/>
    <x v="2"/>
    <n v="15356943"/>
    <s v="Tarjeta"/>
    <n v="24483414"/>
    <n v="4910018"/>
    <n v="4910018"/>
    <n v="360"/>
    <d v="2015-11-21T00:00:00"/>
    <s v="Empresa B"/>
    <n v="3"/>
    <n v="1"/>
    <n v="2"/>
    <n v="0"/>
    <n v="0"/>
    <x v="1"/>
    <n v="0"/>
  </r>
  <r>
    <n v="8182453"/>
    <x v="2"/>
    <n v="4284933"/>
    <s v="Tarjeta"/>
    <n v="19225783"/>
    <n v="1976706"/>
    <n v="306376"/>
    <n v="60"/>
    <d v="2016-04-30T00:00:00"/>
    <s v="Empresa C"/>
    <n v="3"/>
    <n v="1"/>
    <n v="2"/>
    <n v="1"/>
    <n v="306376"/>
    <x v="2"/>
    <n v="0.15499320586875337"/>
  </r>
  <r>
    <n v="8182453"/>
    <x v="2"/>
    <n v="10408712"/>
    <s v="Tarjeta"/>
    <n v="19225783"/>
    <n v="4206613"/>
    <n v="338481"/>
    <n v="30"/>
    <d v="2016-05-18T00:00:00"/>
    <s v="Empresa C"/>
    <n v="3"/>
    <n v="0"/>
    <n v="3"/>
    <n v="1"/>
    <n v="338481"/>
    <x v="2"/>
    <n v="8.0464021767631108E-2"/>
  </r>
  <r>
    <n v="8182453"/>
    <x v="2"/>
    <n v="15475872"/>
    <s v="Tarjeta"/>
    <n v="19225783"/>
    <n v="5046959"/>
    <n v="513749"/>
    <n v="30"/>
    <d v="2016-05-29T00:00:00"/>
    <s v="Empresa C"/>
    <n v="3"/>
    <n v="1"/>
    <n v="2"/>
    <n v="2"/>
    <n v="0"/>
    <x v="0"/>
    <n v="0"/>
  </r>
  <r>
    <n v="8183550"/>
    <x v="0"/>
    <n v="25922154"/>
    <s v="Tarjeta"/>
    <n v="1817928"/>
    <n v="747521"/>
    <n v="91498"/>
    <n v="30"/>
    <d v="2016-05-31T00:00:00"/>
    <s v="Empresa A"/>
    <n v="3"/>
    <n v="1"/>
    <n v="2"/>
    <n v="0"/>
    <n v="0"/>
    <x v="0"/>
    <n v="0"/>
  </r>
  <r>
    <n v="8183593"/>
    <x v="1"/>
    <n v="3487181"/>
    <s v="Tarjeta"/>
    <n v="5664055"/>
    <n v="3395196"/>
    <n v="3395196"/>
    <n v="150"/>
    <d v="2016-04-20T00:00:00"/>
    <s v="Empresa B"/>
    <n v="3"/>
    <n v="1"/>
    <n v="2"/>
    <n v="0"/>
    <n v="3395196"/>
    <x v="2"/>
    <n v="1"/>
  </r>
  <r>
    <n v="8183593"/>
    <x v="1"/>
    <n v="3487537"/>
    <s v="Tarjeta"/>
    <n v="5664055"/>
    <n v="2268860"/>
    <n v="2268860"/>
    <n v="150"/>
    <d v="2016-04-30T00:00:00"/>
    <s v="Empresa B"/>
    <n v="3"/>
    <n v="2"/>
    <n v="1"/>
    <n v="1"/>
    <n v="0"/>
    <x v="1"/>
    <n v="0"/>
  </r>
  <r>
    <n v="8183881"/>
    <x v="0"/>
    <n v="25845909"/>
    <s v="Tarjeta"/>
    <n v="1935142"/>
    <n v="909660"/>
    <n v="133003"/>
    <n v="90"/>
    <d v="2016-04-21T00:00:00"/>
    <s v="Empresa B"/>
    <n v="3"/>
    <n v="1"/>
    <n v="2"/>
    <n v="0"/>
    <n v="133003"/>
    <x v="2"/>
    <n v="0.14621177143108413"/>
  </r>
  <r>
    <n v="8183881"/>
    <x v="0"/>
    <n v="25846725"/>
    <s v="Tarjeta"/>
    <n v="1935142"/>
    <n v="1025482"/>
    <n v="1025482"/>
    <n v="150"/>
    <d v="2016-05-19T00:00:00"/>
    <s v="Empresa B"/>
    <n v="3"/>
    <n v="0"/>
    <n v="3"/>
    <n v="2"/>
    <n v="0"/>
    <x v="1"/>
    <n v="0"/>
  </r>
  <r>
    <n v="8184628"/>
    <x v="0"/>
    <n v="24982681"/>
    <s v="Tarjeta"/>
    <n v="1018077"/>
    <n v="1018077"/>
    <n v="113865"/>
    <n v="30"/>
    <d v="2016-05-19T00:00:00"/>
    <s v="Empresa C"/>
    <n v="3"/>
    <n v="1"/>
    <n v="2"/>
    <n v="1"/>
    <n v="0"/>
    <x v="0"/>
    <n v="0"/>
  </r>
  <r>
    <n v="8184681"/>
    <x v="0"/>
    <n v="21188298"/>
    <s v="Tarjeta"/>
    <n v="2297800"/>
    <n v="851335"/>
    <n v="65115"/>
    <n v="30"/>
    <d v="2016-06-01T00:00:00"/>
    <s v="Empresa C"/>
    <n v="3"/>
    <n v="1"/>
    <n v="2"/>
    <n v="0"/>
    <n v="65115"/>
    <x v="2"/>
    <n v="7.6485754726400304E-2"/>
  </r>
  <r>
    <n v="8184854"/>
    <x v="2"/>
    <n v="22156065"/>
    <s v="Tarjeta"/>
    <n v="64339037"/>
    <n v="2272100"/>
    <n v="2272100"/>
    <n v="360"/>
    <d v="2016-05-16T00:00:00"/>
    <s v="Empresa B"/>
    <n v="3"/>
    <n v="1"/>
    <n v="2"/>
    <n v="1"/>
    <n v="0"/>
    <x v="1"/>
    <n v="0"/>
  </r>
  <r>
    <n v="8185898"/>
    <x v="0"/>
    <n v="26379550"/>
    <s v="Tarjeta"/>
    <n v="1193925"/>
    <n v="1193925"/>
    <n v="58785"/>
    <n v="30"/>
    <d v="2016-05-18T00:00:00"/>
    <s v="Empresa C"/>
    <n v="3"/>
    <n v="1"/>
    <n v="2"/>
    <n v="0"/>
    <n v="1193925"/>
    <x v="2"/>
    <n v="1"/>
  </r>
  <r>
    <n v="8186426"/>
    <x v="0"/>
    <n v="22931031"/>
    <s v="Tarjeta"/>
    <n v="80992"/>
    <n v="80992"/>
    <n v="77981"/>
    <n v="210"/>
    <d v="2016-03-18T00:00:00"/>
    <s v="Empresa B"/>
    <n v="3"/>
    <n v="0"/>
    <n v="3"/>
    <n v="2"/>
    <n v="80992"/>
    <x v="2"/>
    <n v="1"/>
  </r>
  <r>
    <n v="8187113"/>
    <x v="0"/>
    <n v="21767160"/>
    <s v="Tarjeta"/>
    <n v="950272"/>
    <n v="950272"/>
    <n v="339772"/>
    <n v="60"/>
    <d v="2016-04-20T00:00:00"/>
    <s v="Empresa C"/>
    <n v="3"/>
    <n v="1"/>
    <n v="2"/>
    <n v="1"/>
    <n v="169887"/>
    <x v="1"/>
    <n v="0.17877723430765086"/>
  </r>
  <r>
    <n v="8187231"/>
    <x v="0"/>
    <n v="28056854"/>
    <s v="Tarjeta"/>
    <n v="1217947"/>
    <n v="1217947"/>
    <n v="155692"/>
    <n v="30"/>
    <d v="2016-06-01T00:00:00"/>
    <s v="Empresa C"/>
    <n v="3"/>
    <n v="1"/>
    <n v="2"/>
    <n v="0"/>
    <n v="0"/>
    <x v="0"/>
    <n v="0"/>
  </r>
  <r>
    <n v="8187553"/>
    <x v="0"/>
    <n v="27233220"/>
    <s v="Tarjeta"/>
    <n v="711171"/>
    <n v="711171"/>
    <n v="711171"/>
    <n v="150"/>
    <d v="2016-05-18T00:00:00"/>
    <s v="Empresa B"/>
    <n v="3"/>
    <n v="1"/>
    <n v="2"/>
    <n v="1"/>
    <n v="355586"/>
    <x v="1"/>
    <n v="0.5000007030657887"/>
  </r>
  <r>
    <n v="8187734"/>
    <x v="0"/>
    <n v="10938673"/>
    <s v="Tarjeta"/>
    <n v="3234783"/>
    <n v="585862"/>
    <n v="80085"/>
    <n v="30"/>
    <d v="2016-06-01T00:00:00"/>
    <s v="Empresa C"/>
    <n v="3"/>
    <n v="1"/>
    <n v="2"/>
    <n v="0"/>
    <n v="0"/>
    <x v="0"/>
    <n v="0"/>
  </r>
  <r>
    <n v="8187955"/>
    <x v="0"/>
    <n v="22742458"/>
    <s v="Tarjeta"/>
    <n v="352233"/>
    <n v="352233"/>
    <n v="73589"/>
    <n v="30"/>
    <d v="2016-05-31T00:00:00"/>
    <s v="Empresa A"/>
    <n v="3"/>
    <n v="0"/>
    <n v="3"/>
    <n v="2"/>
    <n v="24530"/>
    <x v="3"/>
    <n v="6.9641402140060704E-2"/>
  </r>
  <r>
    <n v="8188190"/>
    <x v="2"/>
    <n v="22079343"/>
    <s v="Consumo"/>
    <n v="12483625"/>
    <n v="7036041"/>
    <n v="1419385"/>
    <n v="67"/>
    <d v="2016-06-02T00:00:00"/>
    <s v="Empresa C"/>
    <n v="3"/>
    <n v="1"/>
    <n v="2"/>
    <n v="1"/>
    <n v="709693"/>
    <x v="1"/>
    <n v="0.10086538722557188"/>
  </r>
  <r>
    <n v="8188190"/>
    <x v="2"/>
    <n v="23063678"/>
    <s v="Tarjeta"/>
    <n v="12483625"/>
    <n v="1753736"/>
    <n v="175160"/>
    <n v="30"/>
    <d v="2016-06-02T00:00:00"/>
    <s v="Empresa C"/>
    <n v="3"/>
    <n v="1"/>
    <n v="2"/>
    <n v="0"/>
    <n v="0"/>
    <x v="0"/>
    <n v="0"/>
  </r>
  <r>
    <n v="8188190"/>
    <x v="2"/>
    <n v="23064775"/>
    <s v="Tarjeta"/>
    <n v="12483625"/>
    <n v="3693847"/>
    <n v="557137"/>
    <n v="60"/>
    <d v="2016-06-02T00:00:00"/>
    <s v="Empresa C"/>
    <n v="3"/>
    <n v="1"/>
    <n v="2"/>
    <n v="1"/>
    <n v="0"/>
    <x v="0"/>
    <n v="0"/>
  </r>
  <r>
    <n v="8188778"/>
    <x v="1"/>
    <n v="24100840"/>
    <s v="Tarjeta"/>
    <n v="7439754"/>
    <n v="908827"/>
    <n v="283675"/>
    <n v="60"/>
    <d v="2016-04-27T00:00:00"/>
    <s v="Empresa C"/>
    <n v="3"/>
    <n v="2"/>
    <n v="1"/>
    <n v="0"/>
    <n v="0"/>
    <x v="0"/>
    <n v="0"/>
  </r>
  <r>
    <n v="8188778"/>
    <x v="1"/>
    <n v="24358304"/>
    <s v="Tarjeta"/>
    <n v="7439754"/>
    <n v="2816341"/>
    <n v="971609"/>
    <n v="60"/>
    <d v="2016-04-21T00:00:00"/>
    <s v="Empresa C"/>
    <n v="3"/>
    <n v="1"/>
    <n v="2"/>
    <n v="1"/>
    <n v="2816341"/>
    <x v="2"/>
    <n v="1"/>
  </r>
  <r>
    <n v="8188778"/>
    <x v="1"/>
    <n v="24359949"/>
    <s v="Tarjeta"/>
    <n v="7439754"/>
    <n v="3714585"/>
    <n v="1184221"/>
    <n v="60"/>
    <d v="2016-04-20T00:00:00"/>
    <s v="Empresa C"/>
    <n v="3"/>
    <n v="0"/>
    <n v="3"/>
    <n v="1"/>
    <n v="0"/>
    <x v="0"/>
    <n v="0"/>
  </r>
  <r>
    <n v="8188922"/>
    <x v="2"/>
    <n v="25276234"/>
    <s v="Tarjeta"/>
    <n v="42140387"/>
    <n v="2865296"/>
    <n v="1302447"/>
    <n v="90"/>
    <d v="2016-03-30T00:00:00"/>
    <s v="Empresa B"/>
    <n v="3"/>
    <n v="1"/>
    <n v="2"/>
    <n v="1"/>
    <n v="2865296"/>
    <x v="2"/>
    <n v="1"/>
  </r>
  <r>
    <n v="8188922"/>
    <x v="2"/>
    <n v="25278013"/>
    <s v="Tarjeta"/>
    <n v="42140387"/>
    <n v="2100174"/>
    <n v="1245483"/>
    <n v="90"/>
    <d v="2016-04-27T00:00:00"/>
    <s v="Empresa B"/>
    <n v="3"/>
    <n v="1"/>
    <n v="2"/>
    <n v="1"/>
    <n v="0"/>
    <x v="1"/>
    <n v="0"/>
  </r>
  <r>
    <n v="8188922"/>
    <x v="2"/>
    <n v="25291355"/>
    <s v="Tarjeta"/>
    <n v="42140387"/>
    <n v="3082649"/>
    <n v="1744432"/>
    <n v="90"/>
    <d v="2016-03-19T00:00:00"/>
    <s v="Empresa B"/>
    <n v="3"/>
    <n v="1"/>
    <n v="2"/>
    <n v="0"/>
    <n v="0"/>
    <x v="1"/>
    <n v="0"/>
  </r>
  <r>
    <n v="8188922"/>
    <x v="2"/>
    <n v="26207742"/>
    <s v="Vehiculo"/>
    <n v="42140387"/>
    <n v="34092268"/>
    <n v="3610861"/>
    <n v="62"/>
    <d v="2016-04-08T00:00:00"/>
    <s v="Empresa B"/>
    <n v="3"/>
    <n v="1"/>
    <n v="2"/>
    <n v="1"/>
    <n v="3610861"/>
    <x v="2"/>
    <n v="0.1059143674454278"/>
  </r>
  <r>
    <n v="8241775"/>
    <x v="0"/>
    <n v="25340462"/>
    <s v="Tarjeta"/>
    <n v="1888459"/>
    <n v="1136361"/>
    <n v="25878"/>
    <n v="30"/>
    <d v="2016-04-27T00:00:00"/>
    <s v="Empresa C"/>
    <n v="3"/>
    <n v="0"/>
    <n v="3"/>
    <n v="1"/>
    <n v="25878"/>
    <x v="2"/>
    <n v="2.2772692832647372E-2"/>
  </r>
  <r>
    <n v="8241793"/>
    <x v="0"/>
    <n v="25338590"/>
    <s v="Tarjeta"/>
    <n v="2624528"/>
    <n v="702535"/>
    <n v="178447"/>
    <n v="60"/>
    <d v="2016-05-31T00:00:00"/>
    <s v="Empresa A"/>
    <n v="3"/>
    <n v="1"/>
    <n v="2"/>
    <n v="1"/>
    <n v="178447"/>
    <x v="2"/>
    <n v="0.25400442682570973"/>
  </r>
  <r>
    <n v="8241793"/>
    <x v="0"/>
    <n v="27398392"/>
    <s v="Tarjeta"/>
    <n v="2624528"/>
    <n v="1007442"/>
    <n v="110538"/>
    <n v="30"/>
    <d v="2016-05-31T00:00:00"/>
    <s v="Empresa A"/>
    <n v="3"/>
    <n v="1"/>
    <n v="2"/>
    <n v="1"/>
    <n v="0"/>
    <x v="0"/>
    <n v="0"/>
  </r>
  <r>
    <n v="8250710"/>
    <x v="0"/>
    <n v="27049625"/>
    <s v="Tarjeta"/>
    <n v="1435778"/>
    <n v="1435778"/>
    <n v="147013"/>
    <n v="30"/>
    <d v="2016-05-31T00:00:00"/>
    <s v="Empresa A"/>
    <n v="3"/>
    <n v="1"/>
    <n v="2"/>
    <n v="0"/>
    <n v="0"/>
    <x v="0"/>
    <n v="0"/>
  </r>
  <r>
    <n v="8250963"/>
    <x v="0"/>
    <n v="27064250"/>
    <s v="Tarjeta"/>
    <n v="408549"/>
    <n v="385735"/>
    <n v="11529"/>
    <n v="30"/>
    <d v="2016-05-18T00:00:00"/>
    <s v="Empresa C"/>
    <n v="3"/>
    <n v="1"/>
    <n v="2"/>
    <n v="1"/>
    <n v="0"/>
    <x v="0"/>
    <n v="0"/>
  </r>
  <r>
    <n v="8251019"/>
    <x v="1"/>
    <n v="23719460"/>
    <s v="Tarjeta"/>
    <n v="6326884"/>
    <n v="1649900"/>
    <n v="1649900"/>
    <n v="210"/>
    <d v="2016-04-01T00:00:00"/>
    <s v="Empresa B"/>
    <n v="3"/>
    <n v="0"/>
    <n v="3"/>
    <n v="1"/>
    <n v="824950"/>
    <x v="1"/>
    <n v="0.5"/>
  </r>
  <r>
    <n v="8251019"/>
    <x v="1"/>
    <n v="25290944"/>
    <s v="Tarjeta"/>
    <n v="6326884"/>
    <n v="4676984"/>
    <n v="4676984"/>
    <n v="210"/>
    <d v="2016-04-02T00:00:00"/>
    <s v="Empresa B"/>
    <n v="3"/>
    <n v="1"/>
    <n v="2"/>
    <n v="1"/>
    <n v="4676984"/>
    <x v="2"/>
    <n v="1"/>
  </r>
  <r>
    <n v="8251177"/>
    <x v="0"/>
    <n v="21128914"/>
    <s v="Tarjeta"/>
    <n v="1027904"/>
    <n v="982169"/>
    <n v="982169"/>
    <n v="150"/>
    <d v="2016-05-28T00:00:00"/>
    <s v="Empresa B"/>
    <n v="3"/>
    <n v="1"/>
    <n v="2"/>
    <n v="1"/>
    <n v="0"/>
    <x v="1"/>
    <n v="0"/>
  </r>
  <r>
    <n v="8251177"/>
    <x v="0"/>
    <n v="21131643"/>
    <s v="Tarjeta"/>
    <n v="1027904"/>
    <n v="26121"/>
    <n v="26121"/>
    <n v="210"/>
    <d v="2016-04-27T00:00:00"/>
    <s v="Empresa B"/>
    <n v="3"/>
    <n v="1"/>
    <n v="2"/>
    <n v="0"/>
    <n v="26121"/>
    <x v="2"/>
    <n v="1"/>
  </r>
  <r>
    <n v="8259541"/>
    <x v="0"/>
    <n v="25529977"/>
    <s v="Tarjeta"/>
    <n v="538227"/>
    <n v="533217"/>
    <n v="6040"/>
    <n v="30"/>
    <d v="2016-05-18T00:00:00"/>
    <s v="Empresa C"/>
    <n v="3"/>
    <n v="2"/>
    <n v="1"/>
    <n v="1"/>
    <n v="0"/>
    <x v="0"/>
    <n v="0"/>
  </r>
  <r>
    <n v="8259637"/>
    <x v="2"/>
    <n v="22944995"/>
    <s v="Tarjeta"/>
    <n v="57385481"/>
    <n v="280444"/>
    <n v="102265"/>
    <n v="30"/>
    <d v="2016-05-31T00:00:00"/>
    <s v="Empresa B"/>
    <n v="3"/>
    <n v="1"/>
    <n v="2"/>
    <n v="0"/>
    <n v="102265"/>
    <x v="2"/>
    <n v="0.36465390594913777"/>
  </r>
  <r>
    <n v="8259892"/>
    <x v="1"/>
    <n v="27130647"/>
    <s v="Tarjeta"/>
    <n v="20889493"/>
    <n v="1901677"/>
    <n v="7024"/>
    <n v="30"/>
    <d v="2016-05-19T00:00:00"/>
    <s v="Empresa C"/>
    <n v="3"/>
    <n v="0"/>
    <n v="3"/>
    <n v="1"/>
    <n v="0"/>
    <x v="0"/>
    <n v="0"/>
  </r>
  <r>
    <n v="8259910"/>
    <x v="0"/>
    <n v="25711831"/>
    <s v="Tarjeta"/>
    <n v="946958"/>
    <n v="946958"/>
    <n v="170212"/>
    <n v="30"/>
    <d v="2016-05-18T00:00:00"/>
    <s v="Empresa C"/>
    <n v="3"/>
    <n v="1"/>
    <n v="2"/>
    <n v="2"/>
    <n v="0"/>
    <x v="0"/>
    <n v="0"/>
  </r>
  <r>
    <n v="8259919"/>
    <x v="2"/>
    <n v="22073982"/>
    <s v="Tarjeta"/>
    <n v="55348576"/>
    <n v="1314630"/>
    <n v="343824"/>
    <n v="30"/>
    <d v="2016-05-18T00:00:00"/>
    <s v="Empresa B"/>
    <n v="3"/>
    <n v="1"/>
    <n v="2"/>
    <n v="0"/>
    <n v="114608"/>
    <x v="3"/>
    <n v="8.7178902048485121E-2"/>
  </r>
  <r>
    <n v="8260027"/>
    <x v="0"/>
    <n v="24186163"/>
    <s v="Tarjeta"/>
    <n v="802918"/>
    <n v="802918"/>
    <n v="111844"/>
    <n v="30"/>
    <d v="2016-05-18T00:00:00"/>
    <s v="Empresa C"/>
    <n v="3"/>
    <n v="1"/>
    <n v="2"/>
    <n v="1"/>
    <n v="111844"/>
    <x v="2"/>
    <n v="0.13929691450434539"/>
  </r>
  <r>
    <n v="8260069"/>
    <x v="2"/>
    <n v="25090532"/>
    <s v="Tarjeta"/>
    <n v="162087161"/>
    <n v="15118744"/>
    <n v="1958206"/>
    <n v="30"/>
    <d v="2016-05-29T00:00:00"/>
    <s v="Empresa B"/>
    <n v="3"/>
    <n v="1"/>
    <n v="2"/>
    <n v="0"/>
    <n v="652735"/>
    <x v="3"/>
    <n v="4.317389063535966E-2"/>
  </r>
  <r>
    <n v="8260078"/>
    <x v="1"/>
    <n v="21721963"/>
    <s v="Tarjeta"/>
    <n v="8143730"/>
    <n v="1232261"/>
    <n v="236792"/>
    <n v="30"/>
    <d v="2016-05-18T00:00:00"/>
    <s v="Empresa C"/>
    <n v="3"/>
    <n v="0"/>
    <n v="3"/>
    <n v="1"/>
    <n v="0"/>
    <x v="0"/>
    <n v="0"/>
  </r>
  <r>
    <n v="8260078"/>
    <x v="1"/>
    <n v="21777819"/>
    <s v="Libranza"/>
    <n v="8143730"/>
    <n v="6911469"/>
    <n v="306634"/>
    <n v="2"/>
    <d v="2016-06-08T00:00:00"/>
    <s v="Empresa C"/>
    <n v="3"/>
    <n v="1"/>
    <n v="2"/>
    <n v="2"/>
    <n v="0"/>
    <x v="0"/>
    <n v="0"/>
  </r>
  <r>
    <n v="8260160"/>
    <x v="1"/>
    <n v="27607686"/>
    <s v="Tarjeta"/>
    <n v="12687850"/>
    <n v="5115955"/>
    <n v="255813"/>
    <n v="30"/>
    <d v="2016-05-31T00:00:00"/>
    <s v="Empresa A"/>
    <n v="3"/>
    <n v="1"/>
    <n v="2"/>
    <n v="0"/>
    <n v="127907"/>
    <x v="1"/>
    <n v="2.5001588168777872E-2"/>
  </r>
  <r>
    <n v="8260578"/>
    <x v="0"/>
    <n v="27404616"/>
    <s v="Tarjeta"/>
    <n v="557414"/>
    <n v="557414"/>
    <n v="36010"/>
    <n v="30"/>
    <d v="2016-05-31T00:00:00"/>
    <s v="Empresa A"/>
    <n v="3"/>
    <n v="1"/>
    <n v="2"/>
    <n v="1"/>
    <n v="0"/>
    <x v="0"/>
    <n v="0"/>
  </r>
  <r>
    <n v="8260654"/>
    <x v="1"/>
    <n v="25058357"/>
    <s v="Tarjeta"/>
    <n v="4867793"/>
    <n v="3599130"/>
    <n v="420207"/>
    <n v="30"/>
    <d v="2016-05-31T00:00:00"/>
    <s v="Empresa A"/>
    <n v="3"/>
    <n v="1"/>
    <n v="2"/>
    <n v="0"/>
    <n v="0"/>
    <x v="0"/>
    <n v="0"/>
  </r>
  <r>
    <n v="8260654"/>
    <x v="1"/>
    <n v="25097727"/>
    <s v="Tarjeta"/>
    <n v="4867793"/>
    <n v="1268664"/>
    <n v="409175"/>
    <n v="30"/>
    <d v="2016-05-31T00:00:00"/>
    <s v="Empresa A"/>
    <n v="3"/>
    <n v="0"/>
    <n v="3"/>
    <n v="1"/>
    <n v="409175"/>
    <x v="2"/>
    <n v="0.32252432480152349"/>
  </r>
  <r>
    <n v="8260684"/>
    <x v="2"/>
    <n v="25807487"/>
    <s v="Libranza"/>
    <n v="25632418"/>
    <n v="11165793"/>
    <n v="620809"/>
    <n v="57"/>
    <d v="2016-05-14T00:00:00"/>
    <s v="Empresa C"/>
    <n v="3"/>
    <n v="1"/>
    <n v="2"/>
    <n v="2"/>
    <n v="620809"/>
    <x v="2"/>
    <n v="5.5599185834808149E-2"/>
  </r>
  <r>
    <n v="8260684"/>
    <x v="2"/>
    <n v="26368969"/>
    <s v="Tarjeta"/>
    <n v="25632418"/>
    <n v="4851055"/>
    <n v="659246"/>
    <n v="60"/>
    <d v="2016-05-14T00:00:00"/>
    <s v="Empresa C"/>
    <n v="3"/>
    <n v="1"/>
    <n v="2"/>
    <n v="0"/>
    <n v="329623"/>
    <x v="1"/>
    <n v="6.7948724555792497E-2"/>
  </r>
  <r>
    <n v="8260684"/>
    <x v="2"/>
    <n v="26369715"/>
    <s v="Tarjeta"/>
    <n v="25632418"/>
    <n v="4832117"/>
    <n v="1149668"/>
    <n v="60"/>
    <d v="2016-05-14T00:00:00"/>
    <s v="Empresa C"/>
    <n v="3"/>
    <n v="1"/>
    <n v="2"/>
    <n v="1"/>
    <n v="0"/>
    <x v="0"/>
    <n v="0"/>
  </r>
  <r>
    <n v="8260684"/>
    <x v="2"/>
    <n v="27853647"/>
    <s v="Rotativo"/>
    <n v="25632418"/>
    <n v="4783453"/>
    <n v="551701"/>
    <n v="85"/>
    <d v="2016-05-14T00:00:00"/>
    <s v="Empresa C"/>
    <n v="3"/>
    <n v="2"/>
    <n v="1"/>
    <n v="0"/>
    <n v="0"/>
    <x v="1"/>
    <n v="0"/>
  </r>
  <r>
    <n v="8260719"/>
    <x v="0"/>
    <n v="20150113"/>
    <s v="Tarjeta"/>
    <n v="540083"/>
    <n v="540083"/>
    <n v="37180"/>
    <n v="30"/>
    <d v="2016-05-31T00:00:00"/>
    <s v="Empresa A"/>
    <n v="3"/>
    <n v="1"/>
    <n v="2"/>
    <n v="0"/>
    <n v="540083"/>
    <x v="2"/>
    <n v="1"/>
  </r>
  <r>
    <n v="8260923"/>
    <x v="0"/>
    <n v="23139966"/>
    <s v="Tarjeta"/>
    <n v="1462673"/>
    <n v="925865"/>
    <n v="208919"/>
    <n v="90"/>
    <d v="2016-04-27T00:00:00"/>
    <s v="Empresa B"/>
    <n v="3"/>
    <n v="0"/>
    <n v="3"/>
    <n v="2"/>
    <n v="104460"/>
    <x v="1"/>
    <n v="0.11282422383392827"/>
  </r>
  <r>
    <n v="8260923"/>
    <x v="0"/>
    <n v="23216432"/>
    <s v="Consumo"/>
    <n v="1462673"/>
    <n v="536809"/>
    <n v="71830"/>
    <n v="19"/>
    <d v="2016-05-21T00:00:00"/>
    <s v="Empresa B"/>
    <n v="3"/>
    <n v="1"/>
    <n v="2"/>
    <n v="1"/>
    <n v="0"/>
    <x v="0"/>
    <n v="0"/>
  </r>
  <r>
    <n v="8261115"/>
    <x v="1"/>
    <n v="21710750"/>
    <s v="Tarjeta"/>
    <n v="6088213"/>
    <n v="4767348"/>
    <n v="4767348"/>
    <n v="150"/>
    <d v="2016-05-29T00:00:00"/>
    <s v="Empresa B"/>
    <n v="3"/>
    <n v="1"/>
    <n v="2"/>
    <n v="1"/>
    <n v="4767348"/>
    <x v="2"/>
    <n v="1"/>
  </r>
  <r>
    <n v="8261115"/>
    <x v="1"/>
    <n v="25119832"/>
    <s v="Tarjeta"/>
    <n v="6088213"/>
    <n v="1320865"/>
    <n v="317546"/>
    <n v="90"/>
    <d v="2016-04-30T00:00:00"/>
    <s v="Empresa B"/>
    <n v="3"/>
    <n v="1"/>
    <n v="2"/>
    <n v="0"/>
    <n v="0"/>
    <x v="0"/>
    <n v="0"/>
  </r>
  <r>
    <n v="8261154"/>
    <x v="2"/>
    <n v="14966446"/>
    <s v="Tarjeta"/>
    <n v="29198608"/>
    <n v="1661588"/>
    <n v="95288"/>
    <n v="30"/>
    <d v="2016-05-18T00:00:00"/>
    <s v="Empresa C"/>
    <n v="3"/>
    <n v="1"/>
    <n v="2"/>
    <n v="0"/>
    <n v="0"/>
    <x v="0"/>
    <n v="0"/>
  </r>
  <r>
    <n v="8261154"/>
    <x v="2"/>
    <n v="27689534"/>
    <s v="Consumo"/>
    <n v="29198608"/>
    <n v="27537020"/>
    <n v="1828818"/>
    <n v="33"/>
    <d v="2016-05-18T00:00:00"/>
    <s v="Empresa C"/>
    <n v="3"/>
    <n v="0"/>
    <n v="3"/>
    <n v="2"/>
    <n v="1828818"/>
    <x v="2"/>
    <n v="6.6413068661750618E-2"/>
  </r>
  <r>
    <n v="8261236"/>
    <x v="1"/>
    <n v="9671809"/>
    <s v="Sobregiro"/>
    <n v="10449011"/>
    <n v="694334"/>
    <n v="694334"/>
    <n v="18"/>
    <d v="2016-05-16T00:00:00"/>
    <s v="Empresa B"/>
    <n v="3"/>
    <n v="1"/>
    <n v="2"/>
    <n v="1"/>
    <n v="0"/>
    <x v="0"/>
    <n v="0"/>
  </r>
  <r>
    <n v="8261236"/>
    <x v="1"/>
    <n v="9845561"/>
    <s v="Tarjeta"/>
    <n v="10449011"/>
    <n v="4775170"/>
    <n v="539427"/>
    <n v="30"/>
    <d v="2016-05-29T00:00:00"/>
    <s v="Empresa B"/>
    <n v="3"/>
    <n v="1"/>
    <n v="2"/>
    <n v="1"/>
    <n v="0"/>
    <x v="0"/>
    <n v="0"/>
  </r>
  <r>
    <n v="8261363"/>
    <x v="0"/>
    <n v="26328981"/>
    <s v="Tarjeta"/>
    <n v="2288724"/>
    <n v="1116964"/>
    <n v="1116964"/>
    <n v="210"/>
    <d v="2016-03-31T00:00:00"/>
    <s v="Empresa B"/>
    <n v="3"/>
    <n v="1"/>
    <n v="2"/>
    <n v="0"/>
    <n v="0"/>
    <x v="1"/>
    <n v="0"/>
  </r>
  <r>
    <n v="8261363"/>
    <x v="0"/>
    <n v="26330652"/>
    <s v="Tarjeta"/>
    <n v="2288724"/>
    <n v="1171761"/>
    <n v="1171761"/>
    <n v="240"/>
    <d v="2016-02-18T00:00:00"/>
    <s v="Empresa B"/>
    <n v="3"/>
    <n v="1"/>
    <n v="2"/>
    <n v="0"/>
    <n v="0"/>
    <x v="1"/>
    <n v="0"/>
  </r>
  <r>
    <n v="8261433"/>
    <x v="2"/>
    <n v="23671002"/>
    <s v="Tarjeta"/>
    <n v="9198150"/>
    <n v="2656363"/>
    <n v="155480"/>
    <n v="30"/>
    <d v="2016-05-19T00:00:00"/>
    <s v="Empresa C"/>
    <n v="3"/>
    <n v="0"/>
    <n v="3"/>
    <n v="2"/>
    <n v="51827"/>
    <x v="3"/>
    <n v="1.9510511176371603E-2"/>
  </r>
  <r>
    <n v="8261433"/>
    <x v="2"/>
    <n v="23672387"/>
    <s v="Tarjeta"/>
    <n v="9198150"/>
    <n v="2613151"/>
    <n v="143276"/>
    <n v="30"/>
    <d v="2016-04-20T00:00:00"/>
    <s v="Empresa C"/>
    <n v="3"/>
    <n v="1"/>
    <n v="2"/>
    <n v="1"/>
    <n v="0"/>
    <x v="0"/>
    <n v="0"/>
  </r>
  <r>
    <n v="8261433"/>
    <x v="2"/>
    <n v="25964110"/>
    <s v="Tarjeta"/>
    <n v="9198150"/>
    <n v="3928636"/>
    <n v="383736"/>
    <n v="30"/>
    <d v="2016-05-18T00:00:00"/>
    <s v="Empresa C"/>
    <n v="3"/>
    <n v="1"/>
    <n v="2"/>
    <n v="1"/>
    <n v="191868"/>
    <x v="1"/>
    <n v="4.8838324548265609E-2"/>
  </r>
  <r>
    <n v="8261458"/>
    <x v="0"/>
    <n v="28570206"/>
    <s v="Tarjeta"/>
    <n v="929764"/>
    <n v="585365"/>
    <n v="25138"/>
    <n v="30"/>
    <d v="2016-06-03T00:00:00"/>
    <s v="Empresa C"/>
    <n v="3"/>
    <n v="1"/>
    <n v="2"/>
    <n v="0"/>
    <n v="0"/>
    <x v="0"/>
    <n v="0"/>
  </r>
  <r>
    <n v="8261475"/>
    <x v="1"/>
    <n v="26270252"/>
    <s v="Tarjeta"/>
    <n v="5164426"/>
    <n v="2086216"/>
    <n v="2086216"/>
    <n v="210"/>
    <d v="2016-03-18T00:00:00"/>
    <s v="Empresa B"/>
    <n v="3"/>
    <n v="2"/>
    <n v="1"/>
    <n v="0"/>
    <n v="1043109"/>
    <x v="1"/>
    <n v="0.50000047933675129"/>
  </r>
  <r>
    <n v="8261475"/>
    <x v="1"/>
    <n v="26272747"/>
    <s v="Tarjeta"/>
    <n v="5164426"/>
    <n v="3078210"/>
    <n v="3078210"/>
    <n v="210"/>
    <d v="2016-03-19T00:00:00"/>
    <s v="Empresa B"/>
    <n v="3"/>
    <n v="1"/>
    <n v="2"/>
    <n v="1"/>
    <n v="1026070"/>
    <x v="3"/>
    <n v="0.33333333333333331"/>
  </r>
  <r>
    <n v="8261570"/>
    <x v="2"/>
    <n v="25379962"/>
    <s v="Consumo"/>
    <n v="35696317"/>
    <n v="17452863"/>
    <n v="313538"/>
    <n v="7"/>
    <d v="2016-06-02T00:00:00"/>
    <s v="Empresa A"/>
    <n v="3"/>
    <n v="0"/>
    <n v="3"/>
    <n v="1"/>
    <n v="0"/>
    <x v="0"/>
    <n v="0"/>
  </r>
  <r>
    <n v="8261570"/>
    <x v="2"/>
    <n v="27224146"/>
    <s v="Tarjeta"/>
    <n v="35696317"/>
    <n v="12300316"/>
    <n v="305942"/>
    <n v="30"/>
    <d v="2016-05-31T00:00:00"/>
    <s v="Empresa A"/>
    <n v="3"/>
    <n v="1"/>
    <n v="2"/>
    <n v="2"/>
    <n v="101981"/>
    <x v="3"/>
    <n v="8.2909252087507348E-3"/>
  </r>
  <r>
    <n v="8261611"/>
    <x v="0"/>
    <n v="26389240"/>
    <s v="Tarjeta"/>
    <n v="1823094"/>
    <n v="1823094"/>
    <n v="133727"/>
    <n v="30"/>
    <d v="2016-06-01T00:00:00"/>
    <s v="Empresa C"/>
    <n v="3"/>
    <n v="1"/>
    <n v="2"/>
    <n v="0"/>
    <n v="133727"/>
    <x v="2"/>
    <n v="7.3351675777551792E-2"/>
  </r>
  <r>
    <n v="8261866"/>
    <x v="0"/>
    <n v="25129407"/>
    <s v="Tarjeta"/>
    <n v="719486"/>
    <n v="719486"/>
    <n v="232136"/>
    <n v="60"/>
    <d v="2016-04-20T00:00:00"/>
    <s v="Empresa C"/>
    <n v="3"/>
    <n v="1"/>
    <n v="2"/>
    <n v="0"/>
    <n v="0"/>
    <x v="0"/>
    <n v="0"/>
  </r>
  <r>
    <n v="8261875"/>
    <x v="1"/>
    <n v="25550442"/>
    <s v="Tarjeta"/>
    <n v="3706603"/>
    <n v="1761381"/>
    <n v="178361"/>
    <n v="30"/>
    <d v="2016-05-31T00:00:00"/>
    <s v="Empresa A"/>
    <n v="3"/>
    <n v="1"/>
    <n v="2"/>
    <n v="1"/>
    <n v="0"/>
    <x v="0"/>
    <n v="0"/>
  </r>
  <r>
    <n v="8261875"/>
    <x v="1"/>
    <n v="25550928"/>
    <s v="Tarjeta"/>
    <n v="3706603"/>
    <n v="1945222"/>
    <n v="433848"/>
    <n v="30"/>
    <d v="2016-05-31T00:00:00"/>
    <s v="Empresa A"/>
    <n v="3"/>
    <n v="0"/>
    <n v="3"/>
    <n v="1"/>
    <n v="0"/>
    <x v="0"/>
    <n v="0"/>
  </r>
  <r>
    <n v="8262049"/>
    <x v="0"/>
    <n v="25202484"/>
    <s v="Tarjeta"/>
    <n v="239186"/>
    <n v="239186"/>
    <n v="119528"/>
    <n v="30"/>
    <d v="2016-05-18T00:00:00"/>
    <s v="Empresa C"/>
    <n v="3"/>
    <n v="1"/>
    <n v="2"/>
    <n v="2"/>
    <n v="0"/>
    <x v="0"/>
    <n v="0"/>
  </r>
  <r>
    <n v="8262517"/>
    <x v="1"/>
    <n v="2978036"/>
    <s v="Tarjeta"/>
    <n v="7386162"/>
    <n v="1153827"/>
    <n v="35412"/>
    <n v="30"/>
    <d v="2016-05-19T00:00:00"/>
    <s v="Empresa B"/>
    <n v="3"/>
    <n v="1"/>
    <n v="2"/>
    <n v="0"/>
    <n v="35412"/>
    <x v="2"/>
    <n v="3.0690909469097187E-2"/>
  </r>
  <r>
    <n v="8262593"/>
    <x v="1"/>
    <n v="27011869"/>
    <s v="Tarjeta"/>
    <n v="5761212"/>
    <n v="2859159"/>
    <n v="221796"/>
    <n v="30"/>
    <d v="2016-05-18T00:00:00"/>
    <s v="Empresa C"/>
    <n v="3"/>
    <n v="1"/>
    <n v="2"/>
    <n v="0"/>
    <n v="0"/>
    <x v="0"/>
    <n v="0"/>
  </r>
  <r>
    <n v="8262593"/>
    <x v="1"/>
    <n v="27012894"/>
    <s v="Tarjeta"/>
    <n v="5761212"/>
    <n v="2902054"/>
    <n v="264691"/>
    <n v="30"/>
    <d v="2016-05-19T00:00:00"/>
    <s v="Empresa C"/>
    <n v="3"/>
    <n v="1"/>
    <n v="2"/>
    <n v="1"/>
    <n v="0"/>
    <x v="0"/>
    <n v="0"/>
  </r>
  <r>
    <n v="8262993"/>
    <x v="0"/>
    <n v="21194113"/>
    <s v="Tarjeta"/>
    <n v="4286716"/>
    <n v="3009366"/>
    <n v="154613"/>
    <n v="30"/>
    <d v="2016-05-31T00:00:00"/>
    <s v="Empresa A"/>
    <n v="3"/>
    <n v="0"/>
    <n v="3"/>
    <n v="1"/>
    <n v="0"/>
    <x v="0"/>
    <n v="0"/>
  </r>
  <r>
    <n v="8263081"/>
    <x v="0"/>
    <n v="25950581"/>
    <s v="Tarjeta"/>
    <n v="666612"/>
    <n v="666612"/>
    <n v="666612"/>
    <n v="150"/>
    <d v="2016-05-28T00:00:00"/>
    <s v="Empresa B"/>
    <n v="3"/>
    <n v="1"/>
    <n v="2"/>
    <n v="2"/>
    <n v="666612"/>
    <x v="2"/>
    <n v="1"/>
  </r>
  <r>
    <n v="8263349"/>
    <x v="2"/>
    <n v="21676069"/>
    <s v="Tarjeta"/>
    <n v="42608151"/>
    <n v="2157291"/>
    <n v="913479"/>
    <n v="90"/>
    <d v="2016-05-18T00:00:00"/>
    <s v="Empresa C"/>
    <n v="3"/>
    <n v="1"/>
    <n v="2"/>
    <n v="0"/>
    <n v="913479"/>
    <x v="2"/>
    <n v="0.42343800627731726"/>
  </r>
  <r>
    <n v="8263349"/>
    <x v="2"/>
    <n v="21676178"/>
    <s v="Tarjeta"/>
    <n v="42608151"/>
    <n v="2237914"/>
    <n v="873000"/>
    <n v="90"/>
    <d v="2016-05-18T00:00:00"/>
    <s v="Empresa C"/>
    <n v="3"/>
    <n v="1"/>
    <n v="2"/>
    <n v="0"/>
    <n v="2237914"/>
    <x v="2"/>
    <n v="1"/>
  </r>
  <r>
    <n v="8263349"/>
    <x v="2"/>
    <n v="21676329"/>
    <s v="Tarjeta"/>
    <n v="42608151"/>
    <n v="6435756"/>
    <n v="877425"/>
    <n v="60"/>
    <d v="2016-05-18T00:00:00"/>
    <s v="Empresa C"/>
    <n v="3"/>
    <n v="2"/>
    <n v="1"/>
    <n v="1"/>
    <n v="292475"/>
    <x v="3"/>
    <n v="4.5445321419892243E-2"/>
  </r>
  <r>
    <n v="8263436"/>
    <x v="0"/>
    <n v="27653166"/>
    <s v="Tarjeta"/>
    <n v="1392266"/>
    <n v="1392266"/>
    <n v="314855"/>
    <n v="60"/>
    <d v="2016-04-21T00:00:00"/>
    <s v="Empresa C"/>
    <n v="3"/>
    <n v="1"/>
    <n v="2"/>
    <n v="0"/>
    <n v="157428"/>
    <x v="1"/>
    <n v="0.11307322020361052"/>
  </r>
  <r>
    <n v="8263516"/>
    <x v="0"/>
    <n v="15578869"/>
    <s v="Tarjeta"/>
    <n v="2397372"/>
    <n v="999255"/>
    <n v="193225"/>
    <n v="60"/>
    <d v="2016-04-27T00:00:00"/>
    <s v="Empresa C"/>
    <n v="3"/>
    <n v="0"/>
    <n v="3"/>
    <n v="2"/>
    <n v="0"/>
    <x v="0"/>
    <n v="0"/>
  </r>
  <r>
    <n v="8263672"/>
    <x v="1"/>
    <n v="15202553"/>
    <s v="Tarjeta"/>
    <n v="6072945"/>
    <n v="602803"/>
    <n v="8120"/>
    <n v="30"/>
    <d v="2016-05-18T00:00:00"/>
    <s v="Empresa C"/>
    <n v="3"/>
    <n v="1"/>
    <n v="2"/>
    <n v="1"/>
    <n v="0"/>
    <x v="0"/>
    <n v="0"/>
  </r>
  <r>
    <n v="8263672"/>
    <x v="1"/>
    <n v="20692962"/>
    <s v="Consumo"/>
    <n v="6072945"/>
    <n v="5470142"/>
    <n v="377457"/>
    <n v="11"/>
    <d v="2016-06-01T00:00:00"/>
    <s v="Empresa C"/>
    <n v="3"/>
    <n v="1"/>
    <n v="2"/>
    <n v="0"/>
    <n v="125819"/>
    <x v="0"/>
    <n v="2.3001048236042137E-2"/>
  </r>
  <r>
    <n v="8263683"/>
    <x v="1"/>
    <n v="25096884"/>
    <s v="Tarjeta"/>
    <n v="9475753"/>
    <n v="3200657"/>
    <n v="120258"/>
    <n v="30"/>
    <d v="2016-05-19T00:00:00"/>
    <s v="Empresa C"/>
    <n v="3"/>
    <n v="1"/>
    <n v="2"/>
    <n v="1"/>
    <n v="0"/>
    <x v="0"/>
    <n v="0"/>
  </r>
  <r>
    <n v="8263683"/>
    <x v="1"/>
    <n v="25097831"/>
    <s v="Tarjeta"/>
    <n v="9475753"/>
    <n v="3793078"/>
    <n v="132763"/>
    <n v="30"/>
    <d v="2016-05-18T00:00:00"/>
    <s v="Empresa C"/>
    <n v="3"/>
    <n v="1"/>
    <n v="2"/>
    <n v="0"/>
    <n v="0"/>
    <x v="0"/>
    <n v="0"/>
  </r>
  <r>
    <n v="8290112"/>
    <x v="0"/>
    <n v="25098094"/>
    <s v="Tarjeta"/>
    <n v="1725871"/>
    <n v="1725871"/>
    <n v="464745"/>
    <n v="60"/>
    <d v="2016-04-30T00:00:00"/>
    <s v="Empresa C"/>
    <n v="3"/>
    <n v="0"/>
    <n v="3"/>
    <n v="2"/>
    <n v="464745"/>
    <x v="2"/>
    <n v="0.2692814236985267"/>
  </r>
  <r>
    <n v="8290119"/>
    <x v="2"/>
    <n v="25238974"/>
    <s v="Tarjeta"/>
    <n v="22469195"/>
    <n v="516117"/>
    <n v="516117"/>
    <n v="60"/>
    <d v="2016-06-01T00:00:00"/>
    <s v="Empresa C"/>
    <n v="3"/>
    <n v="1"/>
    <n v="2"/>
    <n v="1"/>
    <n v="0"/>
    <x v="0"/>
    <n v="0"/>
  </r>
  <r>
    <n v="8290119"/>
    <x v="2"/>
    <n v="26623589"/>
    <s v="Consumo"/>
    <n v="22469195"/>
    <n v="9138030"/>
    <n v="658260"/>
    <n v="54"/>
    <d v="2016-06-01T00:00:00"/>
    <s v="Empresa C"/>
    <n v="3"/>
    <n v="1"/>
    <n v="2"/>
    <n v="0"/>
    <n v="0"/>
    <x v="0"/>
    <n v="0"/>
  </r>
  <r>
    <n v="8290119"/>
    <x v="2"/>
    <n v="27571222"/>
    <s v="Consumo"/>
    <n v="22469195"/>
    <n v="3608054"/>
    <n v="868343"/>
    <n v="53"/>
    <d v="2016-06-01T00:00:00"/>
    <s v="Empresa C"/>
    <n v="3"/>
    <n v="1"/>
    <n v="2"/>
    <n v="1"/>
    <n v="868343"/>
    <x v="2"/>
    <n v="0.24066796117796463"/>
  </r>
  <r>
    <n v="8290119"/>
    <x v="2"/>
    <n v="27817138"/>
    <s v="Consumo"/>
    <n v="22469195"/>
    <n v="9206994"/>
    <n v="1084524"/>
    <n v="68"/>
    <d v="2016-06-01T00:00:00"/>
    <s v="Empresa C"/>
    <n v="3"/>
    <n v="1"/>
    <n v="2"/>
    <n v="0"/>
    <n v="9206994"/>
    <x v="2"/>
    <n v="1"/>
  </r>
  <r>
    <n v="8290233"/>
    <x v="0"/>
    <n v="4571968"/>
    <s v="Tarjeta"/>
    <n v="1083171"/>
    <n v="1083171"/>
    <n v="1083171"/>
    <n v="150"/>
    <d v="2016-05-29T00:00:00"/>
    <s v="Empresa B"/>
    <n v="3"/>
    <n v="0"/>
    <n v="3"/>
    <n v="2"/>
    <n v="0"/>
    <x v="1"/>
    <n v="0"/>
  </r>
  <r>
    <n v="8290480"/>
    <x v="1"/>
    <n v="25411228"/>
    <s v="Tarjeta"/>
    <n v="9508685"/>
    <n v="89470"/>
    <n v="88795"/>
    <n v="30"/>
    <d v="2016-05-29T00:00:00"/>
    <s v="Empresa C"/>
    <n v="3"/>
    <n v="1"/>
    <n v="2"/>
    <n v="1"/>
    <n v="88795"/>
    <x v="2"/>
    <n v="0.9924555717000112"/>
  </r>
  <r>
    <n v="8290480"/>
    <x v="1"/>
    <n v="28310909"/>
    <s v="Vehiculo"/>
    <n v="9508685"/>
    <n v="9419215"/>
    <n v="221115"/>
    <n v="19"/>
    <d v="2016-05-21T00:00:00"/>
    <s v="Empresa C"/>
    <n v="3"/>
    <n v="1"/>
    <n v="2"/>
    <n v="0"/>
    <n v="0"/>
    <x v="0"/>
    <n v="0"/>
  </r>
  <r>
    <n v="8290528"/>
    <x v="2"/>
    <n v="24781042"/>
    <s v="Tarjeta"/>
    <n v="17691983"/>
    <n v="1014862"/>
    <n v="306681"/>
    <n v="60"/>
    <d v="2016-04-30T00:00:00"/>
    <s v="Empresa C"/>
    <n v="3"/>
    <n v="1"/>
    <n v="2"/>
    <n v="1"/>
    <n v="153341"/>
    <x v="1"/>
    <n v="0.15109541986989364"/>
  </r>
  <r>
    <n v="8290528"/>
    <x v="2"/>
    <n v="24951190"/>
    <s v="Tarjeta"/>
    <n v="17691983"/>
    <n v="551382"/>
    <n v="162116"/>
    <n v="60"/>
    <d v="2016-05-01T00:00:00"/>
    <s v="Empresa C"/>
    <n v="3"/>
    <n v="2"/>
    <n v="1"/>
    <n v="0"/>
    <n v="54039"/>
    <x v="3"/>
    <n v="9.8006463758338144E-2"/>
  </r>
  <r>
    <n v="8290588"/>
    <x v="0"/>
    <n v="28040498"/>
    <s v="Tarjeta"/>
    <n v="2249011"/>
    <n v="1709371"/>
    <n v="67876"/>
    <n v="30"/>
    <d v="2016-05-18T00:00:00"/>
    <s v="Empresa C"/>
    <n v="3"/>
    <n v="1"/>
    <n v="2"/>
    <n v="1"/>
    <n v="0"/>
    <x v="0"/>
    <n v="0"/>
  </r>
  <r>
    <n v="8290811"/>
    <x v="2"/>
    <n v="21139953"/>
    <s v="Tarjeta"/>
    <n v="14369893"/>
    <n v="6042161"/>
    <n v="509145"/>
    <n v="30"/>
    <d v="2016-05-31T00:00:00"/>
    <s v="Empresa A"/>
    <n v="3"/>
    <n v="0"/>
    <n v="3"/>
    <n v="1"/>
    <n v="254572"/>
    <x v="1"/>
    <n v="4.2132607853382256E-2"/>
  </r>
  <r>
    <n v="8290811"/>
    <x v="2"/>
    <n v="22295364"/>
    <s v="Libranza"/>
    <n v="14369893"/>
    <n v="8327732"/>
    <n v="646898"/>
    <n v="3"/>
    <d v="2016-06-08T00:00:00"/>
    <s v="Empresa A"/>
    <n v="3"/>
    <n v="1"/>
    <n v="2"/>
    <n v="1"/>
    <n v="646898"/>
    <x v="2"/>
    <n v="7.767997337090099E-2"/>
  </r>
  <r>
    <n v="8290882"/>
    <x v="1"/>
    <n v="23606029"/>
    <s v="Tarjeta"/>
    <n v="3305356"/>
    <n v="2238793"/>
    <n v="239524"/>
    <n v="30"/>
    <d v="2016-05-31T00:00:00"/>
    <s v="Empresa A"/>
    <n v="3"/>
    <n v="1"/>
    <n v="2"/>
    <n v="1"/>
    <n v="239524"/>
    <x v="2"/>
    <n v="0.1069880064838509"/>
  </r>
  <r>
    <n v="8290882"/>
    <x v="1"/>
    <n v="24187730"/>
    <s v="Tarjeta"/>
    <n v="3305356"/>
    <n v="1066564"/>
    <n v="106457"/>
    <n v="30"/>
    <d v="2016-05-31T00:00:00"/>
    <s v="Empresa A"/>
    <n v="3"/>
    <n v="1"/>
    <n v="2"/>
    <n v="0"/>
    <n v="0"/>
    <x v="0"/>
    <n v="0"/>
  </r>
  <r>
    <n v="8290902"/>
    <x v="0"/>
    <n v="23811559"/>
    <s v="Tarjeta"/>
    <n v="2454616"/>
    <n v="2454616"/>
    <n v="439253"/>
    <n v="30"/>
    <d v="2016-05-18T00:00:00"/>
    <s v="Empresa C"/>
    <n v="3"/>
    <n v="1"/>
    <n v="2"/>
    <n v="1"/>
    <n v="219626"/>
    <x v="1"/>
    <n v="8.9474687690457494E-2"/>
  </r>
  <r>
    <n v="8291182"/>
    <x v="0"/>
    <n v="27917878"/>
    <s v="Tarjeta"/>
    <n v="3694003"/>
    <n v="3694003"/>
    <n v="1972390"/>
    <n v="60"/>
    <d v="2016-05-01T00:00:00"/>
    <s v="Empresa C"/>
    <n v="3"/>
    <n v="0"/>
    <n v="3"/>
    <n v="1"/>
    <n v="0"/>
    <x v="0"/>
    <n v="0"/>
  </r>
  <r>
    <n v="8291274"/>
    <x v="0"/>
    <n v="22367717"/>
    <s v="Tarjeta"/>
    <n v="1216364"/>
    <n v="1216364"/>
    <n v="257893"/>
    <n v="60"/>
    <d v="2016-04-27T00:00:00"/>
    <s v="Empresa C"/>
    <n v="3"/>
    <n v="1"/>
    <n v="2"/>
    <n v="1"/>
    <n v="0"/>
    <x v="0"/>
    <n v="0"/>
  </r>
  <r>
    <n v="8291307"/>
    <x v="1"/>
    <n v="19789068"/>
    <s v="Tarjeta"/>
    <n v="7557438"/>
    <n v="7557438"/>
    <n v="2294434"/>
    <n v="60"/>
    <d v="2016-04-20T00:00:00"/>
    <s v="Empresa B"/>
    <n v="3"/>
    <n v="1"/>
    <n v="2"/>
    <n v="1"/>
    <n v="764811"/>
    <x v="3"/>
    <n v="0.10119977166865279"/>
  </r>
  <r>
    <n v="8291401"/>
    <x v="2"/>
    <n v="26664011"/>
    <s v="Vehiculo"/>
    <n v="26702217"/>
    <n v="20258947"/>
    <n v="1203480"/>
    <n v="68"/>
    <d v="2016-04-28T00:00:00"/>
    <s v="Empresa C"/>
    <n v="3"/>
    <n v="1"/>
    <n v="2"/>
    <n v="0"/>
    <n v="1203480"/>
    <x v="2"/>
    <n v="5.9404864428541128E-2"/>
  </r>
  <r>
    <n v="8291401"/>
    <x v="2"/>
    <n v="27049838"/>
    <s v="Tarjeta"/>
    <n v="26702217"/>
    <n v="901276"/>
    <n v="112839"/>
    <n v="30"/>
    <d v="2016-05-29T00:00:00"/>
    <s v="Empresa C"/>
    <n v="3"/>
    <n v="1"/>
    <n v="2"/>
    <n v="1"/>
    <n v="56419"/>
    <x v="1"/>
    <n v="6.2599026269422459E-2"/>
  </r>
  <r>
    <n v="8291401"/>
    <x v="2"/>
    <n v="27785613"/>
    <s v="Vehiculo"/>
    <n v="26702217"/>
    <n v="5541995"/>
    <n v="291298"/>
    <n v="1"/>
    <d v="2016-06-03T00:00:00"/>
    <s v="Empresa C"/>
    <n v="3"/>
    <n v="0"/>
    <n v="3"/>
    <n v="1"/>
    <n v="0"/>
    <x v="0"/>
    <n v="0"/>
  </r>
  <r>
    <n v="8291427"/>
    <x v="0"/>
    <n v="22621938"/>
    <s v="Tarjeta"/>
    <n v="1704897"/>
    <n v="1704897"/>
    <n v="15612"/>
    <n v="30"/>
    <d v="2016-05-31T00:00:00"/>
    <s v="Empresa A"/>
    <n v="3"/>
    <n v="1"/>
    <n v="2"/>
    <n v="1"/>
    <n v="0"/>
    <x v="0"/>
    <n v="0"/>
  </r>
  <r>
    <n v="8291467"/>
    <x v="0"/>
    <n v="27243058"/>
    <s v="Tarjeta"/>
    <n v="3582299"/>
    <n v="2035240"/>
    <n v="45624"/>
    <n v="30"/>
    <d v="2016-05-31T00:00:00"/>
    <s v="Empresa A"/>
    <n v="3"/>
    <n v="1"/>
    <n v="2"/>
    <n v="1"/>
    <n v="45624"/>
    <x v="2"/>
    <n v="2.2417012244256206E-2"/>
  </r>
  <r>
    <n v="8291545"/>
    <x v="0"/>
    <n v="27047202"/>
    <s v="Tarjeta"/>
    <n v="2062706"/>
    <n v="2062706"/>
    <n v="66225"/>
    <n v="30"/>
    <d v="2016-05-31T00:00:00"/>
    <s v="Empresa A"/>
    <n v="3"/>
    <n v="1"/>
    <n v="2"/>
    <n v="0"/>
    <n v="22075"/>
    <x v="3"/>
    <n v="1.0701961404097337E-2"/>
  </r>
  <r>
    <n v="8291631"/>
    <x v="1"/>
    <n v="25284857"/>
    <s v="Tarjeta"/>
    <n v="10428095"/>
    <n v="4478644"/>
    <n v="7806"/>
    <n v="30"/>
    <d v="2016-05-31T00:00:00"/>
    <s v="Empresa A"/>
    <n v="3"/>
    <n v="2"/>
    <n v="1"/>
    <n v="1"/>
    <n v="0"/>
    <x v="0"/>
    <n v="0"/>
  </r>
  <r>
    <n v="8291662"/>
    <x v="1"/>
    <n v="27245072"/>
    <s v="Tarjeta"/>
    <n v="8108857"/>
    <n v="5426233"/>
    <n v="176202"/>
    <n v="30"/>
    <d v="2016-05-31T00:00:00"/>
    <s v="Empresa A"/>
    <n v="3"/>
    <n v="1"/>
    <n v="2"/>
    <n v="0"/>
    <n v="0"/>
    <x v="0"/>
    <n v="0"/>
  </r>
  <r>
    <n v="8291666"/>
    <x v="0"/>
    <n v="25136314"/>
    <s v="Tarjeta"/>
    <n v="1470798"/>
    <n v="1470798"/>
    <n v="152117"/>
    <n v="30"/>
    <d v="2016-05-18T00:00:00"/>
    <s v="Empresa C"/>
    <n v="3"/>
    <n v="0"/>
    <n v="3"/>
    <n v="1"/>
    <n v="152117"/>
    <x v="2"/>
    <n v="0.10342480748546028"/>
  </r>
  <r>
    <n v="8291695"/>
    <x v="0"/>
    <n v="23721045"/>
    <s v="Tarjeta"/>
    <n v="596946"/>
    <n v="516958"/>
    <n v="51494"/>
    <n v="30"/>
    <d v="2016-05-18T00:00:00"/>
    <s v="Empresa C"/>
    <n v="3"/>
    <n v="1"/>
    <n v="2"/>
    <n v="2"/>
    <n v="0"/>
    <x v="0"/>
    <n v="0"/>
  </r>
  <r>
    <n v="8291734"/>
    <x v="0"/>
    <n v="26115306"/>
    <s v="Tarjeta"/>
    <n v="5115713"/>
    <n v="5115713"/>
    <n v="42558"/>
    <n v="30"/>
    <d v="2016-05-18T00:00:00"/>
    <s v="Empresa C"/>
    <n v="3"/>
    <n v="1"/>
    <n v="2"/>
    <n v="0"/>
    <n v="0"/>
    <x v="0"/>
    <n v="0"/>
  </r>
  <r>
    <n v="8291748"/>
    <x v="0"/>
    <n v="26162028"/>
    <s v="Tarjeta"/>
    <n v="2389022"/>
    <n v="1136494"/>
    <n v="119200"/>
    <n v="30"/>
    <d v="2016-05-31T00:00:00"/>
    <s v="Empresa A"/>
    <n v="3"/>
    <n v="1"/>
    <n v="2"/>
    <n v="1"/>
    <n v="119200"/>
    <x v="2"/>
    <n v="0.10488396771122417"/>
  </r>
  <r>
    <n v="8291785"/>
    <x v="0"/>
    <n v="22084852"/>
    <s v="Tarjeta"/>
    <n v="874146"/>
    <n v="874146"/>
    <n v="874146"/>
    <n v="150"/>
    <d v="2016-04-27T00:00:00"/>
    <s v="Empresa B"/>
    <n v="3"/>
    <n v="1"/>
    <n v="2"/>
    <n v="0"/>
    <n v="0"/>
    <x v="1"/>
    <n v="0"/>
  </r>
  <r>
    <n v="8291961"/>
    <x v="1"/>
    <n v="22494166"/>
    <s v="Consumo"/>
    <n v="6775736"/>
    <n v="2382667"/>
    <n v="1587469"/>
    <n v="155"/>
    <d v="2016-05-05T00:00:00"/>
    <s v="Empresa B"/>
    <n v="3"/>
    <n v="0"/>
    <n v="3"/>
    <n v="1"/>
    <n v="793735"/>
    <x v="1"/>
    <n v="0.33312880062551753"/>
  </r>
  <r>
    <n v="8291961"/>
    <x v="1"/>
    <n v="24906889"/>
    <s v="Tarjeta"/>
    <n v="6775736"/>
    <n v="4393069"/>
    <n v="4393069"/>
    <n v="150"/>
    <d v="2016-05-29T00:00:00"/>
    <s v="Empresa B"/>
    <n v="3"/>
    <n v="1"/>
    <n v="2"/>
    <n v="2"/>
    <n v="0"/>
    <x v="1"/>
    <n v="0"/>
  </r>
  <r>
    <n v="8292187"/>
    <x v="1"/>
    <n v="27077731"/>
    <s v="Tarjeta"/>
    <n v="2721538"/>
    <n v="1390243"/>
    <n v="537108"/>
    <n v="90"/>
    <d v="2016-05-28T00:00:00"/>
    <s v="Empresa C"/>
    <n v="3"/>
    <n v="1"/>
    <n v="2"/>
    <n v="0"/>
    <n v="268554"/>
    <x v="1"/>
    <n v="0.19317054644403892"/>
  </r>
  <r>
    <n v="8292187"/>
    <x v="1"/>
    <n v="27136580"/>
    <s v="Tarjeta"/>
    <n v="2721538"/>
    <n v="1331296"/>
    <n v="509640"/>
    <n v="90"/>
    <d v="2016-05-28T00:00:00"/>
    <s v="Empresa C"/>
    <n v="3"/>
    <n v="1"/>
    <n v="2"/>
    <n v="1"/>
    <n v="0"/>
    <x v="1"/>
    <n v="0"/>
  </r>
  <r>
    <n v="8292203"/>
    <x v="1"/>
    <n v="26723896"/>
    <s v="Tarjeta"/>
    <n v="5031714"/>
    <n v="2645465"/>
    <n v="2645465"/>
    <n v="150"/>
    <d v="2016-05-28T00:00:00"/>
    <s v="Empresa B"/>
    <n v="3"/>
    <n v="1"/>
    <n v="2"/>
    <n v="0"/>
    <n v="0"/>
    <x v="1"/>
    <n v="0"/>
  </r>
  <r>
    <n v="8292203"/>
    <x v="1"/>
    <n v="26725887"/>
    <s v="Tarjeta"/>
    <n v="5031714"/>
    <n v="2386250"/>
    <n v="2386250"/>
    <n v="120"/>
    <d v="2016-05-01T00:00:00"/>
    <s v="Empresa B"/>
    <n v="3"/>
    <n v="0"/>
    <n v="3"/>
    <n v="1"/>
    <n v="0"/>
    <x v="0"/>
    <n v="0"/>
  </r>
  <r>
    <n v="8292243"/>
    <x v="0"/>
    <n v="25479795"/>
    <s v="Tarjeta"/>
    <n v="947438"/>
    <n v="947438"/>
    <n v="51918"/>
    <n v="30"/>
    <d v="2016-05-18T00:00:00"/>
    <s v="Empresa C"/>
    <n v="3"/>
    <n v="1"/>
    <n v="2"/>
    <n v="2"/>
    <n v="51918"/>
    <x v="2"/>
    <n v="5.4798308701994224E-2"/>
  </r>
  <r>
    <n v="8292285"/>
    <x v="1"/>
    <n v="21276240"/>
    <s v="Tarjeta"/>
    <n v="5420193"/>
    <n v="5420193"/>
    <n v="53029"/>
    <n v="30"/>
    <d v="2016-05-18T00:00:00"/>
    <s v="Empresa C"/>
    <n v="3"/>
    <n v="1"/>
    <n v="2"/>
    <n v="0"/>
    <n v="17676"/>
    <x v="3"/>
    <n v="3.2611384871350521E-3"/>
  </r>
  <r>
    <n v="8292287"/>
    <x v="0"/>
    <n v="25270652"/>
    <s v="Tarjeta"/>
    <n v="806442"/>
    <n v="806442"/>
    <n v="161609"/>
    <n v="30"/>
    <d v="2016-05-31T00:00:00"/>
    <s v="Empresa A"/>
    <n v="3"/>
    <n v="1"/>
    <n v="2"/>
    <n v="1"/>
    <n v="806442"/>
    <x v="2"/>
    <n v="1"/>
  </r>
  <r>
    <n v="8292341"/>
    <x v="0"/>
    <n v="22512363"/>
    <s v="Consumo"/>
    <n v="2134668"/>
    <n v="685325"/>
    <n v="84127"/>
    <n v="30"/>
    <d v="2016-05-11T00:00:00"/>
    <s v="Empresa C"/>
    <n v="3"/>
    <n v="2"/>
    <n v="1"/>
    <n v="0"/>
    <n v="0"/>
    <x v="0"/>
    <n v="0"/>
  </r>
  <r>
    <n v="8292341"/>
    <x v="0"/>
    <n v="23583782"/>
    <s v="Tarjeta"/>
    <n v="2134668"/>
    <n v="1449343"/>
    <n v="214707"/>
    <n v="30"/>
    <d v="2016-05-29T00:00:00"/>
    <s v="Empresa C"/>
    <n v="3"/>
    <n v="1"/>
    <n v="2"/>
    <n v="0"/>
    <n v="0"/>
    <x v="0"/>
    <n v="0"/>
  </r>
  <r>
    <n v="8292460"/>
    <x v="2"/>
    <n v="26369115"/>
    <s v="Tarjeta"/>
    <n v="21247650"/>
    <n v="3034123"/>
    <n v="250241"/>
    <n v="30"/>
    <d v="2016-05-31T00:00:00"/>
    <s v="Empresa A"/>
    <n v="3"/>
    <n v="0"/>
    <n v="3"/>
    <n v="2"/>
    <n v="125121"/>
    <x v="1"/>
    <n v="4.1237945857831075E-2"/>
  </r>
  <r>
    <n v="8292460"/>
    <x v="2"/>
    <n v="26370820"/>
    <s v="Tarjeta"/>
    <n v="21247650"/>
    <n v="3154062"/>
    <n v="315806"/>
    <n v="30"/>
    <d v="2016-05-31T00:00:00"/>
    <s v="Empresa A"/>
    <n v="3"/>
    <n v="1"/>
    <n v="2"/>
    <n v="1"/>
    <n v="0"/>
    <x v="0"/>
    <n v="0"/>
  </r>
  <r>
    <n v="8292560"/>
    <x v="1"/>
    <n v="21245444"/>
    <s v="Consumo"/>
    <n v="6729347"/>
    <n v="4872698"/>
    <n v="1547189"/>
    <n v="196"/>
    <d v="2016-03-24T00:00:00"/>
    <s v="Empresa B"/>
    <n v="3"/>
    <n v="1"/>
    <n v="2"/>
    <n v="1"/>
    <n v="1547189"/>
    <x v="2"/>
    <n v="0.31752203809881097"/>
  </r>
  <r>
    <n v="8292560"/>
    <x v="1"/>
    <n v="24257181"/>
    <s v="Tarjeta"/>
    <n v="6729347"/>
    <n v="1856649"/>
    <n v="1856649"/>
    <n v="330"/>
    <d v="2016-03-22T00:00:00"/>
    <s v="Empresa B"/>
    <n v="3"/>
    <n v="1"/>
    <n v="2"/>
    <n v="0"/>
    <n v="928324"/>
    <x v="1"/>
    <n v="0.49999973069761705"/>
  </r>
  <r>
    <n v="8292688"/>
    <x v="0"/>
    <n v="21904033"/>
    <s v="Tarjeta"/>
    <n v="1077156"/>
    <n v="1077156"/>
    <n v="53698"/>
    <n v="30"/>
    <d v="2016-05-31T00:00:00"/>
    <s v="Empresa A"/>
    <n v="3"/>
    <n v="1"/>
    <n v="2"/>
    <n v="0"/>
    <n v="0"/>
    <x v="0"/>
    <n v="0"/>
  </r>
  <r>
    <n v="8292689"/>
    <x v="0"/>
    <n v="27077359"/>
    <s v="Tarjeta"/>
    <n v="557345"/>
    <n v="557345"/>
    <n v="85300"/>
    <n v="30"/>
    <d v="2016-05-31T00:00:00"/>
    <s v="Empresa A"/>
    <n v="3"/>
    <n v="0"/>
    <n v="3"/>
    <n v="2"/>
    <n v="0"/>
    <x v="0"/>
    <n v="0"/>
  </r>
  <r>
    <n v="8292740"/>
    <x v="1"/>
    <n v="25350877"/>
    <s v="Tarjeta"/>
    <n v="5983415"/>
    <n v="55652"/>
    <n v="36487"/>
    <n v="30"/>
    <d v="2016-05-18T00:00:00"/>
    <s v="Empresa C"/>
    <n v="3"/>
    <n v="1"/>
    <n v="2"/>
    <n v="1"/>
    <n v="0"/>
    <x v="0"/>
    <n v="0"/>
  </r>
  <r>
    <n v="8292842"/>
    <x v="0"/>
    <n v="17344821"/>
    <s v="Tarjeta"/>
    <n v="1192556"/>
    <n v="1192556"/>
    <n v="1192556"/>
    <n v="240"/>
    <d v="2016-04-27T00:00:00"/>
    <s v="Empresa B"/>
    <n v="3"/>
    <n v="1"/>
    <n v="2"/>
    <n v="1"/>
    <n v="397518"/>
    <x v="3"/>
    <n v="0.33333277430996949"/>
  </r>
  <r>
    <n v="8292855"/>
    <x v="0"/>
    <n v="16975449"/>
    <s v="Tarjeta"/>
    <n v="284236"/>
    <n v="284236"/>
    <n v="48827"/>
    <n v="30"/>
    <d v="2016-05-18T00:00:00"/>
    <s v="Empresa C"/>
    <n v="3"/>
    <n v="1"/>
    <n v="2"/>
    <n v="0"/>
    <n v="0"/>
    <x v="0"/>
    <n v="0"/>
  </r>
  <r>
    <n v="8292862"/>
    <x v="0"/>
    <n v="19916764"/>
    <s v="Tarjeta"/>
    <n v="36122"/>
    <n v="36122"/>
    <n v="18404"/>
    <n v="30"/>
    <d v="2016-05-31T00:00:00"/>
    <s v="Empresa A"/>
    <n v="3"/>
    <n v="1"/>
    <n v="2"/>
    <n v="0"/>
    <n v="6135"/>
    <x v="3"/>
    <n v="0.16984109407009579"/>
  </r>
  <r>
    <n v="8292896"/>
    <x v="0"/>
    <n v="26273017"/>
    <s v="Tarjeta"/>
    <n v="352258"/>
    <n v="352258"/>
    <n v="58441"/>
    <n v="30"/>
    <d v="2016-05-19T00:00:00"/>
    <s v="Empresa C"/>
    <n v="3"/>
    <n v="0"/>
    <n v="3"/>
    <n v="2"/>
    <n v="58441"/>
    <x v="2"/>
    <n v="0.16590396811427988"/>
  </r>
  <r>
    <n v="8292902"/>
    <x v="0"/>
    <n v="27040978"/>
    <s v="Tarjeta"/>
    <n v="2265088"/>
    <n v="2265088"/>
    <n v="76736"/>
    <n v="30"/>
    <d v="2016-05-31T00:00:00"/>
    <s v="Empresa A"/>
    <n v="3"/>
    <n v="1"/>
    <n v="2"/>
    <n v="1"/>
    <n v="76736"/>
    <x v="2"/>
    <n v="3.3877712477396023E-2"/>
  </r>
  <r>
    <n v="8292978"/>
    <x v="1"/>
    <n v="26491653"/>
    <s v="Tarjeta"/>
    <n v="6200898"/>
    <n v="979672"/>
    <n v="212696"/>
    <n v="30"/>
    <d v="2016-05-31T00:00:00"/>
    <s v="Empresa A"/>
    <n v="3"/>
    <n v="1"/>
    <n v="2"/>
    <n v="1"/>
    <n v="0"/>
    <x v="0"/>
    <n v="0"/>
  </r>
  <r>
    <n v="8293153"/>
    <x v="1"/>
    <n v="28586833"/>
    <s v="Tarjeta"/>
    <n v="5381364"/>
    <n v="3775366"/>
    <n v="283258"/>
    <n v="30"/>
    <d v="2016-06-03T00:00:00"/>
    <s v="Empresa C"/>
    <n v="3"/>
    <n v="1"/>
    <n v="2"/>
    <n v="0"/>
    <n v="283258"/>
    <x v="2"/>
    <n v="7.5027957554313934E-2"/>
  </r>
  <r>
    <n v="8293228"/>
    <x v="2"/>
    <n v="21674961"/>
    <s v="Tarjeta"/>
    <n v="25702937"/>
    <n v="7077781"/>
    <n v="655866"/>
    <n v="30"/>
    <d v="2016-05-19T00:00:00"/>
    <s v="Empresa C"/>
    <n v="3"/>
    <n v="2"/>
    <n v="1"/>
    <n v="0"/>
    <n v="327933"/>
    <x v="1"/>
    <n v="4.6332741857935421E-2"/>
  </r>
  <r>
    <n v="8293228"/>
    <x v="2"/>
    <n v="25179756"/>
    <s v="Tarjeta"/>
    <n v="25702937"/>
    <n v="2552181"/>
    <n v="39411"/>
    <n v="30"/>
    <d v="2016-05-18T00:00:00"/>
    <s v="Empresa C"/>
    <n v="3"/>
    <n v="1"/>
    <n v="2"/>
    <n v="1"/>
    <n v="39411"/>
    <x v="2"/>
    <n v="1.5442086591820878E-2"/>
  </r>
  <r>
    <n v="8293228"/>
    <x v="2"/>
    <n v="27864553"/>
    <s v="Vehiculo"/>
    <n v="25702937"/>
    <n v="14465317"/>
    <n v="577427"/>
    <n v="16"/>
    <d v="2016-05-20T00:00:00"/>
    <s v="Empresa C"/>
    <n v="3"/>
    <n v="0"/>
    <n v="3"/>
    <n v="1"/>
    <n v="577427"/>
    <x v="2"/>
    <n v="3.9918032905881015E-2"/>
  </r>
  <r>
    <n v="8293235"/>
    <x v="0"/>
    <n v="26262840"/>
    <s v="Tarjeta"/>
    <n v="2880866"/>
    <n v="2880866"/>
    <n v="373140"/>
    <n v="60"/>
    <d v="2016-04-30T00:00:00"/>
    <s v="Empresa C"/>
    <n v="3"/>
    <n v="1"/>
    <n v="2"/>
    <n v="2"/>
    <n v="0"/>
    <x v="0"/>
    <n v="0"/>
  </r>
  <r>
    <n v="8293244"/>
    <x v="0"/>
    <n v="19738680"/>
    <s v="Consumo"/>
    <n v="2316003"/>
    <n v="132364"/>
    <n v="132364"/>
    <n v="7"/>
    <d v="2016-06-02T00:00:00"/>
    <s v="Empresa A"/>
    <n v="3"/>
    <n v="1"/>
    <n v="2"/>
    <n v="0"/>
    <n v="44121"/>
    <x v="0"/>
    <n v="0.33333081502523343"/>
  </r>
  <r>
    <n v="8293244"/>
    <x v="0"/>
    <n v="21786213"/>
    <s v="Tarjeta"/>
    <n v="2316003"/>
    <n v="2183639"/>
    <n v="126600"/>
    <n v="30"/>
    <d v="2016-05-31T00:00:00"/>
    <s v="Empresa A"/>
    <n v="3"/>
    <n v="1"/>
    <n v="2"/>
    <n v="0"/>
    <n v="0"/>
    <x v="0"/>
    <n v="0"/>
  </r>
  <r>
    <n v="8293299"/>
    <x v="2"/>
    <n v="27039509"/>
    <s v="Vehiculo"/>
    <n v="21296584"/>
    <n v="1887582"/>
    <n v="394788"/>
    <n v="1"/>
    <d v="2016-06-03T00:00:00"/>
    <s v="Empresa C"/>
    <n v="3"/>
    <n v="1"/>
    <n v="2"/>
    <n v="1"/>
    <n v="131596"/>
    <x v="0"/>
    <n v="6.9716706347062007E-2"/>
  </r>
  <r>
    <n v="8293299"/>
    <x v="2"/>
    <n v="27969594"/>
    <s v="Tarjeta"/>
    <n v="21296584"/>
    <n v="19409002"/>
    <n v="2008605"/>
    <n v="60"/>
    <d v="2016-05-01T00:00:00"/>
    <s v="Empresa C"/>
    <n v="3"/>
    <n v="0"/>
    <n v="3"/>
    <n v="1"/>
    <n v="0"/>
    <x v="0"/>
    <n v="0"/>
  </r>
  <r>
    <n v="8293546"/>
    <x v="2"/>
    <n v="21634560"/>
    <s v="Tarjeta"/>
    <n v="19827172"/>
    <n v="3968344"/>
    <n v="102842"/>
    <n v="30"/>
    <d v="2016-05-31T00:00:00"/>
    <s v="Empresa A"/>
    <n v="3"/>
    <n v="1"/>
    <n v="2"/>
    <n v="2"/>
    <n v="102842"/>
    <x v="2"/>
    <n v="2.5915596026957342E-2"/>
  </r>
  <r>
    <n v="8293546"/>
    <x v="2"/>
    <n v="26029145"/>
    <s v="Consumo"/>
    <n v="19827172"/>
    <n v="12869495"/>
    <n v="39987"/>
    <n v="1"/>
    <d v="2016-06-08T00:00:00"/>
    <s v="Empresa A"/>
    <n v="3"/>
    <n v="1"/>
    <n v="2"/>
    <n v="0"/>
    <n v="12869495"/>
    <x v="2"/>
    <n v="1"/>
  </r>
  <r>
    <n v="8293564"/>
    <x v="0"/>
    <n v="26443276"/>
    <s v="Tarjeta"/>
    <n v="2236370"/>
    <n v="2236370"/>
    <n v="697423"/>
    <n v="60"/>
    <d v="2016-04-20T00:00:00"/>
    <s v="Empresa C"/>
    <n v="3"/>
    <n v="1"/>
    <n v="2"/>
    <n v="0"/>
    <n v="697423"/>
    <x v="2"/>
    <n v="0.31185492561606531"/>
  </r>
  <r>
    <n v="8293662"/>
    <x v="0"/>
    <n v="25834952"/>
    <s v="Tarjeta"/>
    <n v="983539"/>
    <n v="58369"/>
    <n v="46398"/>
    <n v="30"/>
    <d v="2016-05-29T00:00:00"/>
    <s v="Empresa C"/>
    <n v="3"/>
    <n v="1"/>
    <n v="2"/>
    <n v="1"/>
    <n v="46398"/>
    <x v="2"/>
    <n v="0.79490825609484483"/>
  </r>
  <r>
    <n v="8293714"/>
    <x v="0"/>
    <n v="21486272"/>
    <s v="Tarjeta"/>
    <n v="1633225"/>
    <n v="1633225"/>
    <n v="195378"/>
    <n v="30"/>
    <d v="2016-05-18T00:00:00"/>
    <s v="Empresa C"/>
    <n v="3"/>
    <n v="0"/>
    <n v="3"/>
    <n v="1"/>
    <n v="1633225"/>
    <x v="2"/>
    <n v="1"/>
  </r>
  <r>
    <n v="8293734"/>
    <x v="0"/>
    <n v="28582640"/>
    <s v="Tarjeta"/>
    <n v="1515030"/>
    <n v="1515030"/>
    <n v="175808"/>
    <n v="30"/>
    <d v="2016-06-03T00:00:00"/>
    <s v="Empresa C"/>
    <n v="3"/>
    <n v="1"/>
    <n v="2"/>
    <n v="2"/>
    <n v="0"/>
    <x v="0"/>
    <n v="0"/>
  </r>
  <r>
    <n v="8293781"/>
    <x v="0"/>
    <n v="25151473"/>
    <s v="Tarjeta"/>
    <n v="3666940"/>
    <n v="3666940"/>
    <n v="316828"/>
    <n v="30"/>
    <d v="2016-05-18T00:00:00"/>
    <s v="Empresa C"/>
    <n v="3"/>
    <n v="1"/>
    <n v="2"/>
    <n v="0"/>
    <n v="158414"/>
    <x v="1"/>
    <n v="4.3200597773620515E-2"/>
  </r>
  <r>
    <n v="8293793"/>
    <x v="0"/>
    <n v="27730431"/>
    <s v="Tarjeta"/>
    <n v="1399594"/>
    <n v="1399594"/>
    <n v="154173"/>
    <n v="30"/>
    <d v="2016-06-01T00:00:00"/>
    <s v="Empresa C"/>
    <n v="3"/>
    <n v="1"/>
    <n v="2"/>
    <n v="0"/>
    <n v="77087"/>
    <x v="1"/>
    <n v="5.5078115510640943E-2"/>
  </r>
  <r>
    <n v="8293815"/>
    <x v="1"/>
    <n v="26238609"/>
    <s v="Tarjeta"/>
    <n v="8645948"/>
    <n v="2100373"/>
    <n v="148368"/>
    <n v="30"/>
    <d v="2016-05-31T00:00:00"/>
    <s v="Empresa A"/>
    <n v="3"/>
    <n v="2"/>
    <n v="1"/>
    <n v="1"/>
    <n v="74185"/>
    <x v="1"/>
    <n v="3.5319916986173407E-2"/>
  </r>
  <r>
    <n v="8293818"/>
    <x v="1"/>
    <n v="28252699"/>
    <s v="Tarjeta"/>
    <n v="18303869"/>
    <n v="985567"/>
    <n v="27146"/>
    <n v="30"/>
    <d v="2016-05-18T00:00:00"/>
    <s v="Empresa C"/>
    <n v="3"/>
    <n v="1"/>
    <n v="2"/>
    <n v="0"/>
    <n v="0"/>
    <x v="0"/>
    <n v="0"/>
  </r>
  <r>
    <n v="8293949"/>
    <x v="0"/>
    <n v="26857064"/>
    <s v="Tarjeta"/>
    <n v="2029861"/>
    <n v="2029861"/>
    <n v="423157"/>
    <n v="60"/>
    <d v="2016-04-20T00:00:00"/>
    <s v="Empresa C"/>
    <n v="3"/>
    <n v="0"/>
    <n v="3"/>
    <n v="2"/>
    <n v="0"/>
    <x v="0"/>
    <n v="0"/>
  </r>
  <r>
    <n v="8294114"/>
    <x v="0"/>
    <n v="21353303"/>
    <s v="Tarjeta"/>
    <n v="51797"/>
    <n v="51797"/>
    <n v="44378"/>
    <n v="30"/>
    <d v="2016-05-18T00:00:00"/>
    <s v="Empresa C"/>
    <n v="3"/>
    <n v="1"/>
    <n v="2"/>
    <n v="1"/>
    <n v="0"/>
    <x v="0"/>
    <n v="0"/>
  </r>
  <r>
    <n v="8294206"/>
    <x v="1"/>
    <n v="27648242"/>
    <s v="Tarjeta"/>
    <n v="9092117"/>
    <n v="2093370"/>
    <n v="2093370"/>
    <n v="120"/>
    <d v="2016-05-18T00:00:00"/>
    <s v="Empresa B"/>
    <n v="3"/>
    <n v="1"/>
    <n v="2"/>
    <n v="0"/>
    <n v="0"/>
    <x v="0"/>
    <n v="0"/>
  </r>
  <r>
    <n v="8294211"/>
    <x v="0"/>
    <n v="20248889"/>
    <s v="Tarjeta"/>
    <n v="2174352"/>
    <n v="391303"/>
    <n v="29849"/>
    <n v="30"/>
    <d v="2016-05-18T00:00:00"/>
    <s v="Empresa C"/>
    <n v="3"/>
    <n v="1"/>
    <n v="2"/>
    <n v="1"/>
    <n v="9950"/>
    <x v="3"/>
    <n v="2.5427865362647361E-2"/>
  </r>
  <r>
    <n v="8294211"/>
    <x v="0"/>
    <n v="20249908"/>
    <s v="Tarjeta"/>
    <n v="2174352"/>
    <n v="951987"/>
    <n v="63006"/>
    <n v="30"/>
    <d v="2016-05-18T00:00:00"/>
    <s v="Empresa C"/>
    <n v="3"/>
    <n v="1"/>
    <n v="2"/>
    <n v="0"/>
    <n v="63006"/>
    <x v="2"/>
    <n v="6.6183676877940564E-2"/>
  </r>
  <r>
    <n v="8294261"/>
    <x v="0"/>
    <n v="27755425"/>
    <s v="Tarjeta"/>
    <n v="1968838"/>
    <n v="1968838"/>
    <n v="436938"/>
    <n v="60"/>
    <d v="2016-04-21T00:00:00"/>
    <s v="Empresa C"/>
    <n v="3"/>
    <n v="0"/>
    <n v="3"/>
    <n v="2"/>
    <n v="0"/>
    <x v="0"/>
    <n v="0"/>
  </r>
  <r>
    <n v="8294375"/>
    <x v="0"/>
    <n v="25479266"/>
    <s v="Tarjeta"/>
    <n v="122518"/>
    <n v="122518"/>
    <n v="122518"/>
    <n v="120"/>
    <d v="2016-05-18T00:00:00"/>
    <s v="Empresa B"/>
    <n v="3"/>
    <n v="1"/>
    <n v="2"/>
    <n v="1"/>
    <n v="0"/>
    <x v="1"/>
    <n v="0"/>
  </r>
  <r>
    <n v="8294415"/>
    <x v="2"/>
    <n v="25073407"/>
    <s v="Tarjeta"/>
    <n v="11976714"/>
    <n v="2054878"/>
    <n v="426307"/>
    <n v="30"/>
    <d v="2016-05-18T00:00:00"/>
    <s v="Empresa C"/>
    <n v="3"/>
    <n v="1"/>
    <n v="2"/>
    <n v="0"/>
    <n v="0"/>
    <x v="0"/>
    <n v="0"/>
  </r>
  <r>
    <n v="8294415"/>
    <x v="2"/>
    <n v="25086883"/>
    <s v="Rotativo"/>
    <n v="11976714"/>
    <n v="5734577"/>
    <n v="728920"/>
    <n v="54"/>
    <d v="2016-04-16T00:00:00"/>
    <s v="Empresa C"/>
    <n v="3"/>
    <n v="1"/>
    <n v="2"/>
    <n v="1"/>
    <n v="728920"/>
    <x v="2"/>
    <n v="0.12710963685726079"/>
  </r>
  <r>
    <n v="8294415"/>
    <x v="2"/>
    <n v="26921845"/>
    <s v="Rotativo"/>
    <n v="11976714"/>
    <n v="826214"/>
    <n v="72796"/>
    <n v="54"/>
    <d v="2016-04-16T00:00:00"/>
    <s v="Empresa C"/>
    <n v="3"/>
    <n v="1"/>
    <n v="2"/>
    <n v="0"/>
    <n v="826214"/>
    <x v="2"/>
    <n v="1"/>
  </r>
  <r>
    <n v="8294415"/>
    <x v="2"/>
    <n v="27029677"/>
    <s v="Rotativo"/>
    <n v="11976714"/>
    <n v="1174983"/>
    <n v="100313"/>
    <n v="54"/>
    <d v="2016-04-16T00:00:00"/>
    <s v="Empresa C"/>
    <n v="3"/>
    <n v="0"/>
    <n v="3"/>
    <n v="2"/>
    <n v="50156"/>
    <x v="1"/>
    <n v="4.2686575039809084E-2"/>
  </r>
  <r>
    <n v="8294415"/>
    <x v="2"/>
    <n v="27475022"/>
    <s v="Rotativo"/>
    <n v="11976714"/>
    <n v="354556"/>
    <n v="29138"/>
    <n v="54"/>
    <d v="2016-04-16T00:00:00"/>
    <s v="Empresa C"/>
    <n v="3"/>
    <n v="1"/>
    <n v="2"/>
    <n v="1"/>
    <n v="0"/>
    <x v="0"/>
    <n v="0"/>
  </r>
  <r>
    <n v="8294415"/>
    <x v="2"/>
    <n v="27494159"/>
    <s v="Rotativo"/>
    <n v="11976714"/>
    <n v="176726"/>
    <n v="14566"/>
    <n v="54"/>
    <d v="2016-04-16T00:00:00"/>
    <s v="Empresa C"/>
    <n v="3"/>
    <n v="1"/>
    <n v="2"/>
    <n v="0"/>
    <n v="0"/>
    <x v="0"/>
    <n v="0"/>
  </r>
  <r>
    <n v="8294415"/>
    <x v="2"/>
    <n v="27650008"/>
    <s v="Rotativo"/>
    <n v="11976714"/>
    <n v="454469"/>
    <n v="33874"/>
    <n v="54"/>
    <d v="2016-04-16T00:00:00"/>
    <s v="Empresa C"/>
    <n v="3"/>
    <n v="1"/>
    <n v="2"/>
    <n v="1"/>
    <n v="0"/>
    <x v="0"/>
    <n v="0"/>
  </r>
  <r>
    <n v="8294415"/>
    <x v="2"/>
    <n v="28151154"/>
    <s v="Rotativo"/>
    <n v="11976714"/>
    <n v="461658"/>
    <n v="18084"/>
    <n v="24"/>
    <d v="2016-05-17T00:00:00"/>
    <s v="Empresa C"/>
    <n v="3"/>
    <n v="2"/>
    <n v="1"/>
    <n v="0"/>
    <n v="18084"/>
    <x v="2"/>
    <n v="3.9171854489687172E-2"/>
  </r>
  <r>
    <n v="8294415"/>
    <x v="2"/>
    <n v="28151320"/>
    <s v="Rotativo"/>
    <n v="11976714"/>
    <n v="276994"/>
    <n v="10851"/>
    <n v="24"/>
    <d v="2016-05-17T00:00:00"/>
    <s v="Empresa C"/>
    <n v="3"/>
    <n v="1"/>
    <n v="2"/>
    <n v="1"/>
    <n v="3617"/>
    <x v="0"/>
    <n v="1.3058044578582929E-2"/>
  </r>
  <r>
    <n v="8294415"/>
    <x v="2"/>
    <n v="28154208"/>
    <s v="Rotativo"/>
    <n v="11976714"/>
    <n v="461658"/>
    <n v="18084"/>
    <n v="24"/>
    <d v="2016-05-17T00:00:00"/>
    <s v="Empresa C"/>
    <n v="3"/>
    <n v="0"/>
    <n v="3"/>
    <n v="1"/>
    <n v="0"/>
    <x v="0"/>
    <n v="0"/>
  </r>
  <r>
    <n v="8294465"/>
    <x v="0"/>
    <n v="25276855"/>
    <s v="Tarjeta"/>
    <n v="2816565"/>
    <n v="38942"/>
    <n v="29360"/>
    <n v="60"/>
    <d v="2016-04-21T00:00:00"/>
    <s v="Empresa C"/>
    <n v="3"/>
    <n v="1"/>
    <n v="2"/>
    <n v="1"/>
    <n v="0"/>
    <x v="0"/>
    <n v="0"/>
  </r>
  <r>
    <n v="8294484"/>
    <x v="0"/>
    <n v="26897548"/>
    <s v="Tarjeta"/>
    <n v="1639114"/>
    <n v="1639114"/>
    <n v="1639114"/>
    <n v="180"/>
    <d v="2016-05-01T00:00:00"/>
    <s v="Empresa B"/>
    <n v="3"/>
    <n v="1"/>
    <n v="2"/>
    <n v="1"/>
    <n v="819557"/>
    <x v="1"/>
    <n v="0.5"/>
  </r>
  <r>
    <n v="8307776"/>
    <x v="0"/>
    <n v="26204227"/>
    <s v="Tarjeta"/>
    <n v="1335960"/>
    <n v="1335960"/>
    <n v="145567"/>
    <n v="30"/>
    <d v="2016-05-18T00:00:00"/>
    <s v="Empresa C"/>
    <n v="3"/>
    <n v="1"/>
    <n v="2"/>
    <n v="0"/>
    <n v="145567"/>
    <x v="2"/>
    <n v="0.10896059762268331"/>
  </r>
  <r>
    <n v="8316522"/>
    <x v="2"/>
    <n v="22697628"/>
    <s v="Tarjeta"/>
    <n v="37025583"/>
    <n v="3033201"/>
    <n v="210950"/>
    <n v="30"/>
    <d v="2016-05-31T00:00:00"/>
    <s v="Empresa A"/>
    <n v="3"/>
    <n v="1"/>
    <n v="2"/>
    <n v="1"/>
    <n v="0"/>
    <x v="0"/>
    <n v="0"/>
  </r>
  <r>
    <n v="8316522"/>
    <x v="2"/>
    <n v="25377657"/>
    <s v="Consumo"/>
    <n v="37025583"/>
    <n v="7198025"/>
    <n v="254533"/>
    <n v="7"/>
    <d v="2016-06-02T00:00:00"/>
    <s v="Empresa A"/>
    <n v="3"/>
    <n v="0"/>
    <n v="3"/>
    <n v="1"/>
    <n v="254533"/>
    <x v="2"/>
    <n v="3.5361505412943132E-2"/>
  </r>
  <r>
    <n v="8322016"/>
    <x v="0"/>
    <n v="28234540"/>
    <s v="Tarjeta"/>
    <n v="1416051"/>
    <n v="1416051"/>
    <n v="140108"/>
    <n v="30"/>
    <d v="2016-06-01T00:00:00"/>
    <s v="Empresa C"/>
    <n v="3"/>
    <n v="1"/>
    <n v="2"/>
    <n v="1"/>
    <n v="0"/>
    <x v="0"/>
    <n v="0"/>
  </r>
  <r>
    <n v="8322484"/>
    <x v="0"/>
    <n v="16140274"/>
    <s v="Tarjeta"/>
    <n v="1627332"/>
    <n v="781273"/>
    <n v="781273"/>
    <n v="150"/>
    <d v="2016-05-29T00:00:00"/>
    <s v="Empresa B"/>
    <n v="3"/>
    <n v="1"/>
    <n v="2"/>
    <n v="1"/>
    <n v="781273"/>
    <x v="2"/>
    <n v="1"/>
  </r>
  <r>
    <n v="8322484"/>
    <x v="0"/>
    <n v="21785894"/>
    <s v="Tarjeta"/>
    <n v="1627332"/>
    <n v="846059"/>
    <n v="846059"/>
    <n v="150"/>
    <d v="2016-05-29T00:00:00"/>
    <s v="Empresa B"/>
    <n v="3"/>
    <n v="1"/>
    <n v="2"/>
    <n v="0"/>
    <n v="282019"/>
    <x v="3"/>
    <n v="0.33333254536622148"/>
  </r>
  <r>
    <n v="8349062"/>
    <x v="0"/>
    <n v="25859215"/>
    <s v="Tarjeta"/>
    <n v="1372447"/>
    <n v="1372447"/>
    <n v="1372447"/>
    <n v="120"/>
    <d v="2016-05-29T00:00:00"/>
    <s v="Empresa B"/>
    <n v="3"/>
    <n v="1"/>
    <n v="2"/>
    <n v="1"/>
    <n v="0"/>
    <x v="1"/>
    <n v="0"/>
  </r>
  <r>
    <n v="8349681"/>
    <x v="0"/>
    <n v="24807405"/>
    <s v="Tarjeta"/>
    <n v="1424591"/>
    <n v="1424591"/>
    <n v="375000"/>
    <n v="60"/>
    <d v="2016-04-30T00:00:00"/>
    <s v="Empresa C"/>
    <n v="3"/>
    <n v="0"/>
    <n v="3"/>
    <n v="1"/>
    <n v="0"/>
    <x v="0"/>
    <n v="0"/>
  </r>
  <r>
    <n v="8350430"/>
    <x v="1"/>
    <n v="26724769"/>
    <s v="Tarjeta"/>
    <n v="4598371"/>
    <n v="2133979"/>
    <n v="2133979"/>
    <n v="270"/>
    <d v="2016-05-19T00:00:00"/>
    <s v="Empresa B"/>
    <n v="3"/>
    <n v="1"/>
    <n v="2"/>
    <n v="1"/>
    <n v="0"/>
    <x v="1"/>
    <n v="0"/>
  </r>
  <r>
    <n v="8350430"/>
    <x v="1"/>
    <n v="26726954"/>
    <s v="Tarjeta"/>
    <n v="4598371"/>
    <n v="2464392"/>
    <n v="2464392"/>
    <n v="210"/>
    <d v="2016-03-19T00:00:00"/>
    <s v="Empresa B"/>
    <n v="3"/>
    <n v="1"/>
    <n v="2"/>
    <n v="1"/>
    <n v="2464392"/>
    <x v="2"/>
    <n v="1"/>
  </r>
  <r>
    <n v="8350710"/>
    <x v="0"/>
    <n v="26378338"/>
    <s v="Tarjeta"/>
    <n v="1111762"/>
    <n v="1111762"/>
    <n v="424195"/>
    <n v="90"/>
    <d v="2016-05-19T00:00:00"/>
    <s v="Empresa C"/>
    <n v="3"/>
    <n v="1"/>
    <n v="2"/>
    <n v="0"/>
    <n v="0"/>
    <x v="1"/>
    <n v="0"/>
  </r>
  <r>
    <n v="8350978"/>
    <x v="0"/>
    <n v="23577494"/>
    <s v="Tarjeta"/>
    <n v="1175778"/>
    <n v="1175778"/>
    <n v="1175778"/>
    <n v="180"/>
    <d v="2016-04-20T00:00:00"/>
    <s v="Empresa B"/>
    <n v="3"/>
    <n v="2"/>
    <n v="1"/>
    <n v="1"/>
    <n v="0"/>
    <x v="1"/>
    <n v="0"/>
  </r>
  <r>
    <n v="8351047"/>
    <x v="0"/>
    <n v="24368978"/>
    <s v="Tarjeta"/>
    <n v="2869281"/>
    <n v="1174300"/>
    <n v="119355"/>
    <n v="30"/>
    <d v="2016-05-19T00:00:00"/>
    <s v="Empresa C"/>
    <n v="3"/>
    <n v="1"/>
    <n v="2"/>
    <n v="0"/>
    <n v="119355"/>
    <x v="2"/>
    <n v="0.10163927446138125"/>
  </r>
  <r>
    <n v="8356945"/>
    <x v="0"/>
    <n v="23046024"/>
    <s v="Tarjeta"/>
    <n v="1368289"/>
    <n v="244674"/>
    <n v="115466"/>
    <n v="30"/>
    <d v="2016-05-31T00:00:00"/>
    <s v="Empresa A"/>
    <n v="3"/>
    <n v="0"/>
    <n v="3"/>
    <n v="1"/>
    <n v="0"/>
    <x v="0"/>
    <n v="0"/>
  </r>
  <r>
    <n v="8357219"/>
    <x v="2"/>
    <n v="27217004"/>
    <s v="Consumo"/>
    <n v="63371274"/>
    <n v="27520056"/>
    <n v="994366"/>
    <n v="17"/>
    <d v="2016-05-24T00:00:00"/>
    <s v="Empresa B"/>
    <n v="3"/>
    <n v="1"/>
    <n v="2"/>
    <n v="2"/>
    <n v="994366"/>
    <x v="2"/>
    <n v="3.6132411939859423E-2"/>
  </r>
  <r>
    <n v="8357219"/>
    <x v="2"/>
    <n v="27253545"/>
    <s v="Tarjeta"/>
    <n v="63371274"/>
    <n v="9002262"/>
    <n v="943196"/>
    <n v="30"/>
    <d v="2016-05-18T00:00:00"/>
    <s v="Empresa B"/>
    <n v="3"/>
    <n v="1"/>
    <n v="2"/>
    <n v="0"/>
    <n v="471598"/>
    <x v="1"/>
    <n v="5.2386611276143705E-2"/>
  </r>
  <r>
    <n v="8357227"/>
    <x v="0"/>
    <n v="26369502"/>
    <s v="Tarjeta"/>
    <n v="678366"/>
    <n v="678366"/>
    <n v="164287"/>
    <n v="30"/>
    <d v="2016-05-31T00:00:00"/>
    <s v="Empresa A"/>
    <n v="3"/>
    <n v="1"/>
    <n v="2"/>
    <n v="1"/>
    <n v="164287"/>
    <x v="2"/>
    <n v="0.24218047484691155"/>
  </r>
  <r>
    <n v="8357241"/>
    <x v="0"/>
    <n v="21744609"/>
    <s v="Tarjeta"/>
    <n v="1788573"/>
    <n v="801034"/>
    <n v="94767"/>
    <n v="30"/>
    <d v="2016-05-18T00:00:00"/>
    <s v="Empresa C"/>
    <n v="3"/>
    <n v="1"/>
    <n v="2"/>
    <n v="0"/>
    <n v="0"/>
    <x v="0"/>
    <n v="0"/>
  </r>
  <r>
    <n v="8357241"/>
    <x v="0"/>
    <n v="22658475"/>
    <s v="Tarjeta"/>
    <n v="1788573"/>
    <n v="987539"/>
    <n v="117203"/>
    <n v="30"/>
    <d v="2016-05-19T00:00:00"/>
    <s v="Empresa C"/>
    <n v="3"/>
    <n v="0"/>
    <n v="3"/>
    <n v="1"/>
    <n v="987539"/>
    <x v="2"/>
    <n v="1"/>
  </r>
  <r>
    <n v="8357529"/>
    <x v="0"/>
    <n v="27995102"/>
    <s v="Tarjeta"/>
    <n v="60642"/>
    <n v="60642"/>
    <n v="3902"/>
    <n v="30"/>
    <d v="2016-05-18T00:00:00"/>
    <s v="Empresa C"/>
    <n v="3"/>
    <n v="1"/>
    <n v="2"/>
    <n v="2"/>
    <n v="0"/>
    <x v="0"/>
    <n v="0"/>
  </r>
  <r>
    <n v="8360977"/>
    <x v="0"/>
    <n v="26011555"/>
    <s v="Tarjeta"/>
    <n v="190564"/>
    <n v="190564"/>
    <n v="32985"/>
    <n v="30"/>
    <d v="2016-05-19T00:00:00"/>
    <s v="Empresa C"/>
    <n v="3"/>
    <n v="1"/>
    <n v="2"/>
    <n v="0"/>
    <n v="10995"/>
    <x v="3"/>
    <n v="5.7697151613106359E-2"/>
  </r>
  <r>
    <n v="8361878"/>
    <x v="1"/>
    <n v="1051371"/>
    <s v="Tarjeta"/>
    <n v="14651379"/>
    <n v="3394544"/>
    <n v="140760"/>
    <n v="30"/>
    <d v="2016-05-28T00:00:00"/>
    <s v="Empresa C"/>
    <n v="3"/>
    <n v="1"/>
    <n v="2"/>
    <n v="1"/>
    <n v="140760"/>
    <x v="2"/>
    <n v="4.1466541603231537E-2"/>
  </r>
  <r>
    <n v="8362506"/>
    <x v="1"/>
    <n v="26696130"/>
    <s v="Tarjeta"/>
    <n v="7852080"/>
    <n v="1912624"/>
    <n v="698300"/>
    <n v="90"/>
    <d v="2016-04-21T00:00:00"/>
    <s v="Empresa B"/>
    <n v="3"/>
    <n v="1"/>
    <n v="2"/>
    <n v="0"/>
    <n v="0"/>
    <x v="1"/>
    <n v="0"/>
  </r>
  <r>
    <n v="8362506"/>
    <x v="1"/>
    <n v="26696578"/>
    <s v="Tarjeta"/>
    <n v="7852080"/>
    <n v="5939456"/>
    <n v="5939456"/>
    <n v="150"/>
    <d v="2016-05-19T00:00:00"/>
    <s v="Empresa B"/>
    <n v="3"/>
    <n v="0"/>
    <n v="3"/>
    <n v="1"/>
    <n v="0"/>
    <x v="1"/>
    <n v="0"/>
  </r>
  <r>
    <n v="8363386"/>
    <x v="0"/>
    <n v="27479573"/>
    <s v="Tarjeta"/>
    <n v="388367"/>
    <n v="388367"/>
    <n v="54313"/>
    <n v="30"/>
    <d v="2016-05-31T00:00:00"/>
    <s v="Empresa A"/>
    <n v="3"/>
    <n v="1"/>
    <n v="2"/>
    <n v="2"/>
    <n v="388367"/>
    <x v="2"/>
    <n v="1"/>
  </r>
  <r>
    <n v="8364034"/>
    <x v="1"/>
    <n v="2328145"/>
    <s v="Sobregiro"/>
    <n v="10758298"/>
    <n v="20809"/>
    <n v="20809"/>
    <n v="88"/>
    <d v="2016-05-12T00:00:00"/>
    <s v="Empresa C"/>
    <n v="3"/>
    <n v="1"/>
    <n v="2"/>
    <n v="0"/>
    <n v="20809"/>
    <x v="2"/>
    <n v="1"/>
  </r>
  <r>
    <n v="8364034"/>
    <x v="1"/>
    <n v="26406536"/>
    <s v="Tarjeta"/>
    <n v="10758298"/>
    <n v="10737489"/>
    <n v="2294485"/>
    <n v="60"/>
    <d v="2016-05-12T00:00:00"/>
    <s v="Empresa C"/>
    <n v="3"/>
    <n v="1"/>
    <n v="2"/>
    <n v="1"/>
    <n v="1147243"/>
    <x v="1"/>
    <n v="0.1068446263367534"/>
  </r>
  <r>
    <n v="8364712"/>
    <x v="0"/>
    <n v="1460358"/>
    <s v="Tarjeta"/>
    <n v="517931"/>
    <n v="517931"/>
    <n v="21962"/>
    <n v="30"/>
    <d v="2016-05-31T00:00:00"/>
    <s v="Empresa A"/>
    <n v="3"/>
    <n v="2"/>
    <n v="1"/>
    <n v="0"/>
    <n v="7320"/>
    <x v="3"/>
    <n v="1.4133156733232805E-2"/>
  </r>
  <r>
    <n v="8365097"/>
    <x v="0"/>
    <n v="3651053"/>
    <s v="Tarjeta"/>
    <n v="1817799"/>
    <n v="1817799"/>
    <n v="170782"/>
    <n v="30"/>
    <d v="2016-05-18T00:00:00"/>
    <s v="Empresa C"/>
    <n v="3"/>
    <n v="1"/>
    <n v="2"/>
    <n v="0"/>
    <n v="170782"/>
    <x v="2"/>
    <n v="9.39498811474756E-2"/>
  </r>
  <r>
    <n v="8365309"/>
    <x v="1"/>
    <n v="26944546"/>
    <s v="Tarjeta"/>
    <n v="7772000"/>
    <n v="7772000"/>
    <n v="699336"/>
    <n v="30"/>
    <d v="2016-06-01T00:00:00"/>
    <s v="Empresa C"/>
    <n v="3"/>
    <n v="0"/>
    <n v="3"/>
    <n v="2"/>
    <n v="0"/>
    <x v="0"/>
    <n v="0"/>
  </r>
  <r>
    <n v="8366056"/>
    <x v="1"/>
    <n v="26064932"/>
    <s v="Tarjeta"/>
    <n v="5029658"/>
    <n v="3358344"/>
    <n v="3358344"/>
    <n v="210"/>
    <d v="2016-03-19T00:00:00"/>
    <s v="Empresa B"/>
    <n v="3"/>
    <n v="1"/>
    <n v="2"/>
    <n v="1"/>
    <n v="0"/>
    <x v="1"/>
    <n v="0"/>
  </r>
  <r>
    <n v="8366056"/>
    <x v="1"/>
    <n v="27054787"/>
    <s v="Tarjeta"/>
    <n v="5029658"/>
    <n v="1671314"/>
    <n v="1671314"/>
    <n v="120"/>
    <d v="2016-05-28T00:00:00"/>
    <s v="Empresa B"/>
    <n v="3"/>
    <n v="1"/>
    <n v="2"/>
    <n v="1"/>
    <n v="1671314"/>
    <x v="2"/>
    <n v="1"/>
  </r>
  <r>
    <n v="8366256"/>
    <x v="1"/>
    <n v="25706312"/>
    <s v="Tarjeta"/>
    <n v="6776767"/>
    <n v="6776767"/>
    <n v="155638"/>
    <n v="30"/>
    <d v="2016-05-31T00:00:00"/>
    <s v="Empresa A"/>
    <n v="3"/>
    <n v="1"/>
    <n v="2"/>
    <n v="0"/>
    <n v="0"/>
    <x v="0"/>
    <n v="0"/>
  </r>
  <r>
    <n v="8366454"/>
    <x v="0"/>
    <n v="11221865"/>
    <s v="Tarjeta"/>
    <n v="1433407"/>
    <n v="1433407"/>
    <n v="7806"/>
    <n v="30"/>
    <d v="2016-05-29T00:00:00"/>
    <s v="Empresa C"/>
    <n v="3"/>
    <n v="1"/>
    <n v="2"/>
    <n v="0"/>
    <n v="0"/>
    <x v="0"/>
    <n v="0"/>
  </r>
  <r>
    <n v="8366773"/>
    <x v="0"/>
    <n v="24385342"/>
    <s v="Tarjeta"/>
    <n v="623660"/>
    <n v="623660"/>
    <n v="272011"/>
    <n v="60"/>
    <d v="2016-05-01T00:00:00"/>
    <s v="Empresa C"/>
    <n v="3"/>
    <n v="0"/>
    <n v="3"/>
    <n v="2"/>
    <n v="272011"/>
    <x v="2"/>
    <n v="0.43615271141327006"/>
  </r>
  <r>
    <n v="8367150"/>
    <x v="0"/>
    <n v="18627540"/>
    <s v="Tarjeta"/>
    <n v="2026615"/>
    <n v="1056037"/>
    <n v="94508"/>
    <n v="30"/>
    <d v="2016-05-19T00:00:00"/>
    <s v="Empresa C"/>
    <n v="3"/>
    <n v="1"/>
    <n v="2"/>
    <n v="1"/>
    <n v="0"/>
    <x v="0"/>
    <n v="0"/>
  </r>
  <r>
    <n v="8367150"/>
    <x v="0"/>
    <n v="18628373"/>
    <s v="Tarjeta"/>
    <n v="2026615"/>
    <n v="970578"/>
    <n v="117199"/>
    <n v="30"/>
    <d v="2016-05-18T00:00:00"/>
    <s v="Empresa C"/>
    <n v="3"/>
    <n v="1"/>
    <n v="2"/>
    <n v="1"/>
    <n v="970578"/>
    <x v="2"/>
    <n v="1"/>
  </r>
  <r>
    <n v="8367187"/>
    <x v="1"/>
    <n v="24358512"/>
    <s v="Tarjeta"/>
    <n v="7338564"/>
    <n v="1000435"/>
    <n v="999940"/>
    <n v="120"/>
    <d v="2016-05-31T00:00:00"/>
    <s v="Empresa B"/>
    <n v="3"/>
    <n v="1"/>
    <n v="2"/>
    <n v="0"/>
    <n v="0"/>
    <x v="0"/>
    <n v="0"/>
  </r>
  <r>
    <n v="8367911"/>
    <x v="0"/>
    <n v="26796195"/>
    <s v="Tarjeta"/>
    <n v="2861987"/>
    <n v="2861987"/>
    <n v="400448"/>
    <n v="30"/>
    <d v="2016-05-31T00:00:00"/>
    <s v="Empresa A"/>
    <n v="3"/>
    <n v="1"/>
    <n v="2"/>
    <n v="0"/>
    <n v="0"/>
    <x v="0"/>
    <n v="0"/>
  </r>
  <r>
    <n v="8368470"/>
    <x v="0"/>
    <n v="25990958"/>
    <s v="Tarjeta"/>
    <n v="3166094"/>
    <n v="856746"/>
    <n v="33493"/>
    <n v="30"/>
    <d v="2016-05-31T00:00:00"/>
    <s v="Empresa A"/>
    <n v="3"/>
    <n v="0"/>
    <n v="3"/>
    <n v="2"/>
    <n v="16746"/>
    <x v="1"/>
    <n v="1.9546049821067155E-2"/>
  </r>
  <r>
    <n v="8368568"/>
    <x v="2"/>
    <n v="20786848"/>
    <s v="Tarjeta"/>
    <n v="37091851"/>
    <n v="5637698"/>
    <n v="106274"/>
    <n v="30"/>
    <d v="2016-06-01T00:00:00"/>
    <s v="Empresa C"/>
    <n v="3"/>
    <n v="1"/>
    <n v="2"/>
    <n v="1"/>
    <n v="0"/>
    <x v="0"/>
    <n v="0"/>
  </r>
  <r>
    <n v="8368568"/>
    <x v="2"/>
    <n v="23353967"/>
    <s v="Tarjeta"/>
    <n v="37091851"/>
    <n v="1363821"/>
    <n v="295418"/>
    <n v="30"/>
    <d v="2016-06-01T00:00:00"/>
    <s v="Empresa C"/>
    <n v="3"/>
    <n v="1"/>
    <n v="2"/>
    <n v="1"/>
    <n v="98473"/>
    <x v="3"/>
    <n v="7.2203756944643024E-2"/>
  </r>
  <r>
    <n v="8368826"/>
    <x v="1"/>
    <n v="11200552"/>
    <s v="Tarjeta"/>
    <n v="7945699"/>
    <n v="2858482"/>
    <n v="84289"/>
    <n v="30"/>
    <d v="2016-04-30T00:00:00"/>
    <s v="Empresa C"/>
    <n v="3"/>
    <n v="1"/>
    <n v="2"/>
    <n v="0"/>
    <n v="84289"/>
    <x v="2"/>
    <n v="2.9487329288762357E-2"/>
  </r>
  <r>
    <n v="8368917"/>
    <x v="1"/>
    <n v="15643416"/>
    <s v="Tarjeta"/>
    <n v="11787227"/>
    <n v="5891976"/>
    <n v="797773"/>
    <n v="30"/>
    <d v="2016-05-18T00:00:00"/>
    <s v="Empresa C"/>
    <n v="3"/>
    <n v="2"/>
    <n v="1"/>
    <n v="0"/>
    <n v="265924"/>
    <x v="3"/>
    <n v="4.5133245620823985E-2"/>
  </r>
  <r>
    <n v="8368917"/>
    <x v="1"/>
    <n v="15644864"/>
    <s v="Tarjeta"/>
    <n v="11787227"/>
    <n v="5895251"/>
    <n v="685129"/>
    <n v="30"/>
    <d v="2016-05-19T00:00:00"/>
    <s v="Empresa C"/>
    <n v="3"/>
    <n v="1"/>
    <n v="2"/>
    <n v="1"/>
    <n v="0"/>
    <x v="0"/>
    <n v="0"/>
  </r>
  <r>
    <n v="8368961"/>
    <x v="1"/>
    <n v="23801774"/>
    <s v="Tarjeta"/>
    <n v="9205503"/>
    <n v="1832073"/>
    <n v="417202"/>
    <n v="60"/>
    <d v="2016-05-01T00:00:00"/>
    <s v="Empresa C"/>
    <n v="3"/>
    <n v="0"/>
    <n v="3"/>
    <n v="1"/>
    <n v="0"/>
    <x v="0"/>
    <n v="0"/>
  </r>
  <r>
    <n v="8369021"/>
    <x v="1"/>
    <n v="24967953"/>
    <s v="Tarjeta"/>
    <n v="5470361"/>
    <n v="2735181"/>
    <n v="62433"/>
    <n v="30"/>
    <d v="2016-06-03T00:00:00"/>
    <s v="Empresa C"/>
    <n v="3"/>
    <n v="1"/>
    <n v="2"/>
    <n v="2"/>
    <n v="0"/>
    <x v="0"/>
    <n v="0"/>
  </r>
  <r>
    <n v="8369548"/>
    <x v="0"/>
    <n v="21722911"/>
    <s v="Tarjeta"/>
    <n v="4783523"/>
    <n v="1289329"/>
    <n v="1289329"/>
    <n v="300"/>
    <d v="2016-04-27T00:00:00"/>
    <s v="Empresa B"/>
    <n v="3"/>
    <n v="1"/>
    <n v="2"/>
    <n v="0"/>
    <n v="1289329"/>
    <x v="2"/>
    <n v="1"/>
  </r>
  <r>
    <n v="8369921"/>
    <x v="1"/>
    <n v="18804236"/>
    <s v="Tarjeta"/>
    <n v="5853172"/>
    <n v="1883060"/>
    <n v="48927"/>
    <n v="30"/>
    <d v="2016-05-31T00:00:00"/>
    <s v="Empresa A"/>
    <n v="3"/>
    <n v="1"/>
    <n v="2"/>
    <n v="0"/>
    <n v="48927"/>
    <x v="2"/>
    <n v="2.5982708994933778E-2"/>
  </r>
  <r>
    <n v="8370142"/>
    <x v="1"/>
    <n v="19935967"/>
    <s v="Tarjeta"/>
    <n v="5797763"/>
    <n v="885904"/>
    <n v="33649"/>
    <n v="30"/>
    <d v="2016-05-31T00:00:00"/>
    <s v="Empresa A"/>
    <n v="3"/>
    <n v="1"/>
    <n v="2"/>
    <n v="1"/>
    <n v="0"/>
    <x v="0"/>
    <n v="0"/>
  </r>
  <r>
    <n v="8370142"/>
    <x v="1"/>
    <n v="19937520"/>
    <s v="Tarjeta"/>
    <n v="5797763"/>
    <n v="2208042"/>
    <n v="56716"/>
    <n v="30"/>
    <d v="2016-05-31T00:00:00"/>
    <s v="Empresa A"/>
    <n v="3"/>
    <n v="0"/>
    <n v="3"/>
    <n v="1"/>
    <n v="0"/>
    <x v="0"/>
    <n v="0"/>
  </r>
  <r>
    <n v="8370436"/>
    <x v="0"/>
    <n v="25911475"/>
    <s v="Tarjeta"/>
    <n v="907040"/>
    <n v="907040"/>
    <n v="203743"/>
    <n v="90"/>
    <d v="2016-05-18T00:00:00"/>
    <s v="Empresa C"/>
    <n v="3"/>
    <n v="1"/>
    <n v="2"/>
    <n v="2"/>
    <n v="0"/>
    <x v="0"/>
    <n v="0"/>
  </r>
  <r>
    <n v="8370964"/>
    <x v="0"/>
    <n v="14853592"/>
    <s v="Tarjeta"/>
    <n v="1763477"/>
    <n v="1763477"/>
    <n v="1763477"/>
    <n v="120"/>
    <d v="2016-05-29T00:00:00"/>
    <s v="Empresa B"/>
    <n v="3"/>
    <n v="1"/>
    <n v="2"/>
    <n v="0"/>
    <n v="0"/>
    <x v="1"/>
    <n v="0"/>
  </r>
  <r>
    <n v="8371020"/>
    <x v="0"/>
    <n v="26228993"/>
    <s v="Tarjeta"/>
    <n v="719953"/>
    <n v="719953"/>
    <n v="272465"/>
    <n v="30"/>
    <d v="2016-05-31T00:00:00"/>
    <s v="Empresa A"/>
    <n v="3"/>
    <n v="1"/>
    <n v="2"/>
    <n v="0"/>
    <n v="272465"/>
    <x v="2"/>
    <n v="0.3784483153761426"/>
  </r>
  <r>
    <n v="8371143"/>
    <x v="1"/>
    <n v="2778342"/>
    <s v="Sobregiro"/>
    <n v="10896228"/>
    <n v="87912"/>
    <n v="87912"/>
    <n v="38"/>
    <d v="2016-06-02T00:00:00"/>
    <s v="Empresa C"/>
    <n v="3"/>
    <n v="1"/>
    <n v="2"/>
    <n v="1"/>
    <n v="0"/>
    <x v="0"/>
    <n v="0"/>
  </r>
  <r>
    <n v="8371143"/>
    <x v="1"/>
    <n v="4910388"/>
    <s v="Tarjeta"/>
    <n v="10896228"/>
    <n v="5256516"/>
    <n v="681340"/>
    <n v="30"/>
    <d v="2016-06-02T00:00:00"/>
    <s v="Empresa C"/>
    <n v="3"/>
    <n v="0"/>
    <n v="3"/>
    <n v="1"/>
    <n v="0"/>
    <x v="0"/>
    <n v="0"/>
  </r>
  <r>
    <n v="8371487"/>
    <x v="0"/>
    <n v="14446684"/>
    <s v="Tarjeta"/>
    <n v="3063006"/>
    <n v="3063006"/>
    <n v="206599"/>
    <n v="30"/>
    <d v="2016-06-01T00:00:00"/>
    <s v="Empresa C"/>
    <n v="3"/>
    <n v="1"/>
    <n v="2"/>
    <n v="2"/>
    <n v="206599"/>
    <x v="2"/>
    <n v="6.7449753608056925E-2"/>
  </r>
  <r>
    <n v="8372113"/>
    <x v="2"/>
    <n v="12527109"/>
    <s v="Tarjeta"/>
    <n v="5714769"/>
    <n v="2067749"/>
    <n v="2067749"/>
    <n v="180"/>
    <d v="2016-04-30T00:00:00"/>
    <s v="Empresa B"/>
    <n v="3"/>
    <n v="1"/>
    <n v="2"/>
    <n v="0"/>
    <n v="2067749"/>
    <x v="2"/>
    <n v="1"/>
  </r>
  <r>
    <n v="8372113"/>
    <x v="2"/>
    <n v="20852636"/>
    <s v="Tarjeta"/>
    <n v="5714769"/>
    <n v="1913968"/>
    <n v="1913968"/>
    <n v="150"/>
    <d v="2016-05-29T00:00:00"/>
    <s v="Empresa B"/>
    <n v="3"/>
    <n v="1"/>
    <n v="2"/>
    <n v="0"/>
    <n v="956985"/>
    <x v="1"/>
    <n v="0.50000052247477489"/>
  </r>
  <r>
    <n v="8372113"/>
    <x v="2"/>
    <n v="21187094"/>
    <s v="Tarjeta"/>
    <n v="5714769"/>
    <n v="1434324"/>
    <n v="1434324"/>
    <n v="180"/>
    <d v="2016-04-30T00:00:00"/>
    <s v="Empresa B"/>
    <n v="3"/>
    <n v="2"/>
    <n v="1"/>
    <n v="1"/>
    <n v="478108"/>
    <x v="3"/>
    <n v="0.33333333333333331"/>
  </r>
  <r>
    <n v="8372113"/>
    <x v="2"/>
    <n v="23287162"/>
    <s v="Rotativo"/>
    <n v="5714769"/>
    <n v="298727"/>
    <n v="298727"/>
    <n v="145"/>
    <d v="2016-05-14T00:00:00"/>
    <s v="Empresa B"/>
    <n v="3"/>
    <n v="1"/>
    <n v="2"/>
    <n v="0"/>
    <n v="298727"/>
    <x v="2"/>
    <n v="1"/>
  </r>
  <r>
    <n v="8372256"/>
    <x v="0"/>
    <n v="24368698"/>
    <s v="Tarjeta"/>
    <n v="1934128"/>
    <n v="1934128"/>
    <n v="32397"/>
    <n v="30"/>
    <d v="2016-05-19T00:00:00"/>
    <s v="Empresa C"/>
    <n v="3"/>
    <n v="0"/>
    <n v="3"/>
    <n v="2"/>
    <n v="16199"/>
    <x v="1"/>
    <n v="8.3753505455688559E-3"/>
  </r>
  <r>
    <n v="8372294"/>
    <x v="0"/>
    <n v="26217632"/>
    <s v="Tarjeta"/>
    <n v="356940"/>
    <n v="356940"/>
    <n v="85705"/>
    <n v="30"/>
    <d v="2016-05-18T00:00:00"/>
    <s v="Empresa C"/>
    <n v="3"/>
    <n v="1"/>
    <n v="2"/>
    <n v="1"/>
    <n v="0"/>
    <x v="0"/>
    <n v="0"/>
  </r>
  <r>
    <n v="8372484"/>
    <x v="2"/>
    <n v="19916641"/>
    <s v="Tarjeta"/>
    <n v="42910041"/>
    <n v="2324248"/>
    <n v="782788"/>
    <n v="30"/>
    <d v="2016-05-25T00:00:00"/>
    <s v="Empresa C"/>
    <n v="3"/>
    <n v="1"/>
    <n v="2"/>
    <n v="0"/>
    <n v="782788"/>
    <x v="2"/>
    <n v="0.33679194302845478"/>
  </r>
  <r>
    <n v="8372759"/>
    <x v="0"/>
    <n v="11400568"/>
    <s v="Tarjeta"/>
    <n v="2511962"/>
    <n v="2511962"/>
    <n v="2511962"/>
    <n v="120"/>
    <d v="2016-05-18T00:00:00"/>
    <s v="Empresa B"/>
    <n v="3"/>
    <n v="1"/>
    <n v="2"/>
    <n v="1"/>
    <n v="0"/>
    <x v="1"/>
    <n v="0"/>
  </r>
  <r>
    <n v="8372819"/>
    <x v="1"/>
    <n v="23753030"/>
    <s v="Tarjeta"/>
    <n v="8134181"/>
    <n v="1773908"/>
    <n v="11709"/>
    <n v="30"/>
    <d v="2016-05-18T00:00:00"/>
    <s v="Empresa C"/>
    <n v="3"/>
    <n v="1"/>
    <n v="2"/>
    <n v="0"/>
    <n v="5855"/>
    <x v="1"/>
    <n v="3.300622129219779E-3"/>
  </r>
  <r>
    <n v="8372852"/>
    <x v="1"/>
    <n v="23768795"/>
    <s v="Tarjeta"/>
    <n v="18507237"/>
    <n v="18507237"/>
    <n v="465555"/>
    <n v="30"/>
    <d v="2016-05-29T00:00:00"/>
    <s v="Empresa B"/>
    <n v="3"/>
    <n v="0"/>
    <n v="3"/>
    <n v="2"/>
    <n v="465555"/>
    <x v="2"/>
    <n v="2.5155294655814911E-2"/>
  </r>
  <r>
    <n v="8372876"/>
    <x v="0"/>
    <n v="27056383"/>
    <s v="Tarjeta"/>
    <n v="409405"/>
    <n v="409405"/>
    <n v="40907"/>
    <n v="30"/>
    <d v="2016-05-19T00:00:00"/>
    <s v="Empresa C"/>
    <n v="3"/>
    <n v="1"/>
    <n v="2"/>
    <n v="1"/>
    <n v="40907"/>
    <x v="2"/>
    <n v="9.9918173935345189E-2"/>
  </r>
  <r>
    <n v="8373109"/>
    <x v="0"/>
    <n v="25110940"/>
    <s v="Tarjeta"/>
    <n v="57196"/>
    <n v="57196"/>
    <n v="47021"/>
    <n v="30"/>
    <d v="2016-05-31T00:00:00"/>
    <s v="Empresa A"/>
    <n v="3"/>
    <n v="1"/>
    <n v="2"/>
    <n v="0"/>
    <n v="15674"/>
    <x v="3"/>
    <n v="0.27404014266731941"/>
  </r>
  <r>
    <n v="8373110"/>
    <x v="0"/>
    <n v="20837646"/>
    <s v="Tarjeta"/>
    <n v="4138490"/>
    <n v="4138490"/>
    <n v="2835880"/>
    <n v="60"/>
    <d v="2016-05-01T00:00:00"/>
    <s v="Empresa C"/>
    <n v="3"/>
    <n v="1"/>
    <n v="2"/>
    <n v="1"/>
    <n v="0"/>
    <x v="0"/>
    <n v="0"/>
  </r>
  <r>
    <n v="8373305"/>
    <x v="0"/>
    <n v="21807022"/>
    <s v="Tarjeta"/>
    <n v="3634425"/>
    <n v="3634425"/>
    <n v="267402"/>
    <n v="30"/>
    <d v="2016-05-31T00:00:00"/>
    <s v="Empresa A"/>
    <n v="3"/>
    <n v="1"/>
    <n v="2"/>
    <n v="0"/>
    <n v="0"/>
    <x v="0"/>
    <n v="0"/>
  </r>
  <r>
    <n v="8373318"/>
    <x v="0"/>
    <n v="23637560"/>
    <s v="Tarjeta"/>
    <n v="4727990"/>
    <n v="4727990"/>
    <n v="769024"/>
    <n v="60"/>
    <d v="2016-04-30T00:00:00"/>
    <s v="Empresa C"/>
    <n v="3"/>
    <n v="0"/>
    <n v="3"/>
    <n v="2"/>
    <n v="0"/>
    <x v="0"/>
    <n v="0"/>
  </r>
  <r>
    <n v="8373458"/>
    <x v="0"/>
    <n v="26405269"/>
    <s v="Tarjeta"/>
    <n v="1334852"/>
    <n v="1334852"/>
    <n v="1334584"/>
    <n v="120"/>
    <d v="2016-05-29T00:00:00"/>
    <s v="Empresa B"/>
    <n v="3"/>
    <n v="1"/>
    <n v="2"/>
    <n v="1"/>
    <n v="0"/>
    <x v="0"/>
    <n v="0"/>
  </r>
  <r>
    <n v="8373519"/>
    <x v="1"/>
    <n v="26396786"/>
    <s v="Tarjeta"/>
    <n v="7389122"/>
    <n v="2333609"/>
    <n v="3902"/>
    <n v="30"/>
    <d v="2016-05-31T00:00:00"/>
    <s v="Empresa A"/>
    <n v="3"/>
    <n v="1"/>
    <n v="2"/>
    <n v="0"/>
    <n v="0"/>
    <x v="0"/>
    <n v="0"/>
  </r>
  <r>
    <n v="8373802"/>
    <x v="2"/>
    <n v="15812251"/>
    <s v="Tarjeta"/>
    <n v="12160033"/>
    <n v="2079277"/>
    <n v="2079277"/>
    <n v="120"/>
    <d v="2016-05-18T00:00:00"/>
    <s v="Empresa B"/>
    <n v="3"/>
    <n v="1"/>
    <n v="2"/>
    <n v="1"/>
    <n v="2079277"/>
    <x v="2"/>
    <n v="1"/>
  </r>
  <r>
    <n v="8373802"/>
    <x v="2"/>
    <n v="17302927"/>
    <s v="Tarjeta"/>
    <n v="12160033"/>
    <n v="3584325"/>
    <n v="436013"/>
    <n v="60"/>
    <d v="2016-05-18T00:00:00"/>
    <s v="Empresa B"/>
    <n v="3"/>
    <n v="2"/>
    <n v="1"/>
    <n v="0"/>
    <n v="0"/>
    <x v="0"/>
    <n v="0"/>
  </r>
  <r>
    <n v="8373802"/>
    <x v="2"/>
    <n v="25509330"/>
    <s v="Rotativo"/>
    <n v="12160033"/>
    <n v="4748262"/>
    <n v="271697"/>
    <n v="24"/>
    <d v="2016-05-18T00:00:00"/>
    <s v="Empresa B"/>
    <n v="3"/>
    <n v="1"/>
    <n v="2"/>
    <n v="1"/>
    <n v="0"/>
    <x v="0"/>
    <n v="0"/>
  </r>
  <r>
    <n v="8373802"/>
    <x v="2"/>
    <n v="27399471"/>
    <s v="Rotativo"/>
    <n v="12160033"/>
    <n v="1436886"/>
    <n v="43510"/>
    <n v="24"/>
    <d v="2016-05-18T00:00:00"/>
    <s v="Empresa B"/>
    <n v="3"/>
    <n v="0"/>
    <n v="3"/>
    <n v="1"/>
    <n v="43510"/>
    <x v="2"/>
    <n v="3.0280759921107171E-2"/>
  </r>
  <r>
    <n v="8373802"/>
    <x v="2"/>
    <n v="27745139"/>
    <s v="Rotativo"/>
    <n v="12160033"/>
    <n v="311282"/>
    <n v="9298"/>
    <n v="24"/>
    <d v="2016-05-18T00:00:00"/>
    <s v="Empresa B"/>
    <n v="3"/>
    <n v="1"/>
    <n v="2"/>
    <n v="1"/>
    <n v="3100"/>
    <x v="0"/>
    <n v="9.9588154792117755E-3"/>
  </r>
  <r>
    <n v="8373803"/>
    <x v="1"/>
    <n v="16656839"/>
    <s v="Consumo"/>
    <n v="6503338"/>
    <n v="651907"/>
    <n v="589819"/>
    <n v="133"/>
    <d v="2016-05-27T00:00:00"/>
    <s v="Empresa B"/>
    <n v="3"/>
    <n v="1"/>
    <n v="2"/>
    <n v="1"/>
    <n v="0"/>
    <x v="0"/>
    <n v="0"/>
  </r>
  <r>
    <n v="8373803"/>
    <x v="1"/>
    <n v="24836538"/>
    <s v="Tarjeta"/>
    <n v="6503338"/>
    <n v="2470905"/>
    <n v="544076"/>
    <n v="60"/>
    <d v="2016-05-01T00:00:00"/>
    <s v="Empresa B"/>
    <n v="3"/>
    <n v="1"/>
    <n v="2"/>
    <n v="0"/>
    <n v="544076"/>
    <x v="2"/>
    <n v="0.22019300620622809"/>
  </r>
  <r>
    <n v="8373922"/>
    <x v="1"/>
    <n v="15451183"/>
    <s v="Tarjeta"/>
    <n v="3211992"/>
    <n v="1101738"/>
    <n v="117938"/>
    <n v="30"/>
    <d v="2016-05-31T00:00:00"/>
    <s v="Empresa A"/>
    <n v="3"/>
    <n v="1"/>
    <n v="2"/>
    <n v="1"/>
    <n v="117938"/>
    <x v="2"/>
    <n v="0.1070472290145207"/>
  </r>
  <r>
    <n v="8373922"/>
    <x v="1"/>
    <n v="15452026"/>
    <s v="Tarjeta"/>
    <n v="3211992"/>
    <n v="1205113"/>
    <n v="11709"/>
    <n v="30"/>
    <d v="2016-05-31T00:00:00"/>
    <s v="Empresa A"/>
    <n v="3"/>
    <n v="0"/>
    <n v="3"/>
    <n v="1"/>
    <n v="1205113"/>
    <x v="2"/>
    <n v="1"/>
  </r>
  <r>
    <n v="8374077"/>
    <x v="2"/>
    <n v="27041563"/>
    <s v="Tarjeta"/>
    <n v="38659742"/>
    <n v="6050809"/>
    <n v="1212987"/>
    <n v="30"/>
    <d v="2016-05-19T00:00:00"/>
    <s v="Empresa B"/>
    <n v="3"/>
    <n v="1"/>
    <n v="2"/>
    <n v="1"/>
    <n v="0"/>
    <x v="0"/>
    <n v="0"/>
  </r>
  <r>
    <n v="8374957"/>
    <x v="0"/>
    <n v="26344716"/>
    <s v="Tarjeta"/>
    <n v="1934121"/>
    <n v="1934121"/>
    <n v="214989"/>
    <n v="30"/>
    <d v="2016-05-31T00:00:00"/>
    <s v="Empresa A"/>
    <n v="3"/>
    <n v="1"/>
    <n v="2"/>
    <n v="1"/>
    <n v="107495"/>
    <x v="1"/>
    <n v="5.5578218736056326E-2"/>
  </r>
  <r>
    <n v="8374964"/>
    <x v="0"/>
    <n v="27287287"/>
    <s v="Tarjeta"/>
    <n v="740311"/>
    <n v="310923"/>
    <n v="18118"/>
    <n v="30"/>
    <d v="2016-05-31T00:00:00"/>
    <s v="Empresa A"/>
    <n v="3"/>
    <n v="1"/>
    <n v="2"/>
    <n v="0"/>
    <n v="0"/>
    <x v="0"/>
    <n v="0"/>
  </r>
  <r>
    <n v="8375157"/>
    <x v="0"/>
    <n v="10604639"/>
    <s v="Tarjeta"/>
    <n v="610896"/>
    <n v="610896"/>
    <n v="610897"/>
    <n v="360"/>
    <d v="2016-03-14T00:00:00"/>
    <s v="Empresa B"/>
    <n v="3"/>
    <n v="1"/>
    <n v="2"/>
    <n v="1"/>
    <n v="0"/>
    <x v="0"/>
    <n v="0"/>
  </r>
  <r>
    <n v="8375295"/>
    <x v="1"/>
    <n v="23137609"/>
    <s v="Tarjeta"/>
    <n v="4911087"/>
    <n v="1873099"/>
    <n v="604385"/>
    <n v="90"/>
    <d v="2016-04-30T00:00:00"/>
    <s v="Empresa B"/>
    <n v="3"/>
    <n v="0"/>
    <n v="3"/>
    <n v="1"/>
    <n v="0"/>
    <x v="0"/>
    <n v="0"/>
  </r>
  <r>
    <n v="8375295"/>
    <x v="1"/>
    <n v="23161693"/>
    <s v="Tarjeta"/>
    <n v="4911087"/>
    <n v="3037989"/>
    <n v="3037989"/>
    <n v="150"/>
    <d v="2016-04-30T00:00:00"/>
    <s v="Empresa B"/>
    <n v="3"/>
    <n v="1"/>
    <n v="2"/>
    <n v="1"/>
    <n v="0"/>
    <x v="0"/>
    <n v="0"/>
  </r>
  <r>
    <n v="8375343"/>
    <x v="0"/>
    <n v="22513953"/>
    <s v="Tarjeta"/>
    <n v="2468444"/>
    <n v="2468444"/>
    <n v="2468444"/>
    <n v="150"/>
    <d v="2016-05-28T00:00:00"/>
    <s v="Empresa B"/>
    <n v="3"/>
    <n v="1"/>
    <n v="2"/>
    <n v="1"/>
    <n v="822815"/>
    <x v="3"/>
    <n v="0.33333346837116823"/>
  </r>
  <r>
    <n v="8375436"/>
    <x v="2"/>
    <n v="25340832"/>
    <s v="Tarjeta"/>
    <n v="23004813"/>
    <n v="2598794"/>
    <n v="72165"/>
    <n v="30"/>
    <d v="2016-06-01T00:00:00"/>
    <s v="Empresa C"/>
    <n v="3"/>
    <n v="1"/>
    <n v="2"/>
    <n v="0"/>
    <n v="0"/>
    <x v="0"/>
    <n v="0"/>
  </r>
  <r>
    <n v="8375436"/>
    <x v="2"/>
    <n v="28584174"/>
    <s v="Tarjeta"/>
    <n v="23004813"/>
    <n v="2574419"/>
    <n v="48193"/>
    <n v="30"/>
    <d v="2016-06-02T00:00:00"/>
    <s v="Empresa C"/>
    <n v="3"/>
    <n v="2"/>
    <n v="1"/>
    <n v="1"/>
    <n v="48193"/>
    <x v="2"/>
    <n v="1.8719951958092292E-2"/>
  </r>
  <r>
    <n v="8375486"/>
    <x v="0"/>
    <n v="15746667"/>
    <s v="Tarjeta"/>
    <n v="701221"/>
    <n v="701221"/>
    <n v="136072"/>
    <n v="30"/>
    <d v="2016-05-31T00:00:00"/>
    <s v="Empresa A"/>
    <n v="3"/>
    <n v="1"/>
    <n v="2"/>
    <n v="0"/>
    <n v="0"/>
    <x v="0"/>
    <n v="0"/>
  </r>
  <r>
    <n v="8375778"/>
    <x v="1"/>
    <n v="16122004"/>
    <s v="Tarjeta"/>
    <n v="9923786"/>
    <n v="4549196"/>
    <n v="98984"/>
    <n v="30"/>
    <d v="2016-05-18T00:00:00"/>
    <s v="Empresa C"/>
    <n v="3"/>
    <n v="0"/>
    <n v="3"/>
    <n v="1"/>
    <n v="0"/>
    <x v="0"/>
    <n v="0"/>
  </r>
  <r>
    <n v="8375887"/>
    <x v="0"/>
    <n v="21569268"/>
    <s v="Tarjeta"/>
    <n v="3968552"/>
    <n v="723227"/>
    <n v="135623"/>
    <n v="30"/>
    <d v="2016-05-31T00:00:00"/>
    <s v="Empresa A"/>
    <n v="3"/>
    <n v="1"/>
    <n v="2"/>
    <n v="2"/>
    <n v="0"/>
    <x v="0"/>
    <n v="0"/>
  </r>
  <r>
    <n v="8375899"/>
    <x v="0"/>
    <n v="25529213"/>
    <s v="Tarjeta"/>
    <n v="284166"/>
    <n v="284166"/>
    <n v="22144"/>
    <n v="30"/>
    <d v="2016-05-31T00:00:00"/>
    <s v="Empresa A"/>
    <n v="3"/>
    <n v="1"/>
    <n v="2"/>
    <n v="0"/>
    <n v="7381"/>
    <x v="3"/>
    <n v="2.5974254485054509E-2"/>
  </r>
  <r>
    <n v="8376101"/>
    <x v="1"/>
    <n v="26856140"/>
    <s v="Tarjeta"/>
    <n v="19396849"/>
    <n v="3713691"/>
    <n v="411472"/>
    <n v="30"/>
    <d v="2016-05-19T00:00:00"/>
    <s v="Empresa C"/>
    <n v="3"/>
    <n v="1"/>
    <n v="2"/>
    <n v="1"/>
    <n v="0"/>
    <x v="0"/>
    <n v="0"/>
  </r>
  <r>
    <n v="8376429"/>
    <x v="2"/>
    <n v="2931482"/>
    <s v="Hipotercario"/>
    <n v="38842759"/>
    <n v="33648680"/>
    <n v="2529274"/>
    <n v="114"/>
    <d v="2016-04-16T00:00:00"/>
    <s v="Empresa B"/>
    <n v="3"/>
    <n v="1"/>
    <n v="2"/>
    <n v="0"/>
    <n v="843091"/>
    <x v="0"/>
    <n v="2.5055693120799985E-2"/>
  </r>
  <r>
    <n v="8376429"/>
    <x v="2"/>
    <n v="11036696"/>
    <s v="Tarjeta"/>
    <n v="38842759"/>
    <n v="5194078"/>
    <n v="1981969"/>
    <n v="60"/>
    <d v="2016-04-21T00:00:00"/>
    <s v="Empresa B"/>
    <n v="3"/>
    <n v="0"/>
    <n v="3"/>
    <n v="1"/>
    <n v="660657"/>
    <x v="3"/>
    <n v="0.12719427779097656"/>
  </r>
  <r>
    <n v="8376469"/>
    <x v="0"/>
    <n v="27404462"/>
    <s v="Tarjeta"/>
    <n v="3494437"/>
    <n v="1668050"/>
    <n v="27236"/>
    <n v="30"/>
    <d v="2016-05-31T00:00:00"/>
    <s v="Empresa A"/>
    <n v="3"/>
    <n v="1"/>
    <n v="2"/>
    <n v="2"/>
    <n v="27236"/>
    <x v="2"/>
    <n v="1.6328047720392074E-2"/>
  </r>
  <r>
    <n v="8376705"/>
    <x v="0"/>
    <n v="26836468"/>
    <s v="Tarjeta"/>
    <n v="1289877"/>
    <n v="1289877"/>
    <n v="98811"/>
    <n v="30"/>
    <d v="2016-05-18T00:00:00"/>
    <s v="Empresa C"/>
    <n v="3"/>
    <n v="1"/>
    <n v="2"/>
    <n v="0"/>
    <n v="0"/>
    <x v="0"/>
    <n v="0"/>
  </r>
  <r>
    <n v="8376794"/>
    <x v="2"/>
    <n v="23391044"/>
    <s v="Tarjeta"/>
    <n v="13783105"/>
    <n v="2978400"/>
    <n v="425945"/>
    <n v="60"/>
    <d v="2016-05-01T00:00:00"/>
    <s v="Empresa B"/>
    <n v="3"/>
    <n v="1"/>
    <n v="2"/>
    <n v="1"/>
    <n v="141982"/>
    <x v="3"/>
    <n v="4.7670561375235024E-2"/>
  </r>
  <r>
    <n v="8376794"/>
    <x v="2"/>
    <n v="23391228"/>
    <s v="Tarjeta"/>
    <n v="13783105"/>
    <n v="6768847"/>
    <n v="6768847"/>
    <n v="150"/>
    <d v="2016-04-20T00:00:00"/>
    <s v="Empresa B"/>
    <n v="3"/>
    <n v="1"/>
    <n v="2"/>
    <n v="0"/>
    <n v="6768847"/>
    <x v="2"/>
    <n v="1"/>
  </r>
  <r>
    <n v="8376794"/>
    <x v="2"/>
    <n v="23812937"/>
    <s v="Tarjeta"/>
    <n v="13783105"/>
    <n v="4035858"/>
    <n v="4035858"/>
    <n v="150"/>
    <d v="2016-04-27T00:00:00"/>
    <s v="Empresa B"/>
    <n v="3"/>
    <n v="0"/>
    <n v="3"/>
    <n v="1"/>
    <n v="0"/>
    <x v="0"/>
    <n v="0"/>
  </r>
  <r>
    <n v="8376891"/>
    <x v="0"/>
    <n v="19336726"/>
    <s v="Tarjeta"/>
    <n v="3774425"/>
    <n v="3749370"/>
    <n v="496623"/>
    <n v="30"/>
    <d v="2016-05-31T00:00:00"/>
    <s v="Empresa A"/>
    <n v="3"/>
    <n v="1"/>
    <n v="2"/>
    <n v="2"/>
    <n v="0"/>
    <x v="0"/>
    <n v="0"/>
  </r>
  <r>
    <n v="8377130"/>
    <x v="0"/>
    <n v="26512445"/>
    <s v="Tarjeta"/>
    <n v="551516"/>
    <n v="551516"/>
    <n v="23821"/>
    <n v="30"/>
    <d v="2016-05-31T00:00:00"/>
    <s v="Empresa A"/>
    <n v="3"/>
    <n v="1"/>
    <n v="2"/>
    <n v="0"/>
    <n v="0"/>
    <x v="0"/>
    <n v="0"/>
  </r>
  <r>
    <n v="8377227"/>
    <x v="0"/>
    <n v="24816925"/>
    <s v="Tarjeta"/>
    <n v="1083760"/>
    <n v="1083760"/>
    <n v="93147"/>
    <n v="30"/>
    <d v="2016-05-18T00:00:00"/>
    <s v="Empresa C"/>
    <n v="3"/>
    <n v="1"/>
    <n v="2"/>
    <n v="1"/>
    <n v="93147"/>
    <x v="2"/>
    <n v="8.5947995866243451E-2"/>
  </r>
  <r>
    <n v="8377292"/>
    <x v="0"/>
    <n v="26246020"/>
    <s v="Tarjeta"/>
    <n v="3716702"/>
    <n v="1249723"/>
    <n v="369898"/>
    <n v="60"/>
    <d v="2016-06-03T00:00:00"/>
    <s v="Empresa C"/>
    <n v="3"/>
    <n v="2"/>
    <n v="1"/>
    <n v="0"/>
    <n v="369898"/>
    <x v="2"/>
    <n v="0.29598399005219556"/>
  </r>
  <r>
    <n v="8377553"/>
    <x v="1"/>
    <n v="25413634"/>
    <s v="Libranza"/>
    <n v="4865647"/>
    <n v="4467765"/>
    <n v="882011"/>
    <n v="191"/>
    <d v="2016-03-30T00:00:00"/>
    <s v="Empresa B"/>
    <n v="3"/>
    <n v="1"/>
    <n v="2"/>
    <n v="0"/>
    <n v="294004"/>
    <x v="3"/>
    <n v="6.580560973999304E-2"/>
  </r>
  <r>
    <n v="8377553"/>
    <x v="1"/>
    <n v="26862382"/>
    <s v="Tarjeta"/>
    <n v="4865647"/>
    <n v="397881"/>
    <n v="153708"/>
    <n v="90"/>
    <d v="2016-03-21T00:00:00"/>
    <s v="Empresa B"/>
    <n v="3"/>
    <n v="0"/>
    <n v="3"/>
    <n v="2"/>
    <n v="153708"/>
    <x v="2"/>
    <n v="0.38631651172084114"/>
  </r>
  <r>
    <n v="8377729"/>
    <x v="1"/>
    <n v="21626178"/>
    <s v="Tarjeta"/>
    <n v="23173720"/>
    <n v="3369065"/>
    <n v="3902"/>
    <n v="30"/>
    <d v="2016-05-31T00:00:00"/>
    <s v="Empresa A"/>
    <n v="3"/>
    <n v="1"/>
    <n v="2"/>
    <n v="1"/>
    <n v="3902"/>
    <x v="2"/>
    <n v="1.1581848376329932E-3"/>
  </r>
  <r>
    <n v="8377815"/>
    <x v="0"/>
    <n v="23968455"/>
    <s v="Tarjeta"/>
    <n v="282300"/>
    <n v="282300"/>
    <n v="90793"/>
    <n v="30"/>
    <d v="2016-05-31T00:00:00"/>
    <s v="Empresa A"/>
    <n v="3"/>
    <n v="1"/>
    <n v="2"/>
    <n v="1"/>
    <n v="45397"/>
    <x v="1"/>
    <n v="0.16081119376549768"/>
  </r>
  <r>
    <n v="8377851"/>
    <x v="1"/>
    <n v="23919595"/>
    <s v="Tarjeta"/>
    <n v="6319524"/>
    <n v="428572"/>
    <n v="167285"/>
    <n v="90"/>
    <d v="2016-05-18T00:00:00"/>
    <s v="Empresa C"/>
    <n v="3"/>
    <n v="1"/>
    <n v="2"/>
    <n v="0"/>
    <n v="428572"/>
    <x v="2"/>
    <n v="1"/>
  </r>
  <r>
    <n v="8377968"/>
    <x v="1"/>
    <n v="27872972"/>
    <s v="Tarjeta"/>
    <n v="8355027"/>
    <n v="8355027"/>
    <n v="500770"/>
    <n v="30"/>
    <d v="2016-05-31T00:00:00"/>
    <s v="Empresa A"/>
    <n v="3"/>
    <n v="1"/>
    <n v="2"/>
    <n v="0"/>
    <n v="0"/>
    <x v="0"/>
    <n v="0"/>
  </r>
  <r>
    <n v="8378091"/>
    <x v="0"/>
    <n v="26261467"/>
    <s v="Tarjeta"/>
    <n v="2423109"/>
    <n v="2423109"/>
    <n v="2423109"/>
    <n v="150"/>
    <d v="2016-05-29T00:00:00"/>
    <s v="Empresa B"/>
    <n v="3"/>
    <n v="0"/>
    <n v="3"/>
    <n v="2"/>
    <n v="0"/>
    <x v="0"/>
    <n v="0"/>
  </r>
  <r>
    <n v="8378283"/>
    <x v="1"/>
    <n v="25804857"/>
    <s v="Tarjeta"/>
    <n v="9580255"/>
    <n v="9580255"/>
    <n v="1084306"/>
    <n v="30"/>
    <d v="2016-05-18T00:00:00"/>
    <s v="Empresa C"/>
    <n v="3"/>
    <n v="1"/>
    <n v="2"/>
    <n v="1"/>
    <n v="542153"/>
    <x v="1"/>
    <n v="5.659066486226097E-2"/>
  </r>
  <r>
    <n v="8378400"/>
    <x v="1"/>
    <n v="26843926"/>
    <s v="Tarjeta"/>
    <n v="9153604"/>
    <n v="4500004"/>
    <n v="410874"/>
    <n v="30"/>
    <d v="2016-05-19T00:00:00"/>
    <s v="Empresa C"/>
    <n v="3"/>
    <n v="1"/>
    <n v="2"/>
    <n v="1"/>
    <n v="410874"/>
    <x v="2"/>
    <n v="9.1305252173109183E-2"/>
  </r>
  <r>
    <n v="8378400"/>
    <x v="1"/>
    <n v="26843927"/>
    <s v="Tarjeta"/>
    <n v="9153604"/>
    <n v="4653600"/>
    <n v="558027"/>
    <n v="30"/>
    <d v="2016-05-19T00:00:00"/>
    <s v="Empresa C"/>
    <n v="3"/>
    <n v="1"/>
    <n v="2"/>
    <n v="0"/>
    <n v="186009"/>
    <x v="3"/>
    <n v="3.9970990201134607E-2"/>
  </r>
  <r>
    <n v="8378538"/>
    <x v="2"/>
    <n v="26023462"/>
    <s v="Tarjeta"/>
    <n v="45860292"/>
    <n v="1062420"/>
    <n v="49590"/>
    <n v="30"/>
    <d v="2016-05-31T00:00:00"/>
    <s v="Empresa A"/>
    <n v="3"/>
    <n v="1"/>
    <n v="2"/>
    <n v="0"/>
    <n v="0"/>
    <x v="0"/>
    <n v="0"/>
  </r>
  <r>
    <n v="8378787"/>
    <x v="1"/>
    <n v="25360109"/>
    <s v="Tarjeta"/>
    <n v="8807735"/>
    <n v="3864692"/>
    <n v="1033923"/>
    <n v="30"/>
    <d v="2016-05-19T00:00:00"/>
    <s v="Empresa C"/>
    <n v="3"/>
    <n v="0"/>
    <n v="3"/>
    <n v="2"/>
    <n v="0"/>
    <x v="0"/>
    <n v="0"/>
  </r>
  <r>
    <n v="8378787"/>
    <x v="1"/>
    <n v="28167829"/>
    <s v="Tarjeta"/>
    <n v="8807735"/>
    <n v="4943044"/>
    <n v="856190"/>
    <n v="30"/>
    <d v="2016-05-18T00:00:00"/>
    <s v="Empresa C"/>
    <n v="3"/>
    <n v="1"/>
    <n v="2"/>
    <n v="1"/>
    <n v="0"/>
    <x v="0"/>
    <n v="0"/>
  </r>
  <r>
    <n v="8378871"/>
    <x v="0"/>
    <n v="21194808"/>
    <s v="Tarjeta"/>
    <n v="3281585"/>
    <n v="3281585"/>
    <n v="247641"/>
    <n v="30"/>
    <d v="2016-05-19T00:00:00"/>
    <s v="Empresa C"/>
    <n v="3"/>
    <n v="1"/>
    <n v="2"/>
    <n v="1"/>
    <n v="0"/>
    <x v="0"/>
    <n v="0"/>
  </r>
  <r>
    <n v="8379217"/>
    <x v="2"/>
    <n v="25899951"/>
    <s v="Consumo"/>
    <n v="53597124"/>
    <n v="49751490"/>
    <n v="1418103"/>
    <n v="26"/>
    <d v="2016-05-18T00:00:00"/>
    <s v="Empresa C"/>
    <n v="3"/>
    <n v="1"/>
    <n v="2"/>
    <n v="0"/>
    <n v="0"/>
    <x v="0"/>
    <n v="0"/>
  </r>
  <r>
    <n v="8379217"/>
    <x v="2"/>
    <n v="25904477"/>
    <s v="Tarjeta"/>
    <n v="53597124"/>
    <n v="3845634"/>
    <n v="313244"/>
    <n v="30"/>
    <d v="2016-05-18T00:00:00"/>
    <s v="Empresa C"/>
    <n v="3"/>
    <n v="2"/>
    <n v="1"/>
    <n v="0"/>
    <n v="0"/>
    <x v="0"/>
    <n v="0"/>
  </r>
  <r>
    <n v="8379238"/>
    <x v="0"/>
    <n v="27262178"/>
    <s v="Tarjeta"/>
    <n v="1941752"/>
    <n v="1941752"/>
    <n v="88299"/>
    <n v="30"/>
    <d v="2016-05-31T00:00:00"/>
    <s v="Empresa A"/>
    <n v="3"/>
    <n v="1"/>
    <n v="2"/>
    <n v="1"/>
    <n v="88299"/>
    <x v="2"/>
    <n v="4.5473881319550588E-2"/>
  </r>
  <r>
    <n v="8379989"/>
    <x v="2"/>
    <n v="25836165"/>
    <s v="Tarjeta"/>
    <n v="19244453"/>
    <n v="9019735"/>
    <n v="972266"/>
    <n v="60"/>
    <d v="2016-04-27T00:00:00"/>
    <s v="Empresa B"/>
    <n v="3"/>
    <n v="0"/>
    <n v="3"/>
    <n v="1"/>
    <n v="0"/>
    <x v="0"/>
    <n v="0"/>
  </r>
  <r>
    <n v="8379989"/>
    <x v="2"/>
    <n v="25855320"/>
    <s v="Consumo"/>
    <n v="19244453"/>
    <n v="10224718"/>
    <n v="3254325"/>
    <n v="155"/>
    <d v="2016-04-05T00:00:00"/>
    <s v="Empresa B"/>
    <n v="3"/>
    <n v="1"/>
    <n v="2"/>
    <n v="2"/>
    <n v="0"/>
    <x v="0"/>
    <n v="0"/>
  </r>
  <r>
    <n v="8380002"/>
    <x v="0"/>
    <n v="26293617"/>
    <s v="Tarjeta"/>
    <n v="1903215"/>
    <n v="1903215"/>
    <n v="421396"/>
    <n v="60"/>
    <d v="2016-05-01T00:00:00"/>
    <s v="Empresa C"/>
    <n v="3"/>
    <n v="1"/>
    <n v="2"/>
    <n v="0"/>
    <n v="0"/>
    <x v="0"/>
    <n v="0"/>
  </r>
  <r>
    <n v="8380063"/>
    <x v="0"/>
    <n v="20479677"/>
    <s v="Tarjeta"/>
    <n v="772355"/>
    <n v="772355"/>
    <n v="157311"/>
    <n v="60"/>
    <d v="2016-05-01T00:00:00"/>
    <s v="Empresa C"/>
    <n v="3"/>
    <n v="1"/>
    <n v="2"/>
    <n v="0"/>
    <n v="0"/>
    <x v="0"/>
    <n v="0"/>
  </r>
  <r>
    <n v="8380316"/>
    <x v="2"/>
    <n v="26082987"/>
    <s v="Vehiculo"/>
    <n v="38196877"/>
    <n v="38087577"/>
    <n v="1095717"/>
    <n v="19"/>
    <d v="2016-05-18T00:00:00"/>
    <s v="Empresa C"/>
    <n v="3"/>
    <n v="1"/>
    <n v="2"/>
    <n v="1"/>
    <n v="365239"/>
    <x v="0"/>
    <n v="9.5894522248028535E-3"/>
  </r>
  <r>
    <n v="8380316"/>
    <x v="2"/>
    <n v="27691424"/>
    <s v="Tarjeta"/>
    <n v="38196877"/>
    <n v="109299"/>
    <n v="73266"/>
    <n v="30"/>
    <d v="2016-05-19T00:00:00"/>
    <s v="Empresa C"/>
    <n v="3"/>
    <n v="0"/>
    <n v="3"/>
    <n v="1"/>
    <n v="73266"/>
    <x v="2"/>
    <n v="0.67032635248263939"/>
  </r>
  <r>
    <n v="8380574"/>
    <x v="2"/>
    <n v="25284380"/>
    <s v="Tarjeta"/>
    <n v="8320012"/>
    <n v="3097216"/>
    <n v="3097216"/>
    <n v="120"/>
    <d v="2016-04-27T00:00:00"/>
    <s v="Empresa B"/>
    <n v="3"/>
    <n v="1"/>
    <n v="2"/>
    <n v="2"/>
    <n v="3097216"/>
    <x v="2"/>
    <n v="1"/>
  </r>
  <r>
    <n v="8380574"/>
    <x v="2"/>
    <n v="26028156"/>
    <s v="Rotativo"/>
    <n v="8320012"/>
    <n v="481489"/>
    <n v="481489"/>
    <n v="85"/>
    <d v="2016-05-13T00:00:00"/>
    <s v="Empresa B"/>
    <n v="3"/>
    <n v="1"/>
    <n v="2"/>
    <n v="0"/>
    <n v="0"/>
    <x v="0"/>
    <n v="0"/>
  </r>
  <r>
    <n v="8380574"/>
    <x v="2"/>
    <n v="26216119"/>
    <s v="Rotativo"/>
    <n v="8320012"/>
    <n v="1347485"/>
    <n v="1347485"/>
    <n v="206"/>
    <d v="2016-03-15T00:00:00"/>
    <s v="Empresa B"/>
    <n v="3"/>
    <n v="1"/>
    <n v="2"/>
    <n v="0"/>
    <n v="1347485"/>
    <x v="2"/>
    <n v="1"/>
  </r>
  <r>
    <n v="8380574"/>
    <x v="2"/>
    <n v="26787345"/>
    <s v="Rotativo"/>
    <n v="8320012"/>
    <n v="1622948"/>
    <n v="382841"/>
    <n v="176"/>
    <d v="2016-04-14T00:00:00"/>
    <s v="Empresa B"/>
    <n v="3"/>
    <n v="1"/>
    <n v="2"/>
    <n v="1"/>
    <n v="127614"/>
    <x v="3"/>
    <n v="7.8630985096256933E-2"/>
  </r>
  <r>
    <n v="8380574"/>
    <x v="2"/>
    <n v="26880957"/>
    <s v="Rotativo"/>
    <n v="8320012"/>
    <n v="1770875"/>
    <n v="403509"/>
    <n v="176"/>
    <d v="2016-04-14T00:00:00"/>
    <s v="Empresa B"/>
    <n v="3"/>
    <n v="0"/>
    <n v="3"/>
    <n v="1"/>
    <n v="0"/>
    <x v="0"/>
    <n v="0"/>
  </r>
  <r>
    <n v="8380657"/>
    <x v="0"/>
    <n v="20821058"/>
    <s v="Tarjeta"/>
    <n v="286792"/>
    <n v="286792"/>
    <n v="60251"/>
    <n v="30"/>
    <d v="2016-05-31T00:00:00"/>
    <s v="Empresa A"/>
    <n v="3"/>
    <n v="1"/>
    <n v="2"/>
    <n v="2"/>
    <n v="286792"/>
    <x v="2"/>
    <n v="1"/>
  </r>
  <r>
    <n v="8380807"/>
    <x v="1"/>
    <n v="2687964"/>
    <s v="Sobregiro"/>
    <n v="5808245"/>
    <n v="3972349"/>
    <n v="3972349"/>
    <n v="20"/>
    <d v="2016-05-16T00:00:00"/>
    <s v="Empresa B"/>
    <n v="3"/>
    <n v="1"/>
    <n v="2"/>
    <n v="0"/>
    <n v="0"/>
    <x v="0"/>
    <n v="0"/>
  </r>
  <r>
    <n v="8380807"/>
    <x v="1"/>
    <n v="26376544"/>
    <s v="Tarjeta"/>
    <n v="5808245"/>
    <n v="1147257"/>
    <n v="158760"/>
    <n v="30"/>
    <d v="2016-05-29T00:00:00"/>
    <s v="Empresa B"/>
    <n v="3"/>
    <n v="1"/>
    <n v="2"/>
    <n v="0"/>
    <n v="158760"/>
    <x v="2"/>
    <n v="0.13838224565202042"/>
  </r>
  <r>
    <n v="8381332"/>
    <x v="0"/>
    <n v="20591909"/>
    <s v="Tarjeta"/>
    <n v="561287"/>
    <n v="551266"/>
    <n v="55623"/>
    <n v="30"/>
    <d v="2016-05-31T00:00:00"/>
    <s v="Empresa A"/>
    <n v="3"/>
    <n v="2"/>
    <n v="1"/>
    <n v="1"/>
    <n v="18541"/>
    <x v="3"/>
    <n v="3.3633490910014406E-2"/>
  </r>
  <r>
    <n v="8381336"/>
    <x v="0"/>
    <n v="25292675"/>
    <s v="Tarjeta"/>
    <n v="1750367"/>
    <n v="1750367"/>
    <n v="232755"/>
    <n v="30"/>
    <d v="2016-04-20T00:00:00"/>
    <s v="Empresa C"/>
    <n v="3"/>
    <n v="1"/>
    <n v="2"/>
    <n v="0"/>
    <n v="116378"/>
    <x v="1"/>
    <n v="6.6487770850341674E-2"/>
  </r>
  <r>
    <n v="8381346"/>
    <x v="1"/>
    <n v="26705594"/>
    <s v="Tarjeta"/>
    <n v="11123599"/>
    <n v="5449901"/>
    <n v="5449901"/>
    <n v="180"/>
    <d v="2016-04-16T00:00:00"/>
    <s v="Empresa B"/>
    <n v="3"/>
    <n v="0"/>
    <n v="3"/>
    <n v="2"/>
    <n v="5449901"/>
    <x v="2"/>
    <n v="1"/>
  </r>
  <r>
    <n v="8381346"/>
    <x v="1"/>
    <n v="26706135"/>
    <s v="Tarjeta"/>
    <n v="11123599"/>
    <n v="5673698"/>
    <n v="5673698"/>
    <n v="180"/>
    <d v="2016-04-16T00:00:00"/>
    <s v="Empresa B"/>
    <n v="3"/>
    <n v="1"/>
    <n v="2"/>
    <n v="1"/>
    <n v="0"/>
    <x v="0"/>
    <n v="0"/>
  </r>
  <r>
    <n v="8381369"/>
    <x v="2"/>
    <n v="18458736"/>
    <s v="Tarjeta"/>
    <n v="161963223"/>
    <n v="2061130"/>
    <n v="627615"/>
    <n v="30"/>
    <d v="2016-06-08T00:00:00"/>
    <s v="Empresa B"/>
    <n v="3"/>
    <n v="1"/>
    <n v="2"/>
    <n v="0"/>
    <n v="313807"/>
    <x v="1"/>
    <n v="0.15224997938024287"/>
  </r>
  <r>
    <n v="8381369"/>
    <x v="2"/>
    <n v="18847819"/>
    <s v="Hipotercario"/>
    <n v="161963223"/>
    <n v="80367065"/>
    <n v="1373436"/>
    <n v="7"/>
    <d v="2016-06-08T00:00:00"/>
    <s v="Empresa B"/>
    <n v="3"/>
    <n v="1"/>
    <n v="2"/>
    <n v="1"/>
    <n v="0"/>
    <x v="0"/>
    <n v="0"/>
  </r>
  <r>
    <n v="8381369"/>
    <x v="2"/>
    <n v="25138580"/>
    <s v="Consumo"/>
    <n v="161963223"/>
    <n v="60635361"/>
    <n v="2926509"/>
    <n v="22"/>
    <d v="2016-06-08T00:00:00"/>
    <s v="Empresa B"/>
    <n v="3"/>
    <n v="1"/>
    <n v="2"/>
    <n v="0"/>
    <n v="0"/>
    <x v="0"/>
    <n v="0"/>
  </r>
  <r>
    <n v="8381369"/>
    <x v="2"/>
    <n v="25452876"/>
    <s v="Rotativo"/>
    <n v="161963223"/>
    <n v="5617925"/>
    <n v="326789"/>
    <n v="24"/>
    <d v="2016-06-08T00:00:00"/>
    <s v="Empresa B"/>
    <n v="3"/>
    <n v="0"/>
    <n v="3"/>
    <n v="2"/>
    <n v="0"/>
    <x v="0"/>
    <n v="0"/>
  </r>
  <r>
    <n v="8381369"/>
    <x v="2"/>
    <n v="25783645"/>
    <s v="Rotativo"/>
    <n v="161963223"/>
    <n v="2291831"/>
    <n v="220361"/>
    <n v="24"/>
    <d v="2016-06-08T00:00:00"/>
    <s v="Empresa B"/>
    <n v="3"/>
    <n v="1"/>
    <n v="2"/>
    <n v="1"/>
    <n v="73454"/>
    <x v="0"/>
    <n v="3.2050356243545006E-2"/>
  </r>
  <r>
    <n v="8381369"/>
    <x v="2"/>
    <n v="26266777"/>
    <s v="Rotativo"/>
    <n v="161963223"/>
    <n v="175599"/>
    <n v="81748"/>
    <n v="24"/>
    <d v="2016-06-08T00:00:00"/>
    <s v="Empresa B"/>
    <n v="3"/>
    <n v="1"/>
    <n v="2"/>
    <n v="0"/>
    <n v="81748"/>
    <x v="2"/>
    <n v="0.46553795864441139"/>
  </r>
  <r>
    <n v="8381475"/>
    <x v="2"/>
    <n v="14190251"/>
    <s v="Tarjeta"/>
    <n v="8312220"/>
    <n v="2922025"/>
    <n v="979656"/>
    <n v="60"/>
    <d v="2016-06-03T00:00:00"/>
    <s v="Empresa C"/>
    <n v="3"/>
    <n v="1"/>
    <n v="2"/>
    <n v="1"/>
    <n v="2922025"/>
    <x v="2"/>
    <n v="1"/>
  </r>
  <r>
    <n v="8381475"/>
    <x v="2"/>
    <n v="16298674"/>
    <s v="Tarjeta"/>
    <n v="8312220"/>
    <n v="1234875"/>
    <n v="420222"/>
    <n v="60"/>
    <d v="2016-04-30T00:00:00"/>
    <s v="Empresa C"/>
    <n v="3"/>
    <n v="1"/>
    <n v="2"/>
    <n v="0"/>
    <n v="210112"/>
    <x v="1"/>
    <n v="0.17014839558659783"/>
  </r>
  <r>
    <n v="8381475"/>
    <x v="2"/>
    <n v="16300086"/>
    <s v="Tarjeta"/>
    <n v="8312220"/>
    <n v="1233294"/>
    <n v="420107"/>
    <n v="60"/>
    <d v="2016-04-30T00:00:00"/>
    <s v="Empresa C"/>
    <n v="3"/>
    <n v="0"/>
    <n v="3"/>
    <n v="2"/>
    <n v="420107"/>
    <x v="2"/>
    <n v="0.34063816089269872"/>
  </r>
  <r>
    <n v="8381475"/>
    <x v="2"/>
    <n v="28582935"/>
    <s v="Tarjeta"/>
    <n v="8312220"/>
    <n v="2922025"/>
    <n v="979656"/>
    <n v="60"/>
    <d v="2016-06-02T00:00:00"/>
    <s v="Empresa C"/>
    <n v="3"/>
    <n v="1"/>
    <n v="2"/>
    <n v="1"/>
    <n v="489829"/>
    <x v="1"/>
    <n v="0.16763340491611126"/>
  </r>
  <r>
    <n v="8381515"/>
    <x v="0"/>
    <n v="14729284"/>
    <s v="Tarjeta"/>
    <n v="456719"/>
    <n v="86829"/>
    <n v="70819"/>
    <n v="90"/>
    <d v="2016-05-18T00:00:00"/>
    <s v="Empresa C"/>
    <n v="3"/>
    <n v="1"/>
    <n v="2"/>
    <n v="0"/>
    <n v="70819"/>
    <x v="2"/>
    <n v="0.81561459880915366"/>
  </r>
  <r>
    <n v="8381515"/>
    <x v="0"/>
    <n v="14731171"/>
    <s v="Tarjeta"/>
    <n v="456719"/>
    <n v="369890"/>
    <n v="145289"/>
    <n v="90"/>
    <d v="2016-05-18T00:00:00"/>
    <s v="Empresa C"/>
    <n v="3"/>
    <n v="1"/>
    <n v="2"/>
    <n v="1"/>
    <n v="0"/>
    <x v="0"/>
    <n v="0"/>
  </r>
  <r>
    <n v="8381524"/>
    <x v="0"/>
    <n v="19335684"/>
    <s v="Tarjeta"/>
    <n v="3546147"/>
    <n v="2909819"/>
    <n v="395045"/>
    <n v="30"/>
    <d v="2016-05-18T00:00:00"/>
    <s v="Empresa C"/>
    <n v="3"/>
    <n v="2"/>
    <n v="1"/>
    <n v="0"/>
    <n v="0"/>
    <x v="0"/>
    <n v="0"/>
  </r>
  <r>
    <n v="8381568"/>
    <x v="2"/>
    <n v="16242367"/>
    <s v="Tarjeta"/>
    <n v="49511140"/>
    <n v="8178378"/>
    <n v="965132"/>
    <n v="30"/>
    <d v="2016-05-18T00:00:00"/>
    <s v="Empresa C"/>
    <n v="3"/>
    <n v="1"/>
    <n v="2"/>
    <n v="1"/>
    <n v="965132"/>
    <x v="2"/>
    <n v="0.11801019713199855"/>
  </r>
  <r>
    <n v="8381568"/>
    <x v="2"/>
    <n v="23075902"/>
    <s v="Hipotercario"/>
    <n v="49511140"/>
    <n v="34114965"/>
    <n v="1506246"/>
    <n v="41"/>
    <d v="2016-04-29T00:00:00"/>
    <s v="Empresa C"/>
    <n v="3"/>
    <n v="0"/>
    <n v="3"/>
    <n v="1"/>
    <n v="0"/>
    <x v="0"/>
    <n v="0"/>
  </r>
  <r>
    <n v="8381568"/>
    <x v="2"/>
    <n v="24024759"/>
    <s v="Tarjeta"/>
    <n v="49511140"/>
    <n v="7217797"/>
    <n v="1071313"/>
    <n v="60"/>
    <d v="2016-04-29T00:00:00"/>
    <s v="Empresa C"/>
    <n v="3"/>
    <n v="1"/>
    <n v="2"/>
    <n v="1"/>
    <n v="1071313"/>
    <x v="2"/>
    <n v="0.14842659055110582"/>
  </r>
  <r>
    <n v="8381582"/>
    <x v="0"/>
    <n v="1600919"/>
    <s v="Tarjeta"/>
    <n v="2147931"/>
    <n v="2147931"/>
    <n v="2142512"/>
    <n v="150"/>
    <d v="2016-05-19T00:00:00"/>
    <s v="Empresa B"/>
    <n v="3"/>
    <n v="1"/>
    <n v="2"/>
    <n v="1"/>
    <n v="2147931"/>
    <x v="2"/>
    <n v="1"/>
  </r>
  <r>
    <n v="8382938"/>
    <x v="0"/>
    <n v="25819135"/>
    <s v="Tarjeta"/>
    <n v="977120"/>
    <n v="977120"/>
    <n v="231797"/>
    <n v="30"/>
    <d v="2016-05-19T00:00:00"/>
    <s v="Empresa C"/>
    <n v="3"/>
    <n v="1"/>
    <n v="2"/>
    <n v="0"/>
    <n v="115899"/>
    <x v="1"/>
    <n v="0.11861286228917635"/>
  </r>
  <r>
    <n v="8383104"/>
    <x v="0"/>
    <n v="26888580"/>
    <s v="Tarjeta"/>
    <n v="4568855"/>
    <n v="4568855"/>
    <n v="279404"/>
    <n v="30"/>
    <d v="2016-06-01T00:00:00"/>
    <s v="Empresa C"/>
    <n v="3"/>
    <n v="1"/>
    <n v="2"/>
    <n v="1"/>
    <n v="0"/>
    <x v="0"/>
    <n v="0"/>
  </r>
  <r>
    <n v="8383131"/>
    <x v="0"/>
    <n v="28586777"/>
    <s v="Tarjeta"/>
    <n v="532674"/>
    <n v="532674"/>
    <n v="215655"/>
    <n v="60"/>
    <d v="2016-06-03T00:00:00"/>
    <s v="Empresa C"/>
    <n v="3"/>
    <n v="0"/>
    <n v="3"/>
    <n v="1"/>
    <n v="107828"/>
    <x v="1"/>
    <n v="0.20242775130755397"/>
  </r>
  <r>
    <n v="8383281"/>
    <x v="0"/>
    <n v="27039709"/>
    <s v="Tarjeta"/>
    <n v="748559"/>
    <n v="748559"/>
    <n v="88723"/>
    <n v="30"/>
    <d v="2016-05-31T00:00:00"/>
    <s v="Empresa A"/>
    <n v="3"/>
    <n v="1"/>
    <n v="2"/>
    <n v="1"/>
    <n v="0"/>
    <x v="0"/>
    <n v="0"/>
  </r>
  <r>
    <n v="8383527"/>
    <x v="1"/>
    <n v="25219269"/>
    <s v="Tarjeta"/>
    <n v="7088330"/>
    <n v="2905361"/>
    <n v="2905361"/>
    <n v="120"/>
    <d v="2016-05-05T00:00:00"/>
    <s v="Empresa B"/>
    <n v="3"/>
    <n v="1"/>
    <n v="2"/>
    <n v="1"/>
    <n v="2905361"/>
    <x v="2"/>
    <n v="1"/>
  </r>
  <r>
    <n v="8383527"/>
    <x v="1"/>
    <n v="25848524"/>
    <s v="Consumo"/>
    <n v="7088330"/>
    <n v="4182969"/>
    <n v="978372"/>
    <n v="125"/>
    <d v="2016-06-07T00:00:00"/>
    <s v="Empresa B"/>
    <n v="3"/>
    <n v="1"/>
    <n v="2"/>
    <n v="0"/>
    <n v="0"/>
    <x v="0"/>
    <n v="0"/>
  </r>
  <r>
    <n v="8383627"/>
    <x v="0"/>
    <n v="23902937"/>
    <s v="Tarjeta"/>
    <n v="222142"/>
    <n v="222142"/>
    <n v="222142"/>
    <n v="150"/>
    <d v="2016-05-28T00:00:00"/>
    <s v="Empresa B"/>
    <n v="3"/>
    <n v="1"/>
    <n v="2"/>
    <n v="1"/>
    <n v="0"/>
    <x v="0"/>
    <n v="0"/>
  </r>
  <r>
    <n v="8383673"/>
    <x v="0"/>
    <n v="28556606"/>
    <s v="Tarjeta"/>
    <n v="264578"/>
    <n v="264578"/>
    <n v="32415"/>
    <n v="30"/>
    <d v="2016-06-03T00:00:00"/>
    <s v="Empresa C"/>
    <n v="3"/>
    <n v="0"/>
    <n v="3"/>
    <n v="1"/>
    <n v="0"/>
    <x v="0"/>
    <n v="0"/>
  </r>
  <r>
    <n v="8383674"/>
    <x v="0"/>
    <n v="12272527"/>
    <s v="Tarjeta"/>
    <n v="941329"/>
    <n v="941329"/>
    <n v="111049"/>
    <n v="30"/>
    <d v="2016-05-31T00:00:00"/>
    <s v="Empresa A"/>
    <n v="3"/>
    <n v="1"/>
    <n v="2"/>
    <n v="1"/>
    <n v="0"/>
    <x v="0"/>
    <n v="0"/>
  </r>
  <r>
    <n v="8383790"/>
    <x v="1"/>
    <n v="20615340"/>
    <s v="Tarjeta"/>
    <n v="7397208"/>
    <n v="3541274"/>
    <n v="80090"/>
    <n v="30"/>
    <d v="2016-05-18T00:00:00"/>
    <s v="Empresa C"/>
    <n v="3"/>
    <n v="1"/>
    <n v="2"/>
    <n v="1"/>
    <n v="40045"/>
    <x v="1"/>
    <n v="1.1308077262589679E-2"/>
  </r>
  <r>
    <n v="8383790"/>
    <x v="1"/>
    <n v="23064001"/>
    <s v="Tarjeta"/>
    <n v="7397208"/>
    <n v="3855934"/>
    <n v="347328"/>
    <n v="30"/>
    <d v="2016-05-19T00:00:00"/>
    <s v="Empresa C"/>
    <n v="3"/>
    <n v="1"/>
    <n v="2"/>
    <n v="0"/>
    <n v="0"/>
    <x v="0"/>
    <n v="0"/>
  </r>
  <r>
    <n v="8386841"/>
    <x v="1"/>
    <n v="27903220"/>
    <s v="Tarjeta"/>
    <n v="5418666"/>
    <n v="832659"/>
    <n v="100232"/>
    <n v="30"/>
    <d v="2016-05-31T00:00:00"/>
    <s v="Empresa A"/>
    <n v="3"/>
    <n v="2"/>
    <n v="1"/>
    <n v="1"/>
    <n v="0"/>
    <x v="0"/>
    <n v="0"/>
  </r>
  <r>
    <n v="8386894"/>
    <x v="1"/>
    <n v="28557300"/>
    <s v="Tarjeta"/>
    <n v="22275398"/>
    <n v="963800"/>
    <n v="48204"/>
    <n v="30"/>
    <d v="2016-06-03T00:00:00"/>
    <s v="Empresa C"/>
    <n v="3"/>
    <n v="1"/>
    <n v="2"/>
    <n v="0"/>
    <n v="0"/>
    <x v="0"/>
    <n v="0"/>
  </r>
  <r>
    <n v="8430809"/>
    <x v="0"/>
    <n v="28586844"/>
    <s v="Tarjeta"/>
    <n v="1050056"/>
    <n v="1050056"/>
    <n v="120140"/>
    <n v="30"/>
    <d v="2016-06-03T00:00:00"/>
    <s v="Empresa C"/>
    <n v="3"/>
    <n v="0"/>
    <n v="3"/>
    <n v="1"/>
    <n v="0"/>
    <x v="0"/>
    <n v="0"/>
  </r>
  <r>
    <n v="8430812"/>
    <x v="0"/>
    <n v="28586366"/>
    <s v="Tarjeta"/>
    <n v="1448105"/>
    <n v="1448105"/>
    <n v="133457"/>
    <n v="30"/>
    <d v="2016-06-03T00:00:00"/>
    <s v="Empresa C"/>
    <n v="3"/>
    <n v="1"/>
    <n v="2"/>
    <n v="2"/>
    <n v="44485"/>
    <x v="3"/>
    <n v="3.071945749790243E-2"/>
  </r>
  <r>
    <n v="8440122"/>
    <x v="0"/>
    <n v="22624325"/>
    <s v="Tarjeta"/>
    <n v="2631239"/>
    <n v="2631239"/>
    <n v="354488"/>
    <n v="30"/>
    <d v="2016-05-18T00:00:00"/>
    <s v="Empresa C"/>
    <n v="3"/>
    <n v="1"/>
    <n v="2"/>
    <n v="0"/>
    <n v="0"/>
    <x v="0"/>
    <n v="0"/>
  </r>
  <r>
    <n v="8443989"/>
    <x v="0"/>
    <n v="28249575"/>
    <s v="Tarjeta"/>
    <n v="3380142"/>
    <n v="3380142"/>
    <n v="82017"/>
    <n v="30"/>
    <d v="2016-05-31T00:00:00"/>
    <s v="Empresa A"/>
    <n v="3"/>
    <n v="1"/>
    <n v="2"/>
    <n v="1"/>
    <n v="41008"/>
    <x v="1"/>
    <n v="1.2132034689666884E-2"/>
  </r>
  <r>
    <n v="8444004"/>
    <x v="0"/>
    <n v="2718004"/>
    <s v="Tarjeta"/>
    <n v="351957"/>
    <n v="351957"/>
    <n v="351957"/>
    <n v="360"/>
    <d v="2016-06-03T00:00:00"/>
    <s v="Empresa B"/>
    <n v="3"/>
    <n v="1"/>
    <n v="2"/>
    <n v="0"/>
    <n v="351957"/>
    <x v="2"/>
    <n v="1"/>
  </r>
  <r>
    <n v="8457400"/>
    <x v="1"/>
    <n v="21487456"/>
    <s v="Tarjeta"/>
    <n v="3024756"/>
    <n v="983836"/>
    <n v="353415"/>
    <n v="60"/>
    <d v="2016-05-29T00:00:00"/>
    <s v="Empresa C"/>
    <n v="3"/>
    <n v="0"/>
    <n v="3"/>
    <n v="1"/>
    <n v="117805"/>
    <x v="3"/>
    <n v="0.11974048520281835"/>
  </r>
  <r>
    <n v="8457400"/>
    <x v="1"/>
    <n v="26021997"/>
    <s v="Tarjeta"/>
    <n v="3024756"/>
    <n v="1039779"/>
    <n v="222897"/>
    <n v="90"/>
    <d v="2016-05-29T00:00:00"/>
    <s v="Empresa C"/>
    <n v="3"/>
    <n v="1"/>
    <n v="2"/>
    <n v="2"/>
    <n v="0"/>
    <x v="0"/>
    <n v="0"/>
  </r>
  <r>
    <n v="8457400"/>
    <x v="1"/>
    <n v="26021998"/>
    <s v="Tarjeta"/>
    <n v="3024756"/>
    <n v="363156"/>
    <n v="363156"/>
    <n v="60"/>
    <d v="2016-05-29T00:00:00"/>
    <s v="Empresa C"/>
    <n v="3"/>
    <n v="1"/>
    <n v="2"/>
    <n v="0"/>
    <n v="0"/>
    <x v="0"/>
    <n v="0"/>
  </r>
  <r>
    <n v="8457400"/>
    <x v="1"/>
    <n v="26023265"/>
    <s v="Tarjeta"/>
    <n v="3024756"/>
    <n v="637985"/>
    <n v="188847"/>
    <n v="60"/>
    <d v="2016-05-29T00:00:00"/>
    <s v="Empresa C"/>
    <n v="3"/>
    <n v="1"/>
    <n v="2"/>
    <n v="1"/>
    <n v="188847"/>
    <x v="2"/>
    <n v="0.29600539197630038"/>
  </r>
  <r>
    <n v="8465959"/>
    <x v="0"/>
    <n v="14265420"/>
    <s v="Tarjeta"/>
    <n v="1784547"/>
    <n v="1036374"/>
    <n v="1036374"/>
    <n v="180"/>
    <d v="2016-04-27T00:00:00"/>
    <s v="Empresa B"/>
    <n v="3"/>
    <n v="1"/>
    <n v="2"/>
    <n v="0"/>
    <n v="518187"/>
    <x v="1"/>
    <n v="0.5"/>
  </r>
  <r>
    <n v="8465959"/>
    <x v="0"/>
    <n v="21268933"/>
    <s v="Tarjeta"/>
    <n v="1784547"/>
    <n v="748173"/>
    <n v="748173"/>
    <n v="180"/>
    <d v="2016-04-20T00:00:00"/>
    <s v="Empresa B"/>
    <n v="3"/>
    <n v="0"/>
    <n v="3"/>
    <n v="1"/>
    <n v="0"/>
    <x v="0"/>
    <n v="0"/>
  </r>
  <r>
    <n v="8465980"/>
    <x v="0"/>
    <n v="23671050"/>
    <s v="Tarjeta"/>
    <n v="511783"/>
    <n v="511783"/>
    <n v="20853"/>
    <n v="30"/>
    <d v="2016-05-19T00:00:00"/>
    <s v="Empresa C"/>
    <n v="3"/>
    <n v="1"/>
    <n v="2"/>
    <n v="2"/>
    <n v="0"/>
    <x v="0"/>
    <n v="0"/>
  </r>
  <r>
    <n v="8466023"/>
    <x v="2"/>
    <n v="23657184"/>
    <s v="Tarjeta"/>
    <n v="56865105"/>
    <n v="3892606"/>
    <n v="1070755"/>
    <n v="60"/>
    <d v="2016-05-01T00:00:00"/>
    <s v="Empresa C"/>
    <n v="3"/>
    <n v="1"/>
    <n v="2"/>
    <n v="0"/>
    <n v="1070755"/>
    <x v="2"/>
    <n v="0.27507407633857628"/>
  </r>
  <r>
    <n v="8466023"/>
    <x v="2"/>
    <n v="23657673"/>
    <s v="Tarjeta"/>
    <n v="56865105"/>
    <n v="5631857"/>
    <n v="683391"/>
    <n v="30"/>
    <d v="2016-05-29T00:00:00"/>
    <s v="Empresa C"/>
    <n v="3"/>
    <n v="1"/>
    <n v="2"/>
    <n v="1"/>
    <n v="5631857"/>
    <x v="2"/>
    <n v="1"/>
  </r>
  <r>
    <n v="8466043"/>
    <x v="2"/>
    <n v="20875844"/>
    <s v="Tarjeta"/>
    <n v="34800364"/>
    <n v="7460561"/>
    <n v="1402719"/>
    <n v="60"/>
    <d v="2016-04-27T00:00:00"/>
    <s v="Empresa B"/>
    <n v="3"/>
    <n v="2"/>
    <n v="1"/>
    <n v="0"/>
    <n v="0"/>
    <x v="0"/>
    <n v="0"/>
  </r>
  <r>
    <n v="8466043"/>
    <x v="2"/>
    <n v="22082240"/>
    <s v="Consumo"/>
    <n v="34800364"/>
    <n v="1073181"/>
    <n v="735738"/>
    <n v="49"/>
    <d v="2016-04-21T00:00:00"/>
    <s v="Empresa B"/>
    <n v="3"/>
    <n v="1"/>
    <n v="2"/>
    <n v="0"/>
    <n v="735738"/>
    <x v="2"/>
    <n v="0.68556748582019245"/>
  </r>
  <r>
    <n v="8466043"/>
    <x v="2"/>
    <n v="23974043"/>
    <s v="Hipotercario"/>
    <n v="34800364"/>
    <n v="22780308"/>
    <n v="531059"/>
    <n v="39"/>
    <d v="2016-05-03T00:00:00"/>
    <s v="Empresa B"/>
    <n v="3"/>
    <n v="0"/>
    <n v="3"/>
    <n v="2"/>
    <n v="0"/>
    <x v="0"/>
    <n v="0"/>
  </r>
  <r>
    <n v="8466043"/>
    <x v="2"/>
    <n v="24033068"/>
    <s v="Tarjeta"/>
    <n v="34800364"/>
    <n v="3486314"/>
    <n v="942953"/>
    <n v="60"/>
    <d v="2016-04-21T00:00:00"/>
    <s v="Empresa B"/>
    <n v="3"/>
    <n v="1"/>
    <n v="2"/>
    <n v="1"/>
    <n v="0"/>
    <x v="0"/>
    <n v="0"/>
  </r>
  <r>
    <n v="8466082"/>
    <x v="0"/>
    <n v="21029378"/>
    <s v="Tarjeta"/>
    <n v="4810187"/>
    <n v="4810187"/>
    <n v="552834"/>
    <n v="30"/>
    <d v="2016-06-01T00:00:00"/>
    <s v="Empresa C"/>
    <n v="3"/>
    <n v="1"/>
    <n v="2"/>
    <n v="1"/>
    <n v="552834"/>
    <x v="2"/>
    <n v="0.11492983536814681"/>
  </r>
  <r>
    <n v="8470835"/>
    <x v="1"/>
    <n v="27193657"/>
    <s v="Tarjeta"/>
    <n v="9229299"/>
    <n v="1882642"/>
    <n v="8263"/>
    <n v="30"/>
    <d v="2016-05-31T00:00:00"/>
    <s v="Empresa A"/>
    <n v="3"/>
    <n v="1"/>
    <n v="2"/>
    <n v="0"/>
    <n v="8263"/>
    <x v="2"/>
    <n v="4.389044757314455E-3"/>
  </r>
  <r>
    <n v="8470894"/>
    <x v="0"/>
    <n v="24320598"/>
    <s v="Tarjeta"/>
    <n v="692874"/>
    <n v="692874"/>
    <n v="47142"/>
    <n v="30"/>
    <d v="2016-06-01T00:00:00"/>
    <s v="Empresa C"/>
    <n v="3"/>
    <n v="1"/>
    <n v="2"/>
    <n v="0"/>
    <n v="23571"/>
    <x v="1"/>
    <n v="3.4019172317044655E-2"/>
  </r>
  <r>
    <n v="8471172"/>
    <x v="0"/>
    <n v="18354113"/>
    <s v="Tarjeta"/>
    <n v="2568031"/>
    <n v="2568031"/>
    <n v="381462"/>
    <n v="30"/>
    <d v="2016-05-18T00:00:00"/>
    <s v="Empresa C"/>
    <n v="3"/>
    <n v="0"/>
    <n v="3"/>
    <n v="2"/>
    <n v="0"/>
    <x v="0"/>
    <n v="0"/>
  </r>
  <r>
    <n v="8471455"/>
    <x v="0"/>
    <n v="22923812"/>
    <s v="Tarjeta"/>
    <n v="1190685"/>
    <n v="1190685"/>
    <n v="11709"/>
    <n v="30"/>
    <d v="2016-05-18T00:00:00"/>
    <s v="Empresa C"/>
    <n v="3"/>
    <n v="1"/>
    <n v="2"/>
    <n v="1"/>
    <n v="11709"/>
    <x v="2"/>
    <n v="9.8338351453155122E-3"/>
  </r>
  <r>
    <n v="8483919"/>
    <x v="0"/>
    <n v="26346244"/>
    <s v="Tarjeta"/>
    <n v="1973660"/>
    <n v="1973660"/>
    <n v="570066"/>
    <n v="90"/>
    <d v="2016-06-01T00:00:00"/>
    <s v="Empresa C"/>
    <n v="3"/>
    <n v="1"/>
    <n v="2"/>
    <n v="1"/>
    <n v="0"/>
    <x v="0"/>
    <n v="0"/>
  </r>
  <r>
    <n v="8484108"/>
    <x v="2"/>
    <n v="24010205"/>
    <s v="Tarjeta"/>
    <n v="39412450"/>
    <n v="272199"/>
    <n v="25647"/>
    <n v="30"/>
    <d v="2016-05-19T00:00:00"/>
    <s v="Empresa C"/>
    <n v="3"/>
    <n v="1"/>
    <n v="2"/>
    <n v="0"/>
    <n v="0"/>
    <x v="0"/>
    <n v="0"/>
  </r>
  <r>
    <n v="8485525"/>
    <x v="2"/>
    <n v="1469200"/>
    <s v="Tarjeta"/>
    <n v="55379005"/>
    <n v="4295473"/>
    <n v="1799747"/>
    <n v="90"/>
    <d v="2016-04-21T00:00:00"/>
    <s v="Empresa B"/>
    <n v="3"/>
    <n v="1"/>
    <n v="2"/>
    <n v="0"/>
    <n v="0"/>
    <x v="0"/>
    <n v="0"/>
  </r>
  <r>
    <n v="8485525"/>
    <x v="2"/>
    <n v="2407079"/>
    <s v="Sobregiro"/>
    <n v="55379005"/>
    <n v="4764971"/>
    <n v="4764971"/>
    <n v="106"/>
    <d v="2016-03-11T00:00:00"/>
    <s v="Empresa B"/>
    <n v="3"/>
    <n v="0"/>
    <n v="3"/>
    <n v="2"/>
    <n v="4764971"/>
    <x v="2"/>
    <n v="1"/>
  </r>
  <r>
    <n v="8485525"/>
    <x v="2"/>
    <n v="23930618"/>
    <s v="Rotativo"/>
    <n v="55379005"/>
    <n v="309975"/>
    <n v="301642"/>
    <n v="85"/>
    <d v="2016-03-16T00:00:00"/>
    <s v="Empresa B"/>
    <n v="3"/>
    <n v="1"/>
    <n v="2"/>
    <n v="1"/>
    <n v="0"/>
    <x v="0"/>
    <n v="0"/>
  </r>
  <r>
    <n v="8485525"/>
    <x v="2"/>
    <n v="24887918"/>
    <s v="Rotativo"/>
    <n v="55379005"/>
    <n v="1171792"/>
    <n v="508178"/>
    <n v="85"/>
    <d v="2016-03-16T00:00:00"/>
    <s v="Empresa B"/>
    <n v="3"/>
    <n v="1"/>
    <n v="2"/>
    <n v="1"/>
    <n v="0"/>
    <x v="0"/>
    <n v="0"/>
  </r>
  <r>
    <n v="8485525"/>
    <x v="2"/>
    <n v="24947872"/>
    <s v="Consumo"/>
    <n v="55379005"/>
    <n v="20529757"/>
    <n v="6531104"/>
    <n v="89"/>
    <d v="2016-04-21T00:00:00"/>
    <s v="Empresa B"/>
    <n v="3"/>
    <n v="1"/>
    <n v="2"/>
    <n v="0"/>
    <n v="6531104"/>
    <x v="2"/>
    <n v="0.31812865588228834"/>
  </r>
  <r>
    <n v="8485525"/>
    <x v="2"/>
    <n v="26183633"/>
    <s v="Rotativo"/>
    <n v="55379005"/>
    <n v="1519333"/>
    <n v="1485139"/>
    <n v="85"/>
    <d v="2016-03-16T00:00:00"/>
    <s v="Empresa B"/>
    <n v="3"/>
    <n v="2"/>
    <n v="1"/>
    <n v="0"/>
    <n v="1485139"/>
    <x v="2"/>
    <n v="0.97749407141159972"/>
  </r>
  <r>
    <n v="8485525"/>
    <x v="2"/>
    <n v="26547564"/>
    <s v="Consumo"/>
    <n v="55379005"/>
    <n v="16927413"/>
    <n v="16927413"/>
    <n v="99"/>
    <d v="2016-04-21T00:00:00"/>
    <s v="Empresa B"/>
    <n v="3"/>
    <n v="1"/>
    <n v="2"/>
    <n v="1"/>
    <n v="8463706"/>
    <x v="1"/>
    <n v="0.49999997046211375"/>
  </r>
  <r>
    <n v="8485525"/>
    <x v="2"/>
    <n v="26839896"/>
    <s v="Rotativo"/>
    <n v="55379005"/>
    <n v="1160956"/>
    <n v="507449"/>
    <n v="85"/>
    <d v="2016-03-16T00:00:00"/>
    <s v="Empresa B"/>
    <n v="3"/>
    <n v="0"/>
    <n v="3"/>
    <n v="1"/>
    <n v="169150"/>
    <x v="0"/>
    <n v="0.14569888953586527"/>
  </r>
  <r>
    <n v="8485611"/>
    <x v="0"/>
    <n v="19639856"/>
    <s v="Tarjeta"/>
    <n v="4043712"/>
    <n v="4043712"/>
    <n v="1035111"/>
    <n v="30"/>
    <d v="2016-05-31T00:00:00"/>
    <s v="Empresa A"/>
    <n v="3"/>
    <n v="1"/>
    <n v="2"/>
    <n v="2"/>
    <n v="0"/>
    <x v="0"/>
    <n v="0"/>
  </r>
  <r>
    <n v="8486068"/>
    <x v="1"/>
    <n v="25445221"/>
    <s v="Tarjeta"/>
    <n v="11735405"/>
    <n v="9259029"/>
    <n v="901841"/>
    <n v="30"/>
    <d v="2016-05-19T00:00:00"/>
    <s v="Empresa C"/>
    <n v="3"/>
    <n v="1"/>
    <n v="2"/>
    <n v="0"/>
    <n v="300614"/>
    <x v="3"/>
    <n v="3.246711939232505E-2"/>
  </r>
  <r>
    <n v="8486068"/>
    <x v="1"/>
    <n v="27085828"/>
    <s v="Rotativo"/>
    <n v="11735405"/>
    <n v="2476375"/>
    <n v="426685"/>
    <n v="24"/>
    <d v="2016-05-19T00:00:00"/>
    <s v="Empresa C"/>
    <n v="3"/>
    <n v="1"/>
    <n v="2"/>
    <n v="0"/>
    <n v="426685"/>
    <x v="2"/>
    <n v="0.17230225632224522"/>
  </r>
  <r>
    <n v="8486233"/>
    <x v="0"/>
    <n v="26369161"/>
    <s v="Tarjeta"/>
    <n v="189965"/>
    <n v="189965"/>
    <n v="4810"/>
    <n v="30"/>
    <d v="2016-05-17T00:00:00"/>
    <s v="Empresa C"/>
    <n v="3"/>
    <n v="1"/>
    <n v="2"/>
    <n v="1"/>
    <n v="0"/>
    <x v="0"/>
    <n v="0"/>
  </r>
  <r>
    <n v="8486527"/>
    <x v="1"/>
    <n v="23843578"/>
    <s v="Tarjeta"/>
    <n v="2963085"/>
    <n v="18394"/>
    <n v="8743"/>
    <n v="30"/>
    <d v="2016-05-19T00:00:00"/>
    <s v="Empresa C"/>
    <n v="3"/>
    <n v="0"/>
    <n v="3"/>
    <n v="1"/>
    <n v="0"/>
    <x v="0"/>
    <n v="0"/>
  </r>
  <r>
    <n v="8486527"/>
    <x v="1"/>
    <n v="23868894"/>
    <s v="Consumo"/>
    <n v="2963085"/>
    <n v="2019392"/>
    <n v="206127"/>
    <n v="41"/>
    <d v="2016-04-29T00:00:00"/>
    <s v="Empresa C"/>
    <n v="3"/>
    <n v="1"/>
    <n v="2"/>
    <n v="2"/>
    <n v="68709"/>
    <x v="0"/>
    <n v="3.4024597502614648E-2"/>
  </r>
  <r>
    <n v="8486527"/>
    <x v="1"/>
    <n v="24371347"/>
    <s v="Tarjeta"/>
    <n v="2963085"/>
    <n v="925299"/>
    <n v="137873"/>
    <n v="60"/>
    <d v="2016-04-20T00:00:00"/>
    <s v="Empresa C"/>
    <n v="3"/>
    <n v="1"/>
    <n v="2"/>
    <n v="0"/>
    <n v="0"/>
    <x v="0"/>
    <n v="0"/>
  </r>
  <r>
    <n v="8486686"/>
    <x v="0"/>
    <n v="16157140"/>
    <s v="Tarjeta"/>
    <n v="1656324"/>
    <n v="1656324"/>
    <n v="148602"/>
    <n v="30"/>
    <d v="2016-05-31T00:00:00"/>
    <s v="Empresa A"/>
    <n v="3"/>
    <n v="1"/>
    <n v="2"/>
    <n v="0"/>
    <n v="0"/>
    <x v="0"/>
    <n v="0"/>
  </r>
  <r>
    <n v="8486807"/>
    <x v="0"/>
    <n v="27598664"/>
    <s v="Tarjeta"/>
    <n v="768869"/>
    <n v="282331"/>
    <n v="5109"/>
    <n v="30"/>
    <d v="2016-05-19T00:00:00"/>
    <s v="Empresa C"/>
    <n v="3"/>
    <n v="1"/>
    <n v="2"/>
    <n v="1"/>
    <n v="0"/>
    <x v="0"/>
    <n v="0"/>
  </r>
  <r>
    <n v="8487330"/>
    <x v="0"/>
    <n v="22547293"/>
    <s v="Tarjeta"/>
    <n v="1159662"/>
    <n v="1159662"/>
    <n v="213292"/>
    <n v="60"/>
    <d v="2016-05-01T00:00:00"/>
    <s v="Empresa C"/>
    <n v="3"/>
    <n v="0"/>
    <n v="3"/>
    <n v="1"/>
    <n v="1159662"/>
    <x v="2"/>
    <n v="1"/>
  </r>
  <r>
    <n v="8487332"/>
    <x v="2"/>
    <n v="4441692"/>
    <s v="Tarjeta"/>
    <n v="15967485"/>
    <n v="2050268"/>
    <n v="2058752"/>
    <n v="120"/>
    <d v="2016-05-29T00:00:00"/>
    <s v="Empresa B"/>
    <n v="3"/>
    <n v="1"/>
    <n v="2"/>
    <n v="2"/>
    <n v="1029376"/>
    <x v="1"/>
    <n v="0.50206899780906689"/>
  </r>
  <r>
    <n v="8487332"/>
    <x v="2"/>
    <n v="21577757"/>
    <s v="Libranza"/>
    <n v="15967485"/>
    <n v="13917217"/>
    <n v="695414"/>
    <n v="3"/>
    <d v="2016-06-08T00:00:00"/>
    <s v="Empresa B"/>
    <n v="3"/>
    <n v="1"/>
    <n v="2"/>
    <n v="0"/>
    <n v="0"/>
    <x v="0"/>
    <n v="0"/>
  </r>
  <r>
    <n v="8487669"/>
    <x v="0"/>
    <n v="24385491"/>
    <s v="Tarjeta"/>
    <n v="2906781"/>
    <n v="2224309"/>
    <n v="242146"/>
    <n v="30"/>
    <d v="2016-05-31T00:00:00"/>
    <s v="Empresa A"/>
    <n v="3"/>
    <n v="1"/>
    <n v="2"/>
    <n v="0"/>
    <n v="242146"/>
    <x v="2"/>
    <n v="0.10886347175684673"/>
  </r>
  <r>
    <n v="8487742"/>
    <x v="0"/>
    <n v="22273203"/>
    <s v="Tarjeta"/>
    <n v="732109"/>
    <n v="732109"/>
    <n v="336505"/>
    <n v="60"/>
    <d v="2016-04-20T00:00:00"/>
    <s v="Empresa C"/>
    <n v="3"/>
    <n v="2"/>
    <n v="1"/>
    <n v="1"/>
    <n v="336505"/>
    <x v="2"/>
    <n v="0.45963784081332154"/>
  </r>
  <r>
    <n v="8487795"/>
    <x v="0"/>
    <n v="25989548"/>
    <s v="Tarjeta"/>
    <n v="3696775"/>
    <n v="1348128"/>
    <n v="117902"/>
    <n v="30"/>
    <d v="2016-05-31T00:00:00"/>
    <s v="Empresa A"/>
    <n v="3"/>
    <n v="1"/>
    <n v="2"/>
    <n v="0"/>
    <n v="39301"/>
    <x v="3"/>
    <n v="2.9152276341712361E-2"/>
  </r>
  <r>
    <n v="8488069"/>
    <x v="0"/>
    <n v="26845371"/>
    <s v="Tarjeta"/>
    <n v="4782380"/>
    <n v="4782380"/>
    <n v="4782380"/>
    <n v="210"/>
    <d v="2016-04-27T00:00:00"/>
    <s v="Empresa B"/>
    <n v="3"/>
    <n v="0"/>
    <n v="3"/>
    <n v="2"/>
    <n v="0"/>
    <x v="0"/>
    <n v="0"/>
  </r>
  <r>
    <n v="8488114"/>
    <x v="0"/>
    <n v="25928078"/>
    <s v="Tarjeta"/>
    <n v="160767"/>
    <n v="80440"/>
    <n v="42151"/>
    <n v="30"/>
    <d v="2016-05-18T00:00:00"/>
    <s v="Empresa C"/>
    <n v="3"/>
    <n v="1"/>
    <n v="2"/>
    <n v="1"/>
    <n v="80440"/>
    <x v="2"/>
    <n v="1"/>
  </r>
  <r>
    <n v="8488114"/>
    <x v="0"/>
    <n v="25929542"/>
    <s v="Tarjeta"/>
    <n v="160767"/>
    <n v="80326"/>
    <n v="61182"/>
    <n v="30"/>
    <d v="2016-05-19T00:00:00"/>
    <s v="Empresa C"/>
    <n v="3"/>
    <n v="1"/>
    <n v="2"/>
    <n v="0"/>
    <n v="61182"/>
    <x v="2"/>
    <n v="0.76167118990115279"/>
  </r>
  <r>
    <n v="8488151"/>
    <x v="0"/>
    <n v="27177262"/>
    <s v="Tarjeta"/>
    <n v="2505054"/>
    <n v="2505054"/>
    <n v="221851"/>
    <n v="30"/>
    <d v="2016-05-19T00:00:00"/>
    <s v="Empresa C"/>
    <n v="3"/>
    <n v="1"/>
    <n v="2"/>
    <n v="1"/>
    <n v="110926"/>
    <x v="1"/>
    <n v="4.428088176941495E-2"/>
  </r>
  <r>
    <n v="8488441"/>
    <x v="0"/>
    <n v="19581466"/>
    <s v="Tarjeta"/>
    <n v="2711713"/>
    <n v="2711713"/>
    <n v="364062"/>
    <n v="90"/>
    <d v="2016-04-30T00:00:00"/>
    <s v="Empresa C"/>
    <n v="3"/>
    <n v="1"/>
    <n v="2"/>
    <n v="0"/>
    <n v="0"/>
    <x v="0"/>
    <n v="0"/>
  </r>
  <r>
    <n v="8488549"/>
    <x v="2"/>
    <n v="21549880"/>
    <s v="Hipotercario"/>
    <n v="79236782"/>
    <n v="55543497"/>
    <n v="678579"/>
    <n v="3"/>
    <d v="2016-06-08T00:00:00"/>
    <s v="Empresa C"/>
    <n v="3"/>
    <n v="0"/>
    <n v="3"/>
    <n v="2"/>
    <n v="0"/>
    <x v="0"/>
    <n v="0"/>
  </r>
  <r>
    <n v="8488549"/>
    <x v="2"/>
    <n v="26419172"/>
    <s v="Tarjeta"/>
    <n v="79236782"/>
    <n v="11784529"/>
    <n v="11709"/>
    <n v="30"/>
    <d v="2016-06-08T00:00:00"/>
    <s v="Empresa C"/>
    <n v="3"/>
    <n v="1"/>
    <n v="2"/>
    <n v="1"/>
    <n v="11709"/>
    <x v="2"/>
    <n v="9.9359083422001851E-4"/>
  </r>
  <r>
    <n v="8488607"/>
    <x v="2"/>
    <n v="15630098"/>
    <s v="Tarjeta"/>
    <n v="8837306"/>
    <n v="2878801"/>
    <n v="281451"/>
    <n v="30"/>
    <d v="2016-05-18T00:00:00"/>
    <s v="Empresa C"/>
    <n v="3"/>
    <n v="1"/>
    <n v="2"/>
    <n v="0"/>
    <n v="93817"/>
    <x v="3"/>
    <n v="3.2588914621052303E-2"/>
  </r>
  <r>
    <n v="8488607"/>
    <x v="2"/>
    <n v="16298760"/>
    <s v="Tarjeta"/>
    <n v="8837306"/>
    <n v="2961989"/>
    <n v="245574"/>
    <n v="30"/>
    <d v="2016-05-19T00:00:00"/>
    <s v="Empresa C"/>
    <n v="3"/>
    <n v="1"/>
    <n v="2"/>
    <n v="1"/>
    <n v="0"/>
    <x v="0"/>
    <n v="0"/>
  </r>
  <r>
    <n v="8488607"/>
    <x v="2"/>
    <n v="25367323"/>
    <s v="Rotativo"/>
    <n v="8837306"/>
    <n v="2996515"/>
    <n v="156705"/>
    <n v="24"/>
    <d v="2016-05-17T00:00:00"/>
    <s v="Empresa C"/>
    <n v="3"/>
    <n v="1"/>
    <n v="2"/>
    <n v="0"/>
    <n v="156705"/>
    <x v="2"/>
    <n v="5.2295750229850342E-2"/>
  </r>
  <r>
    <n v="8488668"/>
    <x v="0"/>
    <n v="25472034"/>
    <s v="Tarjeta"/>
    <n v="2463473"/>
    <n v="365906"/>
    <n v="87773"/>
    <n v="30"/>
    <d v="2016-05-19T00:00:00"/>
    <s v="Empresa C"/>
    <n v="3"/>
    <n v="0"/>
    <n v="3"/>
    <n v="2"/>
    <n v="0"/>
    <x v="0"/>
    <n v="0"/>
  </r>
  <r>
    <n v="8488668"/>
    <x v="0"/>
    <n v="25483738"/>
    <s v="Libranza"/>
    <n v="2463473"/>
    <n v="2097567"/>
    <n v="841065"/>
    <n v="124"/>
    <d v="2016-05-05T00:00:00"/>
    <s v="Empresa C"/>
    <n v="3"/>
    <n v="1"/>
    <n v="2"/>
    <n v="1"/>
    <n v="0"/>
    <x v="0"/>
    <n v="0"/>
  </r>
  <r>
    <n v="8488982"/>
    <x v="1"/>
    <n v="24163017"/>
    <s v="Tarjeta"/>
    <n v="6112138"/>
    <n v="5436720"/>
    <n v="1380839"/>
    <n v="90"/>
    <d v="2016-05-29T00:00:00"/>
    <s v="Empresa C"/>
    <n v="3"/>
    <n v="1"/>
    <n v="2"/>
    <n v="0"/>
    <n v="0"/>
    <x v="0"/>
    <n v="0"/>
  </r>
  <r>
    <n v="8489163"/>
    <x v="0"/>
    <n v="25275656"/>
    <s v="Tarjeta"/>
    <n v="157959"/>
    <n v="124553"/>
    <n v="81233"/>
    <n v="30"/>
    <d v="2016-05-31T00:00:00"/>
    <s v="Empresa A"/>
    <n v="3"/>
    <n v="1"/>
    <n v="2"/>
    <n v="1"/>
    <n v="0"/>
    <x v="0"/>
    <n v="0"/>
  </r>
  <r>
    <n v="8489318"/>
    <x v="0"/>
    <n v="25471498"/>
    <s v="Tarjeta"/>
    <n v="944626"/>
    <n v="944626"/>
    <n v="944626"/>
    <n v="360"/>
    <d v="2016-03-14T00:00:00"/>
    <s v="Empresa B"/>
    <n v="3"/>
    <n v="2"/>
    <n v="1"/>
    <n v="0"/>
    <n v="0"/>
    <x v="0"/>
    <n v="0"/>
  </r>
  <r>
    <n v="8489458"/>
    <x v="0"/>
    <n v="25194912"/>
    <s v="Tarjeta"/>
    <n v="2295366"/>
    <n v="808042"/>
    <n v="152063"/>
    <n v="30"/>
    <d v="2016-05-18T00:00:00"/>
    <s v="Empresa C"/>
    <n v="3"/>
    <n v="1"/>
    <n v="2"/>
    <n v="1"/>
    <n v="0"/>
    <x v="0"/>
    <n v="0"/>
  </r>
  <r>
    <n v="8489458"/>
    <x v="0"/>
    <n v="26251506"/>
    <s v="Tarjeta"/>
    <n v="2295366"/>
    <n v="1487324"/>
    <n v="251315"/>
    <n v="30"/>
    <d v="2016-05-19T00:00:00"/>
    <s v="Empresa C"/>
    <n v="3"/>
    <n v="0"/>
    <n v="3"/>
    <n v="1"/>
    <n v="251315"/>
    <x v="2"/>
    <n v="0.16897125306927072"/>
  </r>
  <r>
    <n v="8489663"/>
    <x v="0"/>
    <n v="25490054"/>
    <s v="Tarjeta"/>
    <n v="2475385"/>
    <n v="2394824"/>
    <n v="2394824"/>
    <n v="150"/>
    <d v="2016-05-18T00:00:00"/>
    <s v="Empresa B"/>
    <n v="3"/>
    <n v="1"/>
    <n v="2"/>
    <n v="1"/>
    <n v="0"/>
    <x v="0"/>
    <n v="0"/>
  </r>
  <r>
    <n v="8489663"/>
    <x v="0"/>
    <n v="27844618"/>
    <s v="Tarjeta"/>
    <n v="2475385"/>
    <n v="80562"/>
    <n v="80562"/>
    <n v="60"/>
    <d v="2016-04-21T00:00:00"/>
    <s v="Empresa B"/>
    <n v="3"/>
    <n v="1"/>
    <n v="2"/>
    <n v="1"/>
    <n v="0"/>
    <x v="0"/>
    <n v="0"/>
  </r>
  <r>
    <n v="8489760"/>
    <x v="1"/>
    <n v="14047669"/>
    <s v="Tarjeta"/>
    <n v="6355350"/>
    <n v="2394448"/>
    <n v="196646"/>
    <n v="30"/>
    <d v="2016-05-18T00:00:00"/>
    <s v="Empresa C"/>
    <n v="3"/>
    <n v="1"/>
    <n v="2"/>
    <n v="0"/>
    <n v="0"/>
    <x v="0"/>
    <n v="0"/>
  </r>
  <r>
    <n v="8489760"/>
    <x v="1"/>
    <n v="15290708"/>
    <s v="Tarjeta"/>
    <n v="6355350"/>
    <n v="3960902"/>
    <n v="444418"/>
    <n v="30"/>
    <d v="2016-05-29T00:00:00"/>
    <s v="Empresa C"/>
    <n v="3"/>
    <n v="1"/>
    <n v="2"/>
    <n v="1"/>
    <n v="0"/>
    <x v="0"/>
    <n v="0"/>
  </r>
  <r>
    <n v="8489781"/>
    <x v="0"/>
    <n v="21416984"/>
    <s v="Tarjeta"/>
    <n v="620711"/>
    <n v="620711"/>
    <n v="66377"/>
    <n v="30"/>
    <d v="2016-05-18T00:00:00"/>
    <s v="Empresa C"/>
    <n v="3"/>
    <n v="0"/>
    <n v="3"/>
    <n v="1"/>
    <n v="33189"/>
    <x v="1"/>
    <n v="5.3469327915890007E-2"/>
  </r>
  <r>
    <n v="8489786"/>
    <x v="1"/>
    <n v="26575860"/>
    <s v="Tarjeta"/>
    <n v="5533130"/>
    <n v="4539422"/>
    <n v="30632"/>
    <n v="30"/>
    <d v="2016-05-19T00:00:00"/>
    <s v="Empresa C"/>
    <n v="3"/>
    <n v="1"/>
    <n v="2"/>
    <n v="1"/>
    <n v="4539422"/>
    <x v="2"/>
    <n v="1"/>
  </r>
  <r>
    <n v="8489792"/>
    <x v="1"/>
    <n v="20199251"/>
    <s v="Tarjeta"/>
    <n v="3827572"/>
    <n v="1877885"/>
    <n v="658349"/>
    <n v="60"/>
    <d v="2016-04-20T00:00:00"/>
    <s v="Empresa C"/>
    <n v="3"/>
    <n v="1"/>
    <n v="2"/>
    <n v="1"/>
    <n v="1877885"/>
    <x v="2"/>
    <n v="1"/>
  </r>
  <r>
    <n v="8489792"/>
    <x v="1"/>
    <n v="20199357"/>
    <s v="Tarjeta"/>
    <n v="3827572"/>
    <n v="1949687"/>
    <n v="762874"/>
    <n v="60"/>
    <d v="2016-04-27T00:00:00"/>
    <s v="Empresa C"/>
    <n v="3"/>
    <n v="1"/>
    <n v="2"/>
    <n v="0"/>
    <n v="762874"/>
    <x v="2"/>
    <n v="0.39128024139259276"/>
  </r>
  <r>
    <n v="8489814"/>
    <x v="2"/>
    <n v="27893831"/>
    <s v="Tarjeta"/>
    <n v="124612756"/>
    <n v="2224830"/>
    <n v="200346"/>
    <n v="30"/>
    <d v="2016-06-01T00:00:00"/>
    <s v="Empresa C"/>
    <n v="3"/>
    <n v="1"/>
    <n v="2"/>
    <n v="1"/>
    <n v="0"/>
    <x v="0"/>
    <n v="0"/>
  </r>
  <r>
    <n v="8489859"/>
    <x v="0"/>
    <n v="21249039"/>
    <s v="Tarjeta"/>
    <n v="985472"/>
    <n v="985472"/>
    <n v="164171"/>
    <n v="30"/>
    <d v="2016-05-31T00:00:00"/>
    <s v="Empresa A"/>
    <n v="3"/>
    <n v="0"/>
    <n v="3"/>
    <n v="1"/>
    <n v="0"/>
    <x v="0"/>
    <n v="0"/>
  </r>
  <r>
    <n v="8489892"/>
    <x v="0"/>
    <n v="20521084"/>
    <s v="Tarjeta"/>
    <n v="548033"/>
    <n v="548033"/>
    <n v="548033"/>
    <n v="120"/>
    <d v="2016-05-18T00:00:00"/>
    <s v="Empresa B"/>
    <n v="3"/>
    <n v="1"/>
    <n v="2"/>
    <n v="1"/>
    <n v="548033"/>
    <x v="2"/>
    <n v="1"/>
  </r>
  <r>
    <n v="8489935"/>
    <x v="0"/>
    <n v="21568705"/>
    <s v="Tarjeta"/>
    <n v="460501"/>
    <n v="460501"/>
    <n v="63829"/>
    <n v="30"/>
    <d v="2016-06-01T00:00:00"/>
    <s v="Empresa C"/>
    <n v="3"/>
    <n v="1"/>
    <n v="2"/>
    <n v="1"/>
    <n v="63829"/>
    <x v="2"/>
    <n v="0.13860773375084962"/>
  </r>
  <r>
    <n v="8489978"/>
    <x v="1"/>
    <n v="25970137"/>
    <s v="Tarjeta"/>
    <n v="20653260"/>
    <n v="20653260"/>
    <n v="20653260"/>
    <n v="120"/>
    <d v="2016-05-28T00:00:00"/>
    <s v="Empresa B"/>
    <n v="3"/>
    <n v="1"/>
    <n v="2"/>
    <n v="0"/>
    <n v="0"/>
    <x v="0"/>
    <n v="0"/>
  </r>
  <r>
    <n v="8490008"/>
    <x v="0"/>
    <n v="23864357"/>
    <s v="Tarjeta"/>
    <n v="1835478"/>
    <n v="1835478"/>
    <n v="613989"/>
    <n v="60"/>
    <d v="2016-04-27T00:00:00"/>
    <s v="Empresa C"/>
    <n v="3"/>
    <n v="2"/>
    <n v="1"/>
    <n v="1"/>
    <n v="1835478"/>
    <x v="2"/>
    <n v="1"/>
  </r>
  <r>
    <n v="8490353"/>
    <x v="1"/>
    <n v="23277912"/>
    <s v="Tarjeta"/>
    <n v="8223687"/>
    <n v="521608"/>
    <n v="521608"/>
    <n v="360"/>
    <d v="2016-03-22T00:00:00"/>
    <s v="Empresa B"/>
    <n v="3"/>
    <n v="1"/>
    <n v="2"/>
    <n v="0"/>
    <n v="0"/>
    <x v="0"/>
    <n v="0"/>
  </r>
  <r>
    <n v="8490527"/>
    <x v="1"/>
    <n v="20854367"/>
    <s v="Tarjeta"/>
    <n v="6648177"/>
    <n v="3285243"/>
    <n v="3285243"/>
    <n v="150"/>
    <d v="2016-05-18T00:00:00"/>
    <s v="Empresa B"/>
    <n v="3"/>
    <n v="0"/>
    <n v="3"/>
    <n v="1"/>
    <n v="0"/>
    <x v="0"/>
    <n v="0"/>
  </r>
  <r>
    <n v="8490527"/>
    <x v="1"/>
    <n v="20854953"/>
    <s v="Tarjeta"/>
    <n v="6648177"/>
    <n v="3285524"/>
    <n v="3285524"/>
    <n v="150"/>
    <d v="2016-05-19T00:00:00"/>
    <s v="Empresa B"/>
    <n v="3"/>
    <n v="1"/>
    <n v="2"/>
    <n v="2"/>
    <n v="1095175"/>
    <x v="3"/>
    <n v="0.33333343478848426"/>
  </r>
  <r>
    <n v="8490527"/>
    <x v="1"/>
    <n v="20855710"/>
    <s v="Tarjeta"/>
    <n v="6648177"/>
    <n v="77409"/>
    <n v="77409"/>
    <n v="150"/>
    <d v="2016-05-18T00:00:00"/>
    <s v="Empresa B"/>
    <n v="3"/>
    <n v="1"/>
    <n v="2"/>
    <n v="0"/>
    <n v="0"/>
    <x v="0"/>
    <n v="0"/>
  </r>
  <r>
    <n v="8490649"/>
    <x v="0"/>
    <n v="21553476"/>
    <s v="Tarjeta"/>
    <n v="61553"/>
    <n v="61553"/>
    <n v="28996"/>
    <n v="30"/>
    <d v="2016-05-18T00:00:00"/>
    <s v="Empresa C"/>
    <n v="3"/>
    <n v="1"/>
    <n v="2"/>
    <n v="1"/>
    <n v="28996"/>
    <x v="2"/>
    <n v="0.47107370883628741"/>
  </r>
  <r>
    <n v="8490689"/>
    <x v="0"/>
    <n v="27154092"/>
    <s v="Tarjeta"/>
    <n v="2102084"/>
    <n v="2102084"/>
    <n v="476625"/>
    <n v="60"/>
    <d v="2016-05-01T00:00:00"/>
    <s v="Empresa C"/>
    <n v="3"/>
    <n v="1"/>
    <n v="2"/>
    <n v="0"/>
    <n v="238313"/>
    <x v="1"/>
    <n v="0.11336987484800798"/>
  </r>
  <r>
    <n v="8490699"/>
    <x v="0"/>
    <n v="18460872"/>
    <s v="Tarjeta"/>
    <n v="2310603"/>
    <n v="1426858"/>
    <n v="3309"/>
    <n v="30"/>
    <d v="2016-05-18T00:00:00"/>
    <s v="Empresa C"/>
    <n v="3"/>
    <n v="0"/>
    <n v="3"/>
    <n v="1"/>
    <n v="1103"/>
    <x v="3"/>
    <n v="7.7302716878624217E-4"/>
  </r>
  <r>
    <n v="8490839"/>
    <x v="0"/>
    <n v="19557175"/>
    <s v="Tarjeta"/>
    <n v="843175"/>
    <n v="843175"/>
    <n v="63489"/>
    <n v="30"/>
    <d v="2016-05-31T00:00:00"/>
    <s v="Empresa A"/>
    <n v="3"/>
    <n v="1"/>
    <n v="2"/>
    <n v="2"/>
    <n v="63489"/>
    <x v="2"/>
    <n v="7.529753609867465E-2"/>
  </r>
  <r>
    <n v="8490841"/>
    <x v="0"/>
    <n v="19490815"/>
    <s v="Tarjeta"/>
    <n v="2267242"/>
    <n v="2267242"/>
    <n v="232809"/>
    <n v="30"/>
    <d v="2016-06-01T00:00:00"/>
    <s v="Empresa C"/>
    <n v="3"/>
    <n v="1"/>
    <n v="2"/>
    <n v="0"/>
    <n v="2267242"/>
    <x v="2"/>
    <n v="1"/>
  </r>
  <r>
    <n v="8490856"/>
    <x v="1"/>
    <n v="19824822"/>
    <s v="Tarjeta"/>
    <n v="3954244"/>
    <n v="2500322"/>
    <n v="338198"/>
    <n v="30"/>
    <d v="2016-05-29T00:00:00"/>
    <s v="Empresa C"/>
    <n v="3"/>
    <n v="1"/>
    <n v="2"/>
    <n v="1"/>
    <n v="0"/>
    <x v="0"/>
    <n v="0"/>
  </r>
  <r>
    <n v="8490856"/>
    <x v="1"/>
    <n v="22443572"/>
    <s v="Tarjeta"/>
    <n v="3954244"/>
    <n v="1453923"/>
    <n v="299073"/>
    <n v="30"/>
    <d v="2016-05-18T00:00:00"/>
    <s v="Empresa C"/>
    <n v="3"/>
    <n v="1"/>
    <n v="2"/>
    <n v="0"/>
    <n v="0"/>
    <x v="0"/>
    <n v="0"/>
  </r>
  <r>
    <n v="8490949"/>
    <x v="0"/>
    <n v="25373614"/>
    <s v="Tarjeta"/>
    <n v="93356"/>
    <n v="93356"/>
    <n v="32071"/>
    <n v="30"/>
    <d v="2016-05-31T00:00:00"/>
    <s v="Empresa A"/>
    <n v="3"/>
    <n v="0"/>
    <n v="3"/>
    <n v="1"/>
    <n v="93356"/>
    <x v="2"/>
    <n v="1"/>
  </r>
  <r>
    <n v="8491006"/>
    <x v="0"/>
    <n v="24075863"/>
    <s v="Tarjeta"/>
    <n v="300063"/>
    <n v="300063"/>
    <n v="235975"/>
    <n v="30"/>
    <d v="2016-06-01T00:00:00"/>
    <s v="Empresa C"/>
    <n v="3"/>
    <n v="1"/>
    <n v="2"/>
    <n v="2"/>
    <n v="78658"/>
    <x v="3"/>
    <n v="0.26213828429363167"/>
  </r>
  <r>
    <n v="8491092"/>
    <x v="1"/>
    <n v="22418324"/>
    <s v="Tarjeta"/>
    <n v="6472464"/>
    <n v="3484595"/>
    <n v="467536"/>
    <n v="30"/>
    <d v="2016-05-31T00:00:00"/>
    <s v="Empresa A"/>
    <n v="3"/>
    <n v="1"/>
    <n v="2"/>
    <n v="0"/>
    <n v="233768"/>
    <x v="1"/>
    <n v="6.7086131960816101E-2"/>
  </r>
  <r>
    <n v="8491203"/>
    <x v="1"/>
    <n v="21218625"/>
    <s v="Tarjeta"/>
    <n v="10682471"/>
    <n v="4231693"/>
    <n v="1300277"/>
    <n v="60"/>
    <d v="2016-05-01T00:00:00"/>
    <s v="Empresa C"/>
    <n v="3"/>
    <n v="1"/>
    <n v="2"/>
    <n v="1"/>
    <n v="0"/>
    <x v="0"/>
    <n v="0"/>
  </r>
  <r>
    <n v="8491282"/>
    <x v="0"/>
    <n v="22486333"/>
    <s v="Tarjeta"/>
    <n v="639095"/>
    <n v="639095"/>
    <n v="112147"/>
    <n v="30"/>
    <d v="2016-05-31T00:00:00"/>
    <s v="Empresa A"/>
    <n v="3"/>
    <n v="2"/>
    <n v="1"/>
    <n v="0"/>
    <n v="0"/>
    <x v="0"/>
    <n v="0"/>
  </r>
  <r>
    <n v="8491300"/>
    <x v="1"/>
    <n v="21183899"/>
    <s v="Tarjeta"/>
    <n v="7827786"/>
    <n v="7827786"/>
    <n v="1037503"/>
    <n v="30"/>
    <d v="2016-05-31T00:00:00"/>
    <s v="Empresa A"/>
    <n v="3"/>
    <n v="1"/>
    <n v="2"/>
    <n v="0"/>
    <n v="0"/>
    <x v="0"/>
    <n v="0"/>
  </r>
  <r>
    <n v="8491306"/>
    <x v="1"/>
    <n v="25320990"/>
    <s v="Tarjeta"/>
    <n v="3604604"/>
    <n v="926949"/>
    <n v="133031"/>
    <n v="30"/>
    <d v="2016-05-29T00:00:00"/>
    <s v="Empresa C"/>
    <n v="3"/>
    <n v="0"/>
    <n v="3"/>
    <n v="2"/>
    <n v="44344"/>
    <x v="3"/>
    <n v="4.7838662105466431E-2"/>
  </r>
  <r>
    <n v="8491306"/>
    <x v="1"/>
    <n v="28043155"/>
    <s v="Tarjeta"/>
    <n v="3604604"/>
    <n v="900579"/>
    <n v="105202"/>
    <n v="30"/>
    <d v="2016-06-03T00:00:00"/>
    <s v="Empresa C"/>
    <n v="3"/>
    <n v="1"/>
    <n v="2"/>
    <n v="1"/>
    <n v="0"/>
    <x v="0"/>
    <n v="0"/>
  </r>
  <r>
    <n v="8491409"/>
    <x v="1"/>
    <n v="25336921"/>
    <s v="Consumo"/>
    <n v="7421654"/>
    <n v="5449038"/>
    <n v="354025"/>
    <n v="15"/>
    <d v="2016-05-25T00:00:00"/>
    <s v="Empresa C"/>
    <n v="3"/>
    <n v="1"/>
    <n v="2"/>
    <n v="1"/>
    <n v="118008"/>
    <x v="0"/>
    <n v="2.1656666736403749E-2"/>
  </r>
  <r>
    <n v="8491409"/>
    <x v="1"/>
    <n v="27153393"/>
    <s v="Tarjeta"/>
    <n v="7421654"/>
    <n v="934205"/>
    <n v="32376"/>
    <n v="30"/>
    <d v="2016-05-29T00:00:00"/>
    <s v="Empresa C"/>
    <n v="3"/>
    <n v="1"/>
    <n v="2"/>
    <n v="0"/>
    <n v="32376"/>
    <x v="2"/>
    <n v="3.4656205008536667E-2"/>
  </r>
  <r>
    <n v="8491572"/>
    <x v="0"/>
    <n v="25119103"/>
    <s v="Tarjeta"/>
    <n v="3882063"/>
    <n v="1973691"/>
    <n v="800737"/>
    <n v="60"/>
    <d v="2016-05-01T00:00:00"/>
    <s v="Empresa C"/>
    <n v="3"/>
    <n v="1"/>
    <n v="2"/>
    <n v="0"/>
    <n v="0"/>
    <x v="0"/>
    <n v="0"/>
  </r>
  <r>
    <n v="8491599"/>
    <x v="1"/>
    <n v="17748506"/>
    <s v="Tarjeta"/>
    <n v="6790842"/>
    <n v="89510"/>
    <n v="89510"/>
    <n v="120"/>
    <d v="2016-05-14T00:00:00"/>
    <s v="Empresa B"/>
    <n v="3"/>
    <n v="0"/>
    <n v="3"/>
    <n v="2"/>
    <n v="89510"/>
    <x v="2"/>
    <n v="1"/>
  </r>
  <r>
    <n v="8491599"/>
    <x v="1"/>
    <n v="27386020"/>
    <s v="Rotativo"/>
    <n v="6790842"/>
    <n v="2527530"/>
    <n v="72239"/>
    <n v="24"/>
    <d v="2016-05-14T00:00:00"/>
    <s v="Empresa B"/>
    <n v="3"/>
    <n v="1"/>
    <n v="2"/>
    <n v="1"/>
    <n v="24080"/>
    <x v="0"/>
    <n v="9.5270877101359831E-3"/>
  </r>
  <r>
    <n v="8491737"/>
    <x v="1"/>
    <n v="26833770"/>
    <s v="Tarjeta"/>
    <n v="3845000"/>
    <n v="2178219"/>
    <n v="2178219"/>
    <n v="240"/>
    <d v="2016-02-17T00:00:00"/>
    <s v="Empresa B"/>
    <n v="3"/>
    <n v="1"/>
    <n v="2"/>
    <n v="1"/>
    <n v="0"/>
    <x v="0"/>
    <n v="0"/>
  </r>
  <r>
    <n v="8491737"/>
    <x v="1"/>
    <n v="26835229"/>
    <s v="Tarjeta"/>
    <n v="3845000"/>
    <n v="1666781"/>
    <n v="1666781"/>
    <n v="210"/>
    <d v="2016-03-19T00:00:00"/>
    <s v="Empresa B"/>
    <n v="3"/>
    <n v="1"/>
    <n v="2"/>
    <n v="0"/>
    <n v="0"/>
    <x v="0"/>
    <n v="0"/>
  </r>
  <r>
    <n v="8491826"/>
    <x v="0"/>
    <n v="26151343"/>
    <s v="Tarjeta"/>
    <n v="687513"/>
    <n v="687513"/>
    <n v="453081"/>
    <n v="60"/>
    <d v="2016-05-01T00:00:00"/>
    <s v="Empresa C"/>
    <n v="3"/>
    <n v="1"/>
    <n v="2"/>
    <n v="0"/>
    <n v="0"/>
    <x v="0"/>
    <n v="0"/>
  </r>
  <r>
    <n v="8491843"/>
    <x v="1"/>
    <n v="27278763"/>
    <s v="Tarjeta"/>
    <n v="9452094"/>
    <n v="4498555"/>
    <n v="2214686"/>
    <n v="30"/>
    <d v="2016-05-31T00:00:00"/>
    <s v="Empresa A"/>
    <n v="3"/>
    <n v="0"/>
    <n v="3"/>
    <n v="2"/>
    <n v="0"/>
    <x v="0"/>
    <n v="0"/>
  </r>
  <r>
    <n v="8491858"/>
    <x v="2"/>
    <n v="25879366"/>
    <s v="Consumo"/>
    <n v="13547106"/>
    <n v="10198084"/>
    <n v="316935"/>
    <n v="29"/>
    <d v="2016-05-11T00:00:00"/>
    <s v="Empresa C"/>
    <n v="3"/>
    <n v="1"/>
    <n v="2"/>
    <n v="1"/>
    <n v="316935"/>
    <x v="2"/>
    <n v="3.1077896593124748E-2"/>
  </r>
  <r>
    <n v="8491858"/>
    <x v="2"/>
    <n v="27654219"/>
    <s v="Tarjeta"/>
    <n v="13547106"/>
    <n v="3349022"/>
    <n v="187267"/>
    <n v="30"/>
    <d v="2016-05-19T00:00:00"/>
    <s v="Empresa C"/>
    <n v="3"/>
    <n v="1"/>
    <n v="2"/>
    <n v="1"/>
    <n v="0"/>
    <x v="0"/>
    <n v="0"/>
  </r>
  <r>
    <n v="8491877"/>
    <x v="0"/>
    <n v="27396609"/>
    <s v="Tarjeta"/>
    <n v="4048957"/>
    <n v="4048957"/>
    <n v="399573"/>
    <n v="30"/>
    <d v="2016-05-19T00:00:00"/>
    <s v="Empresa C"/>
    <n v="3"/>
    <n v="1"/>
    <n v="2"/>
    <n v="0"/>
    <n v="0"/>
    <x v="0"/>
    <n v="0"/>
  </r>
  <r>
    <n v="8491910"/>
    <x v="0"/>
    <n v="27575915"/>
    <s v="Tarjeta"/>
    <n v="821883"/>
    <n v="821883"/>
    <n v="142310"/>
    <n v="30"/>
    <d v="2016-05-31T00:00:00"/>
    <s v="Empresa A"/>
    <n v="3"/>
    <n v="2"/>
    <n v="1"/>
    <n v="0"/>
    <n v="47436"/>
    <x v="3"/>
    <n v="5.7716244282945382E-2"/>
  </r>
  <r>
    <n v="8491961"/>
    <x v="0"/>
    <n v="24127681"/>
    <s v="Tarjeta"/>
    <n v="844905"/>
    <n v="844905"/>
    <n v="844905"/>
    <n v="150"/>
    <d v="2016-05-28T00:00:00"/>
    <s v="Empresa B"/>
    <n v="3"/>
    <n v="1"/>
    <n v="2"/>
    <n v="1"/>
    <n v="0"/>
    <x v="0"/>
    <n v="0"/>
  </r>
  <r>
    <n v="8491969"/>
    <x v="0"/>
    <n v="16363550"/>
    <s v="Tarjeta"/>
    <n v="2842526"/>
    <n v="1854043"/>
    <n v="1854043"/>
    <n v="360"/>
    <d v="2016-04-27T00:00:00"/>
    <s v="Empresa B"/>
    <n v="3"/>
    <n v="0"/>
    <n v="3"/>
    <n v="1"/>
    <n v="618014"/>
    <x v="3"/>
    <n v="0.33333315354606124"/>
  </r>
  <r>
    <n v="8492088"/>
    <x v="1"/>
    <n v="26249534"/>
    <s v="Tarjeta"/>
    <n v="7497120"/>
    <n v="3022548"/>
    <n v="3022548"/>
    <n v="180"/>
    <d v="2016-05-01T00:00:00"/>
    <s v="Empresa B"/>
    <n v="3"/>
    <n v="1"/>
    <n v="2"/>
    <n v="2"/>
    <n v="1007516"/>
    <x v="3"/>
    <n v="0.33333333333333331"/>
  </r>
  <r>
    <n v="8492088"/>
    <x v="1"/>
    <n v="26935418"/>
    <s v="Tarjeta"/>
    <n v="7497120"/>
    <n v="2898141"/>
    <n v="2898141"/>
    <n v="240"/>
    <d v="2016-03-02T00:00:00"/>
    <s v="Empresa B"/>
    <n v="3"/>
    <n v="1"/>
    <n v="2"/>
    <n v="0"/>
    <n v="0"/>
    <x v="0"/>
    <n v="0"/>
  </r>
  <r>
    <n v="8492200"/>
    <x v="2"/>
    <n v="26140581"/>
    <s v="Consumo"/>
    <n v="16004474"/>
    <n v="7541741"/>
    <n v="286181"/>
    <n v="15"/>
    <d v="2016-05-25T00:00:00"/>
    <s v="Empresa C"/>
    <n v="3"/>
    <n v="1"/>
    <n v="2"/>
    <n v="0"/>
    <n v="0"/>
    <x v="0"/>
    <n v="0"/>
  </r>
  <r>
    <n v="8492200"/>
    <x v="2"/>
    <n v="27915896"/>
    <s v="Tarjeta"/>
    <n v="16004474"/>
    <n v="3551737"/>
    <n v="409255"/>
    <n v="30"/>
    <d v="2016-05-18T00:00:00"/>
    <s v="Empresa C"/>
    <n v="3"/>
    <n v="1"/>
    <n v="2"/>
    <n v="1"/>
    <n v="0"/>
    <x v="0"/>
    <n v="0"/>
  </r>
  <r>
    <n v="8492200"/>
    <x v="2"/>
    <n v="27917896"/>
    <s v="Tarjeta"/>
    <n v="16004474"/>
    <n v="3532374"/>
    <n v="801797"/>
    <n v="30"/>
    <d v="2016-05-19T00:00:00"/>
    <s v="Empresa C"/>
    <n v="3"/>
    <n v="0"/>
    <n v="3"/>
    <n v="1"/>
    <n v="0"/>
    <x v="0"/>
    <n v="0"/>
  </r>
  <r>
    <n v="8492200"/>
    <x v="2"/>
    <n v="28216922"/>
    <s v="Rotativo"/>
    <n v="16004474"/>
    <n v="1378622"/>
    <n v="72793"/>
    <n v="24"/>
    <d v="2016-05-18T00:00:00"/>
    <s v="Empresa C"/>
    <n v="3"/>
    <n v="1"/>
    <n v="2"/>
    <n v="2"/>
    <n v="72793"/>
    <x v="2"/>
    <n v="5.2801275476526563E-2"/>
  </r>
  <r>
    <n v="8492224"/>
    <x v="1"/>
    <n v="24128447"/>
    <s v="Tarjeta"/>
    <n v="6499600"/>
    <n v="657017"/>
    <n v="657017"/>
    <n v="150"/>
    <d v="2016-05-19T00:00:00"/>
    <s v="Empresa B"/>
    <n v="3"/>
    <n v="1"/>
    <n v="2"/>
    <n v="0"/>
    <n v="328509"/>
    <x v="1"/>
    <n v="0.50000076101531621"/>
  </r>
  <r>
    <n v="8492224"/>
    <x v="1"/>
    <n v="25908299"/>
    <s v="Consumo"/>
    <n v="6499600"/>
    <n v="5842583"/>
    <n v="1148439"/>
    <n v="205"/>
    <d v="2016-03-17T00:00:00"/>
    <s v="Empresa B"/>
    <n v="3"/>
    <n v="1"/>
    <n v="2"/>
    <n v="0"/>
    <n v="0"/>
    <x v="0"/>
    <n v="0"/>
  </r>
  <r>
    <n v="8519022"/>
    <x v="0"/>
    <n v="25194705"/>
    <s v="Tarjeta"/>
    <n v="346415"/>
    <n v="346415"/>
    <n v="90884"/>
    <n v="60"/>
    <d v="2016-03-22T00:00:00"/>
    <s v="Empresa C"/>
    <n v="3"/>
    <n v="1"/>
    <n v="2"/>
    <n v="1"/>
    <n v="0"/>
    <x v="0"/>
    <n v="0"/>
  </r>
  <r>
    <n v="8519329"/>
    <x v="0"/>
    <n v="27448637"/>
    <s v="Tarjeta"/>
    <n v="1093270"/>
    <n v="1093270"/>
    <n v="479836"/>
    <n v="60"/>
    <d v="2016-05-01T00:00:00"/>
    <s v="Empresa C"/>
    <n v="3"/>
    <n v="0"/>
    <n v="3"/>
    <n v="1"/>
    <n v="479836"/>
    <x v="2"/>
    <n v="0.43889981431851233"/>
  </r>
  <r>
    <n v="8519500"/>
    <x v="0"/>
    <n v="16702203"/>
    <s v="Tarjeta"/>
    <n v="930009"/>
    <n v="930009"/>
    <n v="125286"/>
    <n v="30"/>
    <d v="2016-05-31T00:00:00"/>
    <s v="Empresa A"/>
    <n v="3"/>
    <n v="1"/>
    <n v="2"/>
    <n v="2"/>
    <n v="125286"/>
    <x v="2"/>
    <n v="0.13471482534039994"/>
  </r>
  <r>
    <n v="8519941"/>
    <x v="0"/>
    <n v="25778601"/>
    <s v="Tarjeta"/>
    <n v="2636693"/>
    <n v="1493494"/>
    <n v="132772"/>
    <n v="30"/>
    <d v="2016-05-31T00:00:00"/>
    <s v="Empresa A"/>
    <n v="3"/>
    <n v="1"/>
    <n v="2"/>
    <n v="0"/>
    <n v="0"/>
    <x v="0"/>
    <n v="0"/>
  </r>
  <r>
    <n v="8520309"/>
    <x v="1"/>
    <n v="27065353"/>
    <s v="Tarjeta"/>
    <n v="5307028"/>
    <n v="5307028"/>
    <n v="5307028"/>
    <n v="150"/>
    <d v="2016-05-19T00:00:00"/>
    <s v="Empresa B"/>
    <n v="3"/>
    <n v="1"/>
    <n v="2"/>
    <n v="0"/>
    <n v="5307028"/>
    <x v="2"/>
    <n v="1"/>
  </r>
  <r>
    <n v="8520480"/>
    <x v="0"/>
    <n v="24357359"/>
    <s v="Tarjeta"/>
    <n v="1039588"/>
    <n v="1039588"/>
    <n v="415119"/>
    <n v="90"/>
    <d v="2016-05-18T00:00:00"/>
    <s v="Empresa C"/>
    <n v="3"/>
    <n v="2"/>
    <n v="1"/>
    <n v="1"/>
    <n v="1039588"/>
    <x v="2"/>
    <n v="1"/>
  </r>
  <r>
    <n v="8520783"/>
    <x v="0"/>
    <n v="26404064"/>
    <s v="Tarjeta"/>
    <n v="2247181"/>
    <n v="1085140"/>
    <n v="181957"/>
    <n v="60"/>
    <d v="2016-05-01T00:00:00"/>
    <s v="Empresa C"/>
    <n v="3"/>
    <n v="1"/>
    <n v="2"/>
    <n v="0"/>
    <n v="0"/>
    <x v="0"/>
    <n v="0"/>
  </r>
  <r>
    <n v="8520783"/>
    <x v="0"/>
    <n v="26405918"/>
    <s v="Tarjeta"/>
    <n v="2247181"/>
    <n v="1162040"/>
    <n v="191805"/>
    <n v="60"/>
    <d v="2016-05-01T00:00:00"/>
    <s v="Empresa C"/>
    <n v="3"/>
    <n v="0"/>
    <n v="3"/>
    <n v="2"/>
    <n v="0"/>
    <x v="0"/>
    <n v="0"/>
  </r>
  <r>
    <n v="8520818"/>
    <x v="0"/>
    <n v="25708940"/>
    <s v="Tarjeta"/>
    <n v="487304"/>
    <n v="487304"/>
    <n v="487304"/>
    <n v="300"/>
    <d v="2016-04-17T00:00:00"/>
    <s v="Empresa B"/>
    <n v="3"/>
    <n v="1"/>
    <n v="2"/>
    <n v="1"/>
    <n v="487304"/>
    <x v="2"/>
    <n v="1"/>
  </r>
  <r>
    <n v="8520919"/>
    <x v="0"/>
    <n v="26329105"/>
    <s v="Tarjeta"/>
    <n v="664199"/>
    <n v="654435"/>
    <n v="35765"/>
    <n v="30"/>
    <d v="2016-05-31T00:00:00"/>
    <s v="Empresa A"/>
    <n v="3"/>
    <n v="1"/>
    <n v="2"/>
    <n v="0"/>
    <n v="0"/>
    <x v="0"/>
    <n v="0"/>
  </r>
  <r>
    <n v="8521432"/>
    <x v="1"/>
    <n v="25258052"/>
    <s v="Tarjeta"/>
    <n v="3829236"/>
    <n v="1815974"/>
    <n v="126587"/>
    <n v="30"/>
    <d v="2016-05-31T00:00:00"/>
    <s v="Empresa A"/>
    <n v="3"/>
    <n v="1"/>
    <n v="2"/>
    <n v="1"/>
    <n v="126587"/>
    <x v="2"/>
    <n v="6.9707495812164705E-2"/>
  </r>
  <r>
    <n v="8521432"/>
    <x v="1"/>
    <n v="25260267"/>
    <s v="Tarjeta"/>
    <n v="3829236"/>
    <n v="2013262"/>
    <n v="136932"/>
    <n v="30"/>
    <d v="2016-05-31T00:00:00"/>
    <s v="Empresa A"/>
    <n v="3"/>
    <n v="1"/>
    <n v="2"/>
    <n v="0"/>
    <n v="68466"/>
    <x v="1"/>
    <n v="3.4007496292087172E-2"/>
  </r>
  <r>
    <n v="8521919"/>
    <x v="0"/>
    <n v="16760544"/>
    <s v="Tarjeta"/>
    <n v="1412434"/>
    <n v="1412434"/>
    <n v="311979"/>
    <n v="60"/>
    <d v="2016-04-21T00:00:00"/>
    <s v="Empresa C"/>
    <n v="3"/>
    <n v="0"/>
    <n v="3"/>
    <n v="2"/>
    <n v="0"/>
    <x v="0"/>
    <n v="0"/>
  </r>
  <r>
    <n v="8521961"/>
    <x v="0"/>
    <n v="20568876"/>
    <s v="Tarjeta"/>
    <n v="1166923"/>
    <n v="1166923"/>
    <n v="185787"/>
    <n v="30"/>
    <d v="2016-05-18T00:00:00"/>
    <s v="Empresa C"/>
    <n v="3"/>
    <n v="1"/>
    <n v="2"/>
    <n v="1"/>
    <n v="92894"/>
    <x v="1"/>
    <n v="7.9605938009620167E-2"/>
  </r>
  <r>
    <n v="8522254"/>
    <x v="0"/>
    <n v="23993880"/>
    <s v="Tarjeta"/>
    <n v="2872894"/>
    <n v="1374185"/>
    <n v="149872"/>
    <n v="30"/>
    <d v="2016-05-31T00:00:00"/>
    <s v="Empresa A"/>
    <n v="3"/>
    <n v="1"/>
    <n v="2"/>
    <n v="0"/>
    <n v="0"/>
    <x v="0"/>
    <n v="0"/>
  </r>
  <r>
    <n v="8522309"/>
    <x v="2"/>
    <n v="27443938"/>
    <s v="Tarjeta"/>
    <n v="24909304"/>
    <n v="2814164"/>
    <n v="204711"/>
    <n v="30"/>
    <d v="2016-05-31T00:00:00"/>
    <s v="Empresa A"/>
    <n v="3"/>
    <n v="1"/>
    <n v="2"/>
    <n v="1"/>
    <n v="0"/>
    <x v="0"/>
    <n v="0"/>
  </r>
  <r>
    <n v="8522309"/>
    <x v="2"/>
    <n v="27447199"/>
    <s v="Tarjeta"/>
    <n v="24909304"/>
    <n v="3018713"/>
    <n v="226270"/>
    <n v="30"/>
    <d v="2016-05-31T00:00:00"/>
    <s v="Empresa A"/>
    <n v="3"/>
    <n v="1"/>
    <n v="2"/>
    <n v="0"/>
    <n v="226270"/>
    <x v="2"/>
    <n v="7.4955784137147194E-2"/>
  </r>
  <r>
    <n v="8522309"/>
    <x v="2"/>
    <n v="27626239"/>
    <s v="Libranza"/>
    <n v="24909304"/>
    <n v="19076426"/>
    <n v="488276"/>
    <n v="29"/>
    <d v="2016-06-01T00:00:00"/>
    <s v="Empresa A"/>
    <n v="3"/>
    <n v="0"/>
    <n v="3"/>
    <n v="2"/>
    <n v="0"/>
    <x v="0"/>
    <n v="0"/>
  </r>
  <r>
    <n v="8522458"/>
    <x v="0"/>
    <n v="21683437"/>
    <s v="Tarjeta"/>
    <n v="359292"/>
    <n v="358062"/>
    <n v="94270"/>
    <n v="90"/>
    <d v="2016-05-18T00:00:00"/>
    <s v="Empresa C"/>
    <n v="3"/>
    <n v="1"/>
    <n v="2"/>
    <n v="1"/>
    <n v="0"/>
    <x v="0"/>
    <n v="0"/>
  </r>
  <r>
    <n v="8522462"/>
    <x v="0"/>
    <n v="26162718"/>
    <s v="Tarjeta"/>
    <n v="247973"/>
    <n v="247973"/>
    <n v="48606"/>
    <n v="30"/>
    <d v="2016-05-31T00:00:00"/>
    <s v="Empresa A"/>
    <n v="3"/>
    <n v="1"/>
    <n v="2"/>
    <n v="0"/>
    <n v="247973"/>
    <x v="2"/>
    <n v="1"/>
  </r>
  <r>
    <n v="8522957"/>
    <x v="0"/>
    <n v="22516258"/>
    <s v="Tarjeta"/>
    <n v="1745164"/>
    <n v="679019"/>
    <n v="47550"/>
    <n v="30"/>
    <d v="2016-05-31T00:00:00"/>
    <s v="Empresa A"/>
    <n v="3"/>
    <n v="1"/>
    <n v="2"/>
    <n v="1"/>
    <n v="15850"/>
    <x v="3"/>
    <n v="2.3342498516241813E-2"/>
  </r>
  <r>
    <n v="8522957"/>
    <x v="0"/>
    <n v="22516382"/>
    <s v="Tarjeta"/>
    <n v="1745164"/>
    <n v="1066145"/>
    <n v="81085"/>
    <n v="30"/>
    <d v="2016-05-31T00:00:00"/>
    <s v="Empresa A"/>
    <n v="3"/>
    <n v="2"/>
    <n v="1"/>
    <n v="0"/>
    <n v="0"/>
    <x v="0"/>
    <n v="0"/>
  </r>
  <r>
    <n v="8523040"/>
    <x v="0"/>
    <n v="26197937"/>
    <s v="Tarjeta"/>
    <n v="837290"/>
    <n v="837290"/>
    <n v="284251"/>
    <n v="60"/>
    <d v="2016-05-01T00:00:00"/>
    <s v="Empresa C"/>
    <n v="3"/>
    <n v="1"/>
    <n v="2"/>
    <n v="1"/>
    <n v="284251"/>
    <x v="2"/>
    <n v="0.33948930478090028"/>
  </r>
  <r>
    <n v="8523124"/>
    <x v="0"/>
    <n v="26225662"/>
    <s v="Tarjeta"/>
    <n v="395707"/>
    <n v="395707"/>
    <n v="25640"/>
    <n v="30"/>
    <d v="2016-05-31T00:00:00"/>
    <s v="Empresa A"/>
    <n v="3"/>
    <n v="0"/>
    <n v="3"/>
    <n v="1"/>
    <n v="0"/>
    <x v="0"/>
    <n v="0"/>
  </r>
  <r>
    <n v="8523205"/>
    <x v="1"/>
    <n v="22375306"/>
    <s v="Tarjeta"/>
    <n v="4365779"/>
    <n v="740500"/>
    <n v="740500"/>
    <n v="180"/>
    <d v="2016-04-30T00:00:00"/>
    <s v="Empresa B"/>
    <n v="3"/>
    <n v="1"/>
    <n v="2"/>
    <n v="1"/>
    <n v="0"/>
    <x v="0"/>
    <n v="0"/>
  </r>
  <r>
    <n v="8523205"/>
    <x v="1"/>
    <n v="24912565"/>
    <s v="Tarjeta"/>
    <n v="4365779"/>
    <n v="3625279"/>
    <n v="3625279"/>
    <n v="120"/>
    <d v="2016-04-16T00:00:00"/>
    <s v="Empresa B"/>
    <n v="3"/>
    <n v="1"/>
    <n v="2"/>
    <n v="1"/>
    <n v="0"/>
    <x v="0"/>
    <n v="0"/>
  </r>
  <r>
    <n v="8523520"/>
    <x v="0"/>
    <n v="1377705"/>
    <s v="Tarjeta"/>
    <n v="1357831"/>
    <n v="554994"/>
    <n v="79798"/>
    <n v="60"/>
    <d v="2016-04-20T00:00:00"/>
    <s v="Empresa C"/>
    <n v="3"/>
    <n v="1"/>
    <n v="2"/>
    <n v="0"/>
    <n v="26600"/>
    <x v="3"/>
    <n v="4.792844607329088E-2"/>
  </r>
  <r>
    <n v="8523859"/>
    <x v="0"/>
    <n v="22375306"/>
    <s v="Tarjeta"/>
    <n v="1179165"/>
    <n v="793396"/>
    <n v="7806"/>
    <n v="30"/>
    <d v="2016-05-18T00:00:00"/>
    <s v="Empresa C"/>
    <n v="3"/>
    <n v="1"/>
    <n v="2"/>
    <n v="1"/>
    <n v="0"/>
    <x v="0"/>
    <n v="0"/>
  </r>
  <r>
    <n v="8523897"/>
    <x v="0"/>
    <n v="19889218"/>
    <s v="Tarjeta"/>
    <n v="660879"/>
    <n v="660879"/>
    <n v="82368"/>
    <n v="30"/>
    <d v="2016-05-18T00:00:00"/>
    <s v="Empresa C"/>
    <n v="3"/>
    <n v="0"/>
    <n v="3"/>
    <n v="1"/>
    <n v="0"/>
    <x v="0"/>
    <n v="0"/>
  </r>
  <r>
    <n v="8524048"/>
    <x v="0"/>
    <n v="23295919"/>
    <s v="Tarjeta"/>
    <n v="2048944"/>
    <n v="962934"/>
    <n v="47855"/>
    <n v="30"/>
    <d v="2016-06-03T00:00:00"/>
    <s v="Empresa C"/>
    <n v="3"/>
    <n v="1"/>
    <n v="2"/>
    <n v="1"/>
    <n v="0"/>
    <x v="0"/>
    <n v="0"/>
  </r>
  <r>
    <n v="8524070"/>
    <x v="0"/>
    <n v="15357610"/>
    <s v="Tarjeta"/>
    <n v="4556603"/>
    <n v="552560"/>
    <n v="551887"/>
    <n v="360"/>
    <d v="2016-03-14T00:00:00"/>
    <s v="Empresa B"/>
    <n v="3"/>
    <n v="1"/>
    <n v="2"/>
    <n v="1"/>
    <n v="0"/>
    <x v="0"/>
    <n v="0"/>
  </r>
  <r>
    <n v="8524404"/>
    <x v="1"/>
    <n v="19536723"/>
    <s v="Tarjeta"/>
    <n v="8101828"/>
    <n v="3622351"/>
    <n v="106020"/>
    <n v="30"/>
    <d v="2016-05-18T00:00:00"/>
    <s v="Empresa C"/>
    <n v="3"/>
    <n v="1"/>
    <n v="2"/>
    <n v="0"/>
    <n v="35340"/>
    <x v="3"/>
    <n v="9.756094867670196E-3"/>
  </r>
  <r>
    <n v="8524784"/>
    <x v="0"/>
    <n v="27962052"/>
    <s v="Tarjeta"/>
    <n v="405841"/>
    <n v="405841"/>
    <n v="112801"/>
    <n v="60"/>
    <d v="2016-05-01T00:00:00"/>
    <s v="Empresa C"/>
    <n v="3"/>
    <n v="1"/>
    <n v="2"/>
    <n v="1"/>
    <n v="56401"/>
    <x v="1"/>
    <n v="0.13897314465517283"/>
  </r>
  <r>
    <n v="8524793"/>
    <x v="0"/>
    <n v="21416546"/>
    <s v="Tarjeta"/>
    <n v="2235335"/>
    <n v="579255"/>
    <n v="42264"/>
    <n v="30"/>
    <d v="2016-05-31T00:00:00"/>
    <s v="Empresa A"/>
    <n v="3"/>
    <n v="0"/>
    <n v="3"/>
    <n v="1"/>
    <n v="0"/>
    <x v="0"/>
    <n v="0"/>
  </r>
  <r>
    <n v="8524805"/>
    <x v="0"/>
    <n v="21648150"/>
    <s v="Tarjeta"/>
    <n v="4212055"/>
    <n v="819330"/>
    <n v="63170"/>
    <n v="30"/>
    <d v="2016-05-31T00:00:00"/>
    <s v="Empresa A"/>
    <n v="3"/>
    <n v="1"/>
    <n v="2"/>
    <n v="1"/>
    <n v="31585"/>
    <x v="1"/>
    <n v="3.8549790682630931E-2"/>
  </r>
  <r>
    <n v="8524847"/>
    <x v="1"/>
    <n v="22738834"/>
    <s v="Tarjeta"/>
    <n v="3463508"/>
    <n v="2388355"/>
    <n v="269093"/>
    <n v="30"/>
    <d v="2016-05-31T00:00:00"/>
    <s v="Empresa A"/>
    <n v="3"/>
    <n v="1"/>
    <n v="2"/>
    <n v="1"/>
    <n v="269093"/>
    <x v="2"/>
    <n v="0.11266876155345415"/>
  </r>
  <r>
    <n v="8524847"/>
    <x v="1"/>
    <n v="26782857"/>
    <s v="Tarjeta"/>
    <n v="3463508"/>
    <n v="1075153"/>
    <n v="50256"/>
    <n v="30"/>
    <d v="2016-05-31T00:00:00"/>
    <s v="Empresa A"/>
    <n v="3"/>
    <n v="1"/>
    <n v="2"/>
    <n v="0"/>
    <n v="0"/>
    <x v="0"/>
    <n v="0"/>
  </r>
  <r>
    <n v="8525305"/>
    <x v="0"/>
    <n v="18744641"/>
    <s v="Tarjeta"/>
    <n v="2226796"/>
    <n v="2226796"/>
    <n v="2226796"/>
    <n v="150"/>
    <d v="2016-04-27T00:00:00"/>
    <s v="Empresa B"/>
    <n v="3"/>
    <n v="2"/>
    <n v="1"/>
    <n v="1"/>
    <n v="0"/>
    <x v="0"/>
    <n v="0"/>
  </r>
  <r>
    <n v="8525340"/>
    <x v="0"/>
    <n v="10637802"/>
    <s v="Tarjeta"/>
    <n v="1982732"/>
    <n v="967767"/>
    <n v="198536"/>
    <n v="60"/>
    <d v="2016-04-21T00:00:00"/>
    <s v="Empresa C"/>
    <n v="3"/>
    <n v="1"/>
    <n v="2"/>
    <n v="0"/>
    <n v="198536"/>
    <x v="2"/>
    <n v="0.2051485533191357"/>
  </r>
  <r>
    <n v="8525340"/>
    <x v="0"/>
    <n v="10638085"/>
    <s v="Tarjeta"/>
    <n v="1982732"/>
    <n v="1012966"/>
    <n v="243735"/>
    <n v="60"/>
    <d v="2016-05-01T00:00:00"/>
    <s v="Empresa C"/>
    <n v="3"/>
    <n v="0"/>
    <n v="3"/>
    <n v="1"/>
    <n v="0"/>
    <x v="0"/>
    <n v="0"/>
  </r>
  <r>
    <n v="8525418"/>
    <x v="0"/>
    <n v="26225873"/>
    <s v="Tarjeta"/>
    <n v="104241"/>
    <n v="104241"/>
    <n v="104241"/>
    <n v="210"/>
    <d v="2016-03-31T00:00:00"/>
    <s v="Empresa B"/>
    <n v="3"/>
    <n v="1"/>
    <n v="2"/>
    <n v="2"/>
    <n v="0"/>
    <x v="0"/>
    <n v="0"/>
  </r>
  <r>
    <n v="8525718"/>
    <x v="0"/>
    <n v="26653538"/>
    <s v="Tarjeta"/>
    <n v="2113102"/>
    <n v="2113102"/>
    <n v="2113102"/>
    <n v="210"/>
    <d v="2016-03-31T00:00:00"/>
    <s v="Empresa B"/>
    <n v="3"/>
    <n v="1"/>
    <n v="2"/>
    <n v="0"/>
    <n v="0"/>
    <x v="0"/>
    <n v="0"/>
  </r>
  <r>
    <n v="8525766"/>
    <x v="0"/>
    <n v="27984804"/>
    <s v="Tarjeta"/>
    <n v="2043829"/>
    <n v="2043829"/>
    <n v="334427"/>
    <n v="60"/>
    <d v="2016-04-23T00:00:00"/>
    <s v="Empresa C"/>
    <n v="3"/>
    <n v="1"/>
    <n v="2"/>
    <n v="1"/>
    <n v="111476"/>
    <x v="3"/>
    <n v="5.4542723486162493E-2"/>
  </r>
  <r>
    <n v="8526274"/>
    <x v="0"/>
    <n v="21202055"/>
    <s v="Tarjeta"/>
    <n v="2709624"/>
    <n v="2709624"/>
    <n v="572383"/>
    <n v="60"/>
    <d v="2016-04-27T00:00:00"/>
    <s v="Empresa C"/>
    <n v="3"/>
    <n v="1"/>
    <n v="2"/>
    <n v="0"/>
    <n v="0"/>
    <x v="0"/>
    <n v="0"/>
  </r>
  <r>
    <n v="8526376"/>
    <x v="1"/>
    <n v="27672437"/>
    <s v="Tarjeta"/>
    <n v="23269652"/>
    <n v="1061910"/>
    <n v="3902"/>
    <n v="30"/>
    <d v="2016-05-31T00:00:00"/>
    <s v="Empresa A"/>
    <n v="3"/>
    <n v="0"/>
    <n v="3"/>
    <n v="1"/>
    <n v="0"/>
    <x v="0"/>
    <n v="0"/>
  </r>
  <r>
    <n v="8549511"/>
    <x v="2"/>
    <n v="15077029"/>
    <s v="Hipotercario"/>
    <n v="26082732"/>
    <n v="24356466"/>
    <n v="555720"/>
    <n v="2"/>
    <d v="2016-06-08T00:00:00"/>
    <s v="Empresa C"/>
    <n v="3"/>
    <n v="1"/>
    <n v="2"/>
    <n v="2"/>
    <n v="185240"/>
    <x v="0"/>
    <n v="7.6053726349298786E-3"/>
  </r>
  <r>
    <n v="8549511"/>
    <x v="2"/>
    <n v="27542907"/>
    <s v="Tarjeta"/>
    <n v="26082732"/>
    <n v="1257371"/>
    <n v="290924"/>
    <n v="30"/>
    <d v="2016-05-18T00:00:00"/>
    <s v="Empresa C"/>
    <n v="3"/>
    <n v="1"/>
    <n v="2"/>
    <n v="0"/>
    <n v="290924"/>
    <x v="2"/>
    <n v="0.23137482890889005"/>
  </r>
  <r>
    <n v="8549588"/>
    <x v="0"/>
    <n v="24223502"/>
    <s v="Tarjeta"/>
    <n v="653252"/>
    <n v="653252"/>
    <n v="653252"/>
    <n v="120"/>
    <d v="2016-05-29T00:00:00"/>
    <s v="Empresa B"/>
    <n v="3"/>
    <n v="1"/>
    <n v="2"/>
    <n v="1"/>
    <n v="0"/>
    <x v="0"/>
    <n v="0"/>
  </r>
  <r>
    <n v="8549887"/>
    <x v="0"/>
    <n v="23896168"/>
    <s v="Tarjeta"/>
    <n v="674250"/>
    <n v="674250"/>
    <n v="75462"/>
    <n v="30"/>
    <d v="2016-05-18T00:00:00"/>
    <s v="Empresa C"/>
    <n v="3"/>
    <n v="1"/>
    <n v="2"/>
    <n v="0"/>
    <n v="0"/>
    <x v="0"/>
    <n v="0"/>
  </r>
  <r>
    <n v="8550032"/>
    <x v="1"/>
    <n v="23865163"/>
    <s v="Tarjeta"/>
    <n v="3686425"/>
    <n v="1824806"/>
    <n v="1824806"/>
    <n v="150"/>
    <d v="2016-05-18T00:00:00"/>
    <s v="Empresa B"/>
    <n v="3"/>
    <n v="0"/>
    <n v="3"/>
    <n v="1"/>
    <n v="0"/>
    <x v="0"/>
    <n v="0"/>
  </r>
  <r>
    <n v="8550032"/>
    <x v="1"/>
    <n v="26664605"/>
    <s v="Tarjeta"/>
    <n v="3686425"/>
    <n v="1861618"/>
    <n v="1861619"/>
    <n v="180"/>
    <d v="2016-04-30T00:00:00"/>
    <s v="Empresa B"/>
    <n v="3"/>
    <n v="1"/>
    <n v="2"/>
    <n v="2"/>
    <n v="1861619"/>
    <x v="2"/>
    <n v="1.000000537167131"/>
  </r>
  <r>
    <n v="8550135"/>
    <x v="2"/>
    <n v="23836912"/>
    <s v="Tarjeta"/>
    <n v="31082508"/>
    <n v="3498563"/>
    <n v="751204"/>
    <n v="90"/>
    <d v="2016-05-13T00:00:00"/>
    <s v="Empresa C"/>
    <n v="3"/>
    <n v="1"/>
    <n v="2"/>
    <n v="0"/>
    <n v="0"/>
    <x v="0"/>
    <n v="0"/>
  </r>
  <r>
    <n v="8550135"/>
    <x v="2"/>
    <n v="25353899"/>
    <s v="Consumo"/>
    <n v="31082508"/>
    <n v="9443146"/>
    <n v="967307"/>
    <n v="74"/>
    <d v="2016-05-13T00:00:00"/>
    <s v="Empresa C"/>
    <n v="3"/>
    <n v="1"/>
    <n v="2"/>
    <n v="1"/>
    <n v="0"/>
    <x v="0"/>
    <n v="0"/>
  </r>
  <r>
    <n v="8550135"/>
    <x v="2"/>
    <n v="26223205"/>
    <s v="Consumo"/>
    <n v="31082508"/>
    <n v="8881018"/>
    <n v="840004"/>
    <n v="89"/>
    <d v="2016-05-13T00:00:00"/>
    <s v="Empresa C"/>
    <n v="3"/>
    <n v="2"/>
    <n v="1"/>
    <n v="0"/>
    <n v="280002"/>
    <x v="3"/>
    <n v="3.1528142381875589E-2"/>
  </r>
  <r>
    <n v="8550135"/>
    <x v="2"/>
    <n v="26235241"/>
    <s v="Rotativo"/>
    <n v="31082508"/>
    <n v="1533392"/>
    <n v="221778"/>
    <n v="85"/>
    <d v="2016-05-13T00:00:00"/>
    <s v="Empresa C"/>
    <n v="3"/>
    <n v="1"/>
    <n v="2"/>
    <n v="0"/>
    <n v="221778"/>
    <x v="2"/>
    <n v="0.14463229232968478"/>
  </r>
  <r>
    <n v="8550135"/>
    <x v="2"/>
    <n v="27107473"/>
    <s v="Rotativo"/>
    <n v="31082508"/>
    <n v="204917"/>
    <n v="26523"/>
    <n v="85"/>
    <d v="2016-05-13T00:00:00"/>
    <s v="Empresa C"/>
    <n v="3"/>
    <n v="0"/>
    <n v="3"/>
    <n v="2"/>
    <n v="0"/>
    <x v="0"/>
    <n v="0"/>
  </r>
  <r>
    <n v="8550284"/>
    <x v="0"/>
    <n v="21382277"/>
    <s v="Tarjeta"/>
    <n v="2097636"/>
    <n v="371099"/>
    <n v="94249"/>
    <n v="30"/>
    <d v="2016-05-18T00:00:00"/>
    <s v="Empresa C"/>
    <n v="3"/>
    <n v="1"/>
    <n v="2"/>
    <n v="1"/>
    <n v="94249"/>
    <x v="2"/>
    <n v="0.25397265958679488"/>
  </r>
  <r>
    <n v="8550284"/>
    <x v="0"/>
    <n v="25923127"/>
    <s v="Tarjeta"/>
    <n v="2097636"/>
    <n v="1726537"/>
    <n v="190862"/>
    <n v="30"/>
    <d v="2016-05-18T00:00:00"/>
    <s v="Empresa C"/>
    <n v="3"/>
    <n v="1"/>
    <n v="2"/>
    <n v="1"/>
    <n v="95431"/>
    <x v="1"/>
    <n v="5.5273069734387392E-2"/>
  </r>
  <r>
    <n v="8550298"/>
    <x v="0"/>
    <n v="28167696"/>
    <s v="Tarjeta"/>
    <n v="66140"/>
    <n v="66140"/>
    <n v="13393"/>
    <n v="30"/>
    <d v="2016-05-18T00:00:00"/>
    <s v="Empresa C"/>
    <n v="3"/>
    <n v="1"/>
    <n v="2"/>
    <n v="0"/>
    <n v="0"/>
    <x v="0"/>
    <n v="0"/>
  </r>
  <r>
    <n v="8550305"/>
    <x v="0"/>
    <n v="23926491"/>
    <s v="Tarjeta"/>
    <n v="2065854"/>
    <n v="2065854"/>
    <n v="2065854"/>
    <n v="120"/>
    <d v="2016-05-28T00:00:00"/>
    <s v="Empresa B"/>
    <n v="3"/>
    <n v="1"/>
    <n v="2"/>
    <n v="0"/>
    <n v="1032927"/>
    <x v="1"/>
    <n v="0.5"/>
  </r>
  <r>
    <n v="8550332"/>
    <x v="0"/>
    <n v="23318244"/>
    <s v="Tarjeta"/>
    <n v="1538613"/>
    <n v="611238"/>
    <n v="420053"/>
    <n v="90"/>
    <d v="2016-05-18T00:00:00"/>
    <s v="Empresa C"/>
    <n v="3"/>
    <n v="0"/>
    <n v="3"/>
    <n v="2"/>
    <n v="0"/>
    <x v="0"/>
    <n v="0"/>
  </r>
  <r>
    <n v="8550332"/>
    <x v="0"/>
    <n v="24814717"/>
    <s v="Tarjeta"/>
    <n v="1538613"/>
    <n v="927375"/>
    <n v="674054"/>
    <n v="90"/>
    <d v="2016-05-18T00:00:00"/>
    <s v="Empresa C"/>
    <n v="3"/>
    <n v="1"/>
    <n v="2"/>
    <n v="1"/>
    <n v="674054"/>
    <x v="2"/>
    <n v="0.72684081412589296"/>
  </r>
  <r>
    <n v="8550436"/>
    <x v="1"/>
    <n v="25269400"/>
    <s v="Tarjeta"/>
    <n v="6524374"/>
    <n v="2096062"/>
    <n v="171360"/>
    <n v="30"/>
    <d v="2016-05-19T00:00:00"/>
    <s v="Empresa C"/>
    <n v="3"/>
    <n v="1"/>
    <n v="2"/>
    <n v="1"/>
    <n v="0"/>
    <x v="0"/>
    <n v="0"/>
  </r>
  <r>
    <n v="8550436"/>
    <x v="1"/>
    <n v="25270150"/>
    <s v="Tarjeta"/>
    <n v="6524374"/>
    <n v="4428311"/>
    <n v="378750"/>
    <n v="30"/>
    <d v="2016-05-18T00:00:00"/>
    <s v="Empresa C"/>
    <n v="3"/>
    <n v="1"/>
    <n v="2"/>
    <n v="0"/>
    <n v="4428311"/>
    <x v="2"/>
    <n v="1"/>
  </r>
  <r>
    <n v="8550484"/>
    <x v="1"/>
    <n v="26911994"/>
    <s v="Tarjeta"/>
    <n v="6425389"/>
    <n v="3212695"/>
    <n v="585663"/>
    <n v="90"/>
    <d v="2016-06-03T00:00:00"/>
    <s v="Empresa C"/>
    <n v="3"/>
    <n v="1"/>
    <n v="2"/>
    <n v="0"/>
    <n v="585663"/>
    <x v="2"/>
    <n v="0.18229648317067135"/>
  </r>
  <r>
    <n v="8550513"/>
    <x v="0"/>
    <n v="12130935"/>
    <s v="Tarjeta"/>
    <n v="1190948"/>
    <n v="1097469"/>
    <n v="521974"/>
    <n v="30"/>
    <d v="2016-05-31T00:00:00"/>
    <s v="Empresa A"/>
    <n v="3"/>
    <n v="0"/>
    <n v="3"/>
    <n v="2"/>
    <n v="521974"/>
    <x v="2"/>
    <n v="0.47561616774596821"/>
  </r>
  <r>
    <n v="8550513"/>
    <x v="0"/>
    <n v="23977900"/>
    <s v="Tarjeta"/>
    <n v="1190948"/>
    <n v="93479"/>
    <n v="18783"/>
    <n v="30"/>
    <d v="2016-05-31T00:00:00"/>
    <s v="Empresa A"/>
    <n v="3"/>
    <n v="1"/>
    <n v="2"/>
    <n v="1"/>
    <n v="6261"/>
    <x v="3"/>
    <n v="6.6977609944479502E-2"/>
  </r>
  <r>
    <n v="8550753"/>
    <x v="0"/>
    <n v="21386180"/>
    <s v="Tarjeta"/>
    <n v="319662"/>
    <n v="319662"/>
    <n v="7064"/>
    <n v="30"/>
    <d v="2016-05-31T00:00:00"/>
    <s v="Empresa A"/>
    <n v="3"/>
    <n v="1"/>
    <n v="2"/>
    <n v="1"/>
    <n v="0"/>
    <x v="0"/>
    <n v="0"/>
  </r>
  <r>
    <n v="8550900"/>
    <x v="0"/>
    <n v="19225430"/>
    <s v="Tarjeta"/>
    <n v="347206"/>
    <n v="347206"/>
    <n v="24821"/>
    <n v="30"/>
    <d v="2016-05-19T00:00:00"/>
    <s v="Empresa C"/>
    <n v="3"/>
    <n v="1"/>
    <n v="2"/>
    <n v="0"/>
    <n v="0"/>
    <x v="0"/>
    <n v="0"/>
  </r>
  <r>
    <n v="8551082"/>
    <x v="0"/>
    <n v="26878877"/>
    <s v="Tarjeta"/>
    <n v="358614"/>
    <n v="358614"/>
    <n v="144042"/>
    <n v="90"/>
    <d v="2016-05-28T00:00:00"/>
    <s v="Empresa C"/>
    <n v="3"/>
    <n v="2"/>
    <n v="1"/>
    <n v="0"/>
    <n v="144042"/>
    <x v="2"/>
    <n v="0.40166306948418079"/>
  </r>
  <r>
    <n v="8551304"/>
    <x v="0"/>
    <n v="27672818"/>
    <s v="Tarjeta"/>
    <n v="958458"/>
    <n v="958458"/>
    <n v="346980"/>
    <n v="60"/>
    <d v="2016-04-27T00:00:00"/>
    <s v="Empresa C"/>
    <n v="3"/>
    <n v="1"/>
    <n v="2"/>
    <n v="1"/>
    <n v="0"/>
    <x v="0"/>
    <n v="0"/>
  </r>
  <r>
    <n v="8551392"/>
    <x v="0"/>
    <n v="26555103"/>
    <s v="Tarjeta"/>
    <n v="537536"/>
    <n v="537536"/>
    <n v="17440"/>
    <n v="30"/>
    <d v="2016-05-01T00:00:00"/>
    <s v="Empresa C"/>
    <n v="3"/>
    <n v="0"/>
    <n v="3"/>
    <n v="1"/>
    <n v="0"/>
    <x v="0"/>
    <n v="0"/>
  </r>
  <r>
    <n v="8551680"/>
    <x v="0"/>
    <n v="23582216"/>
    <s v="Tarjeta"/>
    <n v="328004"/>
    <n v="328004"/>
    <n v="328004"/>
    <n v="150"/>
    <d v="2016-05-18T00:00:00"/>
    <s v="Empresa B"/>
    <n v="3"/>
    <n v="1"/>
    <n v="2"/>
    <n v="2"/>
    <n v="109335"/>
    <x v="3"/>
    <n v="0.3333343495811027"/>
  </r>
  <r>
    <n v="8551730"/>
    <x v="1"/>
    <n v="25786927"/>
    <s v="Tarjeta"/>
    <n v="5955547"/>
    <n v="139273"/>
    <n v="46258"/>
    <n v="30"/>
    <d v="2016-05-18T00:00:00"/>
    <s v="Empresa C"/>
    <n v="3"/>
    <n v="1"/>
    <n v="2"/>
    <n v="0"/>
    <n v="0"/>
    <x v="0"/>
    <n v="0"/>
  </r>
  <r>
    <n v="8551730"/>
    <x v="1"/>
    <n v="28186038"/>
    <s v="Vehiculo"/>
    <n v="5955547"/>
    <n v="5816274"/>
    <n v="181122"/>
    <n v="7"/>
    <d v="2016-06-02T00:00:00"/>
    <s v="Empresa C"/>
    <n v="3"/>
    <n v="1"/>
    <n v="2"/>
    <n v="0"/>
    <n v="0"/>
    <x v="0"/>
    <n v="0"/>
  </r>
  <r>
    <n v="8552223"/>
    <x v="0"/>
    <n v="25178462"/>
    <s v="Tarjeta"/>
    <n v="2005145"/>
    <n v="180229"/>
    <n v="36204"/>
    <n v="30"/>
    <d v="2016-05-31T00:00:00"/>
    <s v="Empresa A"/>
    <n v="3"/>
    <n v="1"/>
    <n v="2"/>
    <n v="1"/>
    <n v="0"/>
    <x v="0"/>
    <n v="0"/>
  </r>
  <r>
    <n v="8552331"/>
    <x v="2"/>
    <n v="22221367"/>
    <s v="Consumo"/>
    <n v="9245279"/>
    <n v="5322710"/>
    <n v="793431"/>
    <n v="52"/>
    <d v="2016-04-19T00:00:00"/>
    <s v="Empresa C"/>
    <n v="3"/>
    <n v="0"/>
    <n v="3"/>
    <n v="1"/>
    <n v="0"/>
    <x v="0"/>
    <n v="0"/>
  </r>
  <r>
    <n v="8552331"/>
    <x v="2"/>
    <n v="23982519"/>
    <s v="Tarjeta"/>
    <n v="9245279"/>
    <n v="2009803"/>
    <n v="317875"/>
    <n v="60"/>
    <d v="2016-04-30T00:00:00"/>
    <s v="Empresa C"/>
    <n v="3"/>
    <n v="1"/>
    <n v="2"/>
    <n v="2"/>
    <n v="105959"/>
    <x v="3"/>
    <n v="5.2721087589181627E-2"/>
  </r>
  <r>
    <n v="8552331"/>
    <x v="2"/>
    <n v="23983643"/>
    <s v="Tarjeta"/>
    <n v="9245279"/>
    <n v="1912766"/>
    <n v="421704"/>
    <n v="60"/>
    <d v="2016-05-01T00:00:00"/>
    <s v="Empresa C"/>
    <n v="3"/>
    <n v="1"/>
    <n v="2"/>
    <n v="0"/>
    <n v="421704"/>
    <x v="2"/>
    <n v="0.2204681597226216"/>
  </r>
  <r>
    <n v="8552345"/>
    <x v="1"/>
    <n v="23758783"/>
    <s v="Libranza"/>
    <n v="9578882"/>
    <n v="9037665"/>
    <n v="247400"/>
    <n v="3"/>
    <d v="2016-06-08T00:00:00"/>
    <s v="Empresa C"/>
    <n v="3"/>
    <n v="1"/>
    <n v="2"/>
    <n v="0"/>
    <n v="0"/>
    <x v="0"/>
    <n v="0"/>
  </r>
  <r>
    <n v="8552345"/>
    <x v="1"/>
    <n v="27755148"/>
    <s v="Tarjeta"/>
    <n v="9578882"/>
    <n v="541217"/>
    <n v="162609"/>
    <n v="60"/>
    <d v="2016-05-01T00:00:00"/>
    <s v="Empresa C"/>
    <n v="3"/>
    <n v="1"/>
    <n v="2"/>
    <n v="1"/>
    <n v="541217"/>
    <x v="2"/>
    <n v="1"/>
  </r>
  <r>
    <n v="8552450"/>
    <x v="0"/>
    <n v="21386195"/>
    <s v="Tarjeta"/>
    <n v="313202"/>
    <n v="313202"/>
    <n v="39846"/>
    <n v="30"/>
    <d v="2016-06-01T00:00:00"/>
    <s v="Empresa C"/>
    <n v="3"/>
    <n v="0"/>
    <n v="3"/>
    <n v="1"/>
    <n v="0"/>
    <x v="0"/>
    <n v="0"/>
  </r>
  <r>
    <n v="8552462"/>
    <x v="0"/>
    <n v="25300456"/>
    <s v="Tarjeta"/>
    <n v="532127"/>
    <n v="532127"/>
    <n v="532127"/>
    <n v="150"/>
    <d v="2016-05-28T00:00:00"/>
    <s v="Empresa B"/>
    <n v="3"/>
    <n v="1"/>
    <n v="2"/>
    <n v="2"/>
    <n v="0"/>
    <x v="0"/>
    <n v="0"/>
  </r>
  <r>
    <n v="8552479"/>
    <x v="0"/>
    <n v="25963393"/>
    <s v="Tarjeta"/>
    <n v="1689243"/>
    <n v="1689243"/>
    <n v="19516"/>
    <n v="30"/>
    <d v="2016-05-31T00:00:00"/>
    <s v="Empresa A"/>
    <n v="3"/>
    <n v="1"/>
    <n v="2"/>
    <n v="0"/>
    <n v="19516"/>
    <x v="2"/>
    <n v="1.1553103964320112E-2"/>
  </r>
  <r>
    <n v="8552611"/>
    <x v="1"/>
    <n v="26725212"/>
    <s v="Tarjeta"/>
    <n v="3100424"/>
    <n v="1526386"/>
    <n v="274768"/>
    <n v="90"/>
    <d v="2016-05-19T00:00:00"/>
    <s v="Empresa B"/>
    <n v="3"/>
    <n v="1"/>
    <n v="2"/>
    <n v="0"/>
    <n v="274768"/>
    <x v="2"/>
    <n v="0.18001213323497464"/>
  </r>
  <r>
    <n v="8552611"/>
    <x v="1"/>
    <n v="27290206"/>
    <s v="Tarjeta"/>
    <n v="3100424"/>
    <n v="1574038"/>
    <n v="1574038"/>
    <n v="120"/>
    <d v="2016-05-19T00:00:00"/>
    <s v="Empresa B"/>
    <n v="3"/>
    <n v="2"/>
    <n v="1"/>
    <n v="1"/>
    <n v="524680"/>
    <x v="3"/>
    <n v="0.33333375687245159"/>
  </r>
  <r>
    <n v="8552858"/>
    <x v="1"/>
    <n v="4734571"/>
    <s v="Tarjeta"/>
    <n v="3271256"/>
    <n v="1068843"/>
    <n v="1068843"/>
    <n v="210"/>
    <d v="2016-03-18T00:00:00"/>
    <s v="Empresa B"/>
    <n v="3"/>
    <n v="1"/>
    <n v="2"/>
    <n v="0"/>
    <n v="0"/>
    <x v="0"/>
    <n v="0"/>
  </r>
  <r>
    <n v="8552858"/>
    <x v="1"/>
    <n v="21710039"/>
    <s v="Tarjeta"/>
    <n v="3271256"/>
    <n v="1261967"/>
    <n v="1261967"/>
    <n v="150"/>
    <d v="2016-05-18T00:00:00"/>
    <s v="Empresa B"/>
    <n v="3"/>
    <n v="0"/>
    <n v="3"/>
    <n v="2"/>
    <n v="0"/>
    <x v="0"/>
    <n v="0"/>
  </r>
  <r>
    <n v="8552858"/>
    <x v="1"/>
    <n v="28584622"/>
    <s v="Tarjeta"/>
    <n v="3271256"/>
    <n v="940446"/>
    <n v="224451"/>
    <n v="60"/>
    <d v="2016-06-03T00:00:00"/>
    <s v="Empresa B"/>
    <n v="3"/>
    <n v="1"/>
    <n v="2"/>
    <n v="1"/>
    <n v="112226"/>
    <x v="1"/>
    <n v="0.11933274212448136"/>
  </r>
  <r>
    <n v="8552898"/>
    <x v="0"/>
    <n v="4715262"/>
    <s v="Tarjeta"/>
    <n v="1501348"/>
    <n v="1501348"/>
    <n v="186479"/>
    <n v="30"/>
    <d v="2016-06-01T00:00:00"/>
    <s v="Empresa C"/>
    <n v="3"/>
    <n v="1"/>
    <n v="2"/>
    <n v="0"/>
    <n v="0"/>
    <x v="0"/>
    <n v="0"/>
  </r>
  <r>
    <n v="8553096"/>
    <x v="0"/>
    <n v="27552740"/>
    <s v="Tarjeta"/>
    <n v="684165"/>
    <n v="684165"/>
    <n v="126883"/>
    <n v="30"/>
    <d v="2016-05-19T00:00:00"/>
    <s v="Empresa C"/>
    <n v="3"/>
    <n v="1"/>
    <n v="2"/>
    <n v="1"/>
    <n v="0"/>
    <x v="0"/>
    <n v="0"/>
  </r>
  <r>
    <n v="8553189"/>
    <x v="1"/>
    <n v="15321950"/>
    <s v="Tarjeta"/>
    <n v="6245681"/>
    <n v="6245681"/>
    <n v="697031"/>
    <n v="30"/>
    <d v="2016-05-31T00:00:00"/>
    <s v="Empresa A"/>
    <n v="3"/>
    <n v="1"/>
    <n v="2"/>
    <n v="0"/>
    <n v="6245681"/>
    <x v="2"/>
    <n v="1"/>
  </r>
  <r>
    <n v="8553292"/>
    <x v="0"/>
    <n v="26038478"/>
    <s v="Tarjeta"/>
    <n v="512218"/>
    <n v="512218"/>
    <n v="1605"/>
    <n v="30"/>
    <d v="2016-06-01T00:00:00"/>
    <s v="Empresa C"/>
    <n v="3"/>
    <n v="0"/>
    <n v="3"/>
    <n v="2"/>
    <n v="803"/>
    <x v="1"/>
    <n v="1.5676918811912115E-3"/>
  </r>
  <r>
    <n v="8553414"/>
    <x v="0"/>
    <n v="16700034"/>
    <s v="Tarjeta"/>
    <n v="4931152"/>
    <n v="2227153"/>
    <n v="1426176"/>
    <n v="240"/>
    <d v="2016-02-28T00:00:00"/>
    <s v="Empresa B"/>
    <n v="3"/>
    <n v="1"/>
    <n v="2"/>
    <n v="1"/>
    <n v="713088"/>
    <x v="1"/>
    <n v="0.32017917044765221"/>
  </r>
  <r>
    <n v="8553666"/>
    <x v="0"/>
    <n v="26377696"/>
    <s v="Tarjeta"/>
    <n v="2125013"/>
    <n v="2125013"/>
    <n v="988632"/>
    <n v="90"/>
    <d v="2016-05-19T00:00:00"/>
    <s v="Empresa C"/>
    <n v="3"/>
    <n v="1"/>
    <n v="2"/>
    <n v="0"/>
    <n v="0"/>
    <x v="0"/>
    <n v="0"/>
  </r>
  <r>
    <n v="8553693"/>
    <x v="2"/>
    <n v="23663051"/>
    <s v="Tarjeta"/>
    <n v="24616164"/>
    <n v="164408"/>
    <n v="164408"/>
    <n v="90"/>
    <d v="2016-05-19T00:00:00"/>
    <s v="Empresa C"/>
    <n v="3"/>
    <n v="1"/>
    <n v="2"/>
    <n v="1"/>
    <n v="164408"/>
    <x v="2"/>
    <n v="1"/>
  </r>
  <r>
    <n v="8553693"/>
    <x v="2"/>
    <n v="23932368"/>
    <s v="Hipotercario"/>
    <n v="24616164"/>
    <n v="24451756"/>
    <n v="316433"/>
    <n v="2"/>
    <d v="2016-06-08T00:00:00"/>
    <s v="Empresa C"/>
    <n v="3"/>
    <n v="1"/>
    <n v="2"/>
    <n v="0"/>
    <n v="0"/>
    <x v="0"/>
    <n v="0"/>
  </r>
  <r>
    <n v="8553743"/>
    <x v="0"/>
    <n v="20545144"/>
    <s v="Tarjeta"/>
    <n v="2629154"/>
    <n v="1001397"/>
    <n v="1001397"/>
    <n v="180"/>
    <d v="2016-05-01T00:00:00"/>
    <s v="Empresa B"/>
    <n v="3"/>
    <n v="0"/>
    <n v="3"/>
    <n v="2"/>
    <n v="333799"/>
    <x v="3"/>
    <n v="0.33333333333333331"/>
  </r>
  <r>
    <n v="8553743"/>
    <x v="0"/>
    <n v="21877122"/>
    <s v="Vehiculo"/>
    <n v="2629154"/>
    <n v="1627757"/>
    <n v="1632056"/>
    <n v="310"/>
    <d v="2016-04-28T00:00:00"/>
    <s v="Empresa B"/>
    <n v="3"/>
    <n v="1"/>
    <n v="2"/>
    <n v="1"/>
    <n v="0"/>
    <x v="0"/>
    <n v="0"/>
  </r>
  <r>
    <n v="8554278"/>
    <x v="0"/>
    <n v="20987702"/>
    <s v="Tarjeta"/>
    <n v="2039490"/>
    <n v="2039490"/>
    <n v="261696"/>
    <n v="30"/>
    <d v="2016-05-31T00:00:00"/>
    <s v="Empresa A"/>
    <n v="3"/>
    <n v="1"/>
    <n v="2"/>
    <n v="0"/>
    <n v="130848"/>
    <x v="1"/>
    <n v="6.4157215774531873E-2"/>
  </r>
  <r>
    <n v="8554397"/>
    <x v="0"/>
    <n v="28146964"/>
    <s v="Tarjeta"/>
    <n v="705544"/>
    <n v="705544"/>
    <n v="124443"/>
    <n v="30"/>
    <d v="2016-05-31T00:00:00"/>
    <s v="Empresa A"/>
    <n v="3"/>
    <n v="1"/>
    <n v="2"/>
    <n v="1"/>
    <n v="0"/>
    <x v="0"/>
    <n v="0"/>
  </r>
  <r>
    <n v="8554529"/>
    <x v="0"/>
    <n v="27523507"/>
    <s v="Tarjeta"/>
    <n v="5255044"/>
    <n v="5255044"/>
    <n v="507792"/>
    <n v="30"/>
    <d v="2016-05-19T00:00:00"/>
    <s v="Empresa C"/>
    <n v="3"/>
    <n v="2"/>
    <n v="1"/>
    <n v="0"/>
    <n v="5255044"/>
    <x v="2"/>
    <n v="1"/>
  </r>
  <r>
    <n v="8554929"/>
    <x v="0"/>
    <n v="26813424"/>
    <s v="Tarjeta"/>
    <n v="673774"/>
    <n v="673774"/>
    <n v="29648"/>
    <n v="30"/>
    <d v="2016-05-18T00:00:00"/>
    <s v="Empresa C"/>
    <n v="3"/>
    <n v="1"/>
    <n v="2"/>
    <n v="1"/>
    <n v="0"/>
    <x v="0"/>
    <n v="0"/>
  </r>
  <r>
    <n v="8554952"/>
    <x v="0"/>
    <n v="14370932"/>
    <s v="Tarjeta"/>
    <n v="4960503"/>
    <n v="4960503"/>
    <n v="4960503"/>
    <n v="210"/>
    <d v="2016-04-02T00:00:00"/>
    <s v="Empresa B"/>
    <n v="3"/>
    <n v="0"/>
    <n v="3"/>
    <n v="1"/>
    <n v="0"/>
    <x v="0"/>
    <n v="0"/>
  </r>
  <r>
    <n v="8555181"/>
    <x v="2"/>
    <n v="28267368"/>
    <s v="Tarjeta"/>
    <n v="37338014"/>
    <n v="5513966"/>
    <n v="296881"/>
    <n v="30"/>
    <d v="2016-06-01T00:00:00"/>
    <s v="Empresa C"/>
    <n v="3"/>
    <n v="1"/>
    <n v="2"/>
    <n v="1"/>
    <n v="296881"/>
    <x v="2"/>
    <n v="5.3841645015584062E-2"/>
  </r>
  <r>
    <n v="8555188"/>
    <x v="0"/>
    <n v="23486645"/>
    <s v="Tarjeta"/>
    <n v="745020"/>
    <n v="372510"/>
    <n v="200401"/>
    <n v="60"/>
    <d v="2016-06-03T00:00:00"/>
    <s v="Empresa C"/>
    <n v="3"/>
    <n v="1"/>
    <n v="2"/>
    <n v="1"/>
    <n v="0"/>
    <x v="0"/>
    <n v="0"/>
  </r>
  <r>
    <n v="8555305"/>
    <x v="0"/>
    <n v="21346506"/>
    <s v="Tarjeta"/>
    <n v="2757854"/>
    <n v="1481429"/>
    <n v="1481076"/>
    <n v="360"/>
    <d v="2016-04-27T00:00:00"/>
    <s v="Empresa B"/>
    <n v="3"/>
    <n v="1"/>
    <n v="2"/>
    <n v="0"/>
    <n v="740538"/>
    <x v="1"/>
    <n v="0.49988085827940454"/>
  </r>
  <r>
    <n v="8555315"/>
    <x v="1"/>
    <n v="26673640"/>
    <s v="Tarjeta"/>
    <n v="19765410"/>
    <n v="10430877"/>
    <n v="7806"/>
    <n v="30"/>
    <d v="2016-05-31T00:00:00"/>
    <s v="Empresa A"/>
    <n v="3"/>
    <n v="1"/>
    <n v="2"/>
    <n v="1"/>
    <n v="0"/>
    <x v="0"/>
    <n v="0"/>
  </r>
  <r>
    <n v="8555342"/>
    <x v="0"/>
    <n v="25416050"/>
    <s v="Tarjeta"/>
    <n v="1054348"/>
    <n v="1054348"/>
    <n v="164685"/>
    <n v="30"/>
    <d v="2016-05-31T00:00:00"/>
    <s v="Empresa A"/>
    <n v="3"/>
    <n v="0"/>
    <n v="3"/>
    <n v="1"/>
    <n v="0"/>
    <x v="0"/>
    <n v="0"/>
  </r>
  <r>
    <n v="8555675"/>
    <x v="1"/>
    <n v="14868002"/>
    <s v="Tarjeta"/>
    <n v="4582694"/>
    <n v="2292174"/>
    <n v="250661"/>
    <n v="30"/>
    <d v="2016-05-31T00:00:00"/>
    <s v="Empresa A"/>
    <n v="3"/>
    <n v="1"/>
    <n v="2"/>
    <n v="1"/>
    <n v="83553"/>
    <x v="3"/>
    <n v="3.6451421227184325E-2"/>
  </r>
  <r>
    <n v="8555675"/>
    <x v="1"/>
    <n v="28583654"/>
    <s v="Tarjeta"/>
    <n v="4582694"/>
    <n v="2290520"/>
    <n v="249006"/>
    <n v="30"/>
    <d v="2016-06-02T00:00:00"/>
    <s v="Empresa A"/>
    <n v="3"/>
    <n v="1"/>
    <n v="2"/>
    <n v="1"/>
    <n v="0"/>
    <x v="0"/>
    <n v="0"/>
  </r>
  <r>
    <n v="8555736"/>
    <x v="0"/>
    <n v="25460723"/>
    <s v="Tarjeta"/>
    <n v="3903938"/>
    <n v="1324346"/>
    <n v="538022"/>
    <n v="60"/>
    <d v="2016-06-03T00:00:00"/>
    <s v="Empresa C"/>
    <n v="3"/>
    <n v="1"/>
    <n v="2"/>
    <n v="0"/>
    <n v="0"/>
    <x v="0"/>
    <n v="0"/>
  </r>
  <r>
    <n v="8555791"/>
    <x v="0"/>
    <n v="25874889"/>
    <s v="Tarjeta"/>
    <n v="3270392"/>
    <n v="1857085"/>
    <n v="290917"/>
    <n v="90"/>
    <d v="2016-05-18T00:00:00"/>
    <s v="Empresa C"/>
    <n v="3"/>
    <n v="1"/>
    <n v="2"/>
    <n v="1"/>
    <n v="145458"/>
    <x v="1"/>
    <n v="7.8325978617026143E-2"/>
  </r>
  <r>
    <n v="8555825"/>
    <x v="0"/>
    <n v="23416027"/>
    <s v="Tarjeta"/>
    <n v="190146"/>
    <n v="190146"/>
    <n v="8041"/>
    <n v="30"/>
    <d v="2016-05-18T00:00:00"/>
    <s v="Empresa C"/>
    <n v="3"/>
    <n v="0"/>
    <n v="3"/>
    <n v="1"/>
    <n v="8041"/>
    <x v="2"/>
    <n v="4.228855721393035E-2"/>
  </r>
  <r>
    <n v="8555868"/>
    <x v="0"/>
    <n v="10788626"/>
    <s v="Tarjeta"/>
    <n v="561005"/>
    <n v="561005"/>
    <n v="7806"/>
    <n v="30"/>
    <d v="2016-05-31T00:00:00"/>
    <s v="Empresa A"/>
    <n v="3"/>
    <n v="1"/>
    <n v="2"/>
    <n v="1"/>
    <n v="7806"/>
    <x v="2"/>
    <n v="1.3914314489175676E-2"/>
  </r>
  <r>
    <n v="8556030"/>
    <x v="2"/>
    <n v="19681511"/>
    <s v="Consumo"/>
    <n v="24438272"/>
    <n v="9974138"/>
    <n v="2287209"/>
    <n v="77"/>
    <d v="2016-05-21T00:00:00"/>
    <s v="Empresa C"/>
    <n v="3"/>
    <n v="1"/>
    <n v="2"/>
    <n v="1"/>
    <n v="0"/>
    <x v="0"/>
    <n v="0"/>
  </r>
  <r>
    <n v="8556030"/>
    <x v="2"/>
    <n v="24292654"/>
    <s v="Tarjeta"/>
    <n v="24438272"/>
    <n v="7600362"/>
    <n v="1646381"/>
    <n v="60"/>
    <d v="2016-05-21T00:00:00"/>
    <s v="Empresa C"/>
    <n v="3"/>
    <n v="1"/>
    <n v="2"/>
    <n v="0"/>
    <n v="823190"/>
    <x v="1"/>
    <n v="0.10830931474053472"/>
  </r>
  <r>
    <n v="8556030"/>
    <x v="2"/>
    <n v="26488898"/>
    <s v="Consumo"/>
    <n v="24438272"/>
    <n v="6863771"/>
    <n v="578837"/>
    <n v="16"/>
    <d v="2016-05-24T00:00:00"/>
    <s v="Empresa C"/>
    <n v="3"/>
    <n v="2"/>
    <n v="1"/>
    <n v="1"/>
    <n v="0"/>
    <x v="0"/>
    <n v="0"/>
  </r>
  <r>
    <n v="8556391"/>
    <x v="1"/>
    <n v="23249256"/>
    <s v="Tarjeta"/>
    <n v="3742981"/>
    <n v="1900905"/>
    <n v="610552"/>
    <n v="60"/>
    <d v="2016-05-01T00:00:00"/>
    <s v="Empresa C"/>
    <n v="3"/>
    <n v="1"/>
    <n v="2"/>
    <n v="0"/>
    <n v="0"/>
    <x v="0"/>
    <n v="0"/>
  </r>
  <r>
    <n v="8556391"/>
    <x v="1"/>
    <n v="28582736"/>
    <s v="Tarjeta"/>
    <n v="3742981"/>
    <n v="1842076"/>
    <n v="259560"/>
    <n v="30"/>
    <d v="2016-06-02T00:00:00"/>
    <s v="Empresa C"/>
    <n v="3"/>
    <n v="0"/>
    <n v="3"/>
    <n v="1"/>
    <n v="259560"/>
    <x v="2"/>
    <n v="0.14090623839624425"/>
  </r>
  <r>
    <n v="8556426"/>
    <x v="0"/>
    <n v="1709105"/>
    <s v="Tarjeta"/>
    <n v="2634634"/>
    <n v="2634634"/>
    <n v="33527"/>
    <n v="30"/>
    <d v="2016-05-31T00:00:00"/>
    <s v="Empresa B"/>
    <n v="3"/>
    <n v="1"/>
    <n v="2"/>
    <n v="2"/>
    <n v="0"/>
    <x v="0"/>
    <n v="0"/>
  </r>
  <r>
    <n v="8556428"/>
    <x v="0"/>
    <n v="2953804"/>
    <s v="Tarjeta"/>
    <n v="669576"/>
    <n v="669576"/>
    <n v="110091"/>
    <n v="30"/>
    <d v="2016-05-18T00:00:00"/>
    <s v="Empresa C"/>
    <n v="3"/>
    <n v="1"/>
    <n v="2"/>
    <n v="0"/>
    <n v="0"/>
    <x v="0"/>
    <n v="0"/>
  </r>
  <r>
    <n v="8556457"/>
    <x v="1"/>
    <n v="27019597"/>
    <s v="Tarjeta"/>
    <n v="5140997"/>
    <n v="2623329"/>
    <n v="397173"/>
    <n v="30"/>
    <d v="2016-05-18T00:00:00"/>
    <s v="Empresa C"/>
    <n v="3"/>
    <n v="1"/>
    <n v="2"/>
    <n v="1"/>
    <n v="0"/>
    <x v="0"/>
    <n v="0"/>
  </r>
  <r>
    <n v="8556457"/>
    <x v="1"/>
    <n v="27021386"/>
    <s v="Tarjeta"/>
    <n v="5140997"/>
    <n v="2517668"/>
    <n v="156498"/>
    <n v="30"/>
    <d v="2016-05-19T00:00:00"/>
    <s v="Empresa C"/>
    <n v="3"/>
    <n v="1"/>
    <n v="2"/>
    <n v="0"/>
    <n v="78249"/>
    <x v="1"/>
    <n v="3.107995176488719E-2"/>
  </r>
  <r>
    <n v="8556636"/>
    <x v="0"/>
    <n v="20095662"/>
    <s v="Tarjeta"/>
    <n v="2190923"/>
    <n v="2120110"/>
    <n v="163849"/>
    <n v="30"/>
    <d v="2016-05-31T00:00:00"/>
    <s v="Empresa A"/>
    <n v="3"/>
    <n v="0"/>
    <n v="3"/>
    <n v="1"/>
    <n v="0"/>
    <x v="0"/>
    <n v="0"/>
  </r>
  <r>
    <n v="8556668"/>
    <x v="0"/>
    <n v="23262163"/>
    <s v="Tarjeta"/>
    <n v="484484"/>
    <n v="484484"/>
    <n v="78256"/>
    <n v="30"/>
    <d v="2016-05-31T00:00:00"/>
    <s v="Empresa A"/>
    <n v="3"/>
    <n v="1"/>
    <n v="2"/>
    <n v="2"/>
    <n v="78256"/>
    <x v="2"/>
    <n v="0.1615244259872359"/>
  </r>
  <r>
    <n v="8556848"/>
    <x v="0"/>
    <n v="27485416"/>
    <s v="Tarjeta"/>
    <n v="2740026"/>
    <n v="2740026"/>
    <n v="79598"/>
    <n v="30"/>
    <d v="2016-05-19T00:00:00"/>
    <s v="Empresa C"/>
    <n v="3"/>
    <n v="1"/>
    <n v="2"/>
    <n v="0"/>
    <n v="0"/>
    <x v="0"/>
    <n v="0"/>
  </r>
  <r>
    <n v="8556862"/>
    <x v="0"/>
    <n v="21386184"/>
    <s v="Tarjeta"/>
    <n v="2412441"/>
    <n v="633420"/>
    <n v="201902"/>
    <n v="60"/>
    <d v="2016-04-30T00:00:00"/>
    <s v="Empresa C"/>
    <n v="3"/>
    <n v="1"/>
    <n v="2"/>
    <n v="1"/>
    <n v="0"/>
    <x v="0"/>
    <n v="0"/>
  </r>
  <r>
    <n v="8556874"/>
    <x v="0"/>
    <n v="22431746"/>
    <s v="Tarjeta"/>
    <n v="4793058"/>
    <n v="1463036"/>
    <n v="7706"/>
    <n v="30"/>
    <d v="2016-05-31T00:00:00"/>
    <s v="Empresa A"/>
    <n v="3"/>
    <n v="1"/>
    <n v="2"/>
    <n v="0"/>
    <n v="3853"/>
    <x v="1"/>
    <n v="2.6335647243130038E-3"/>
  </r>
  <r>
    <n v="8556971"/>
    <x v="0"/>
    <n v="23736047"/>
    <s v="Tarjeta"/>
    <n v="1042103"/>
    <n v="456247"/>
    <n v="44920"/>
    <n v="30"/>
    <d v="2016-05-31T00:00:00"/>
    <s v="Empresa A"/>
    <n v="3"/>
    <n v="0"/>
    <n v="3"/>
    <n v="1"/>
    <n v="0"/>
    <x v="0"/>
    <n v="0"/>
  </r>
  <r>
    <n v="8557015"/>
    <x v="0"/>
    <n v="27004164"/>
    <s v="Tarjeta"/>
    <n v="904862"/>
    <n v="904862"/>
    <n v="904862"/>
    <n v="120"/>
    <d v="2016-05-18T00:00:00"/>
    <s v="Empresa B"/>
    <n v="3"/>
    <n v="1"/>
    <n v="2"/>
    <n v="2"/>
    <n v="904862"/>
    <x v="2"/>
    <n v="1"/>
  </r>
  <r>
    <n v="8557036"/>
    <x v="0"/>
    <n v="26395640"/>
    <s v="Tarjeta"/>
    <n v="1465149"/>
    <n v="1465149"/>
    <n v="130713"/>
    <n v="30"/>
    <d v="2016-05-19T00:00:00"/>
    <s v="Empresa C"/>
    <n v="3"/>
    <n v="1"/>
    <n v="2"/>
    <n v="0"/>
    <n v="0"/>
    <x v="0"/>
    <n v="0"/>
  </r>
  <r>
    <n v="8557297"/>
    <x v="1"/>
    <n v="25845100"/>
    <s v="Tarjeta"/>
    <n v="4451292"/>
    <n v="3105633"/>
    <n v="440616"/>
    <n v="30"/>
    <d v="2016-05-18T00:00:00"/>
    <s v="Empresa C"/>
    <n v="3"/>
    <n v="1"/>
    <n v="2"/>
    <n v="1"/>
    <n v="146872"/>
    <x v="3"/>
    <n v="4.7292130139008695E-2"/>
  </r>
  <r>
    <n v="8557297"/>
    <x v="1"/>
    <n v="25846718"/>
    <s v="Tarjeta"/>
    <n v="4451292"/>
    <n v="1345660"/>
    <n v="220535"/>
    <n v="30"/>
    <d v="2016-05-19T00:00:00"/>
    <s v="Empresa C"/>
    <n v="3"/>
    <n v="2"/>
    <n v="1"/>
    <n v="0"/>
    <n v="0"/>
    <x v="0"/>
    <n v="0"/>
  </r>
  <r>
    <n v="8557743"/>
    <x v="1"/>
    <n v="23790214"/>
    <s v="Consumo"/>
    <n v="4096875"/>
    <n v="2441202"/>
    <n v="356785"/>
    <n v="90"/>
    <d v="2016-05-07T00:00:00"/>
    <s v="Empresa C"/>
    <n v="3"/>
    <n v="1"/>
    <n v="2"/>
    <n v="0"/>
    <n v="0"/>
    <x v="0"/>
    <n v="0"/>
  </r>
  <r>
    <n v="8557743"/>
    <x v="1"/>
    <n v="25042402"/>
    <s v="Tarjeta"/>
    <n v="4096875"/>
    <n v="1655673"/>
    <n v="1655673"/>
    <n v="360"/>
    <d v="2016-03-14T00:00:00"/>
    <s v="Empresa C"/>
    <n v="3"/>
    <n v="0"/>
    <n v="3"/>
    <n v="2"/>
    <n v="827836"/>
    <x v="1"/>
    <n v="0.49999969800800037"/>
  </r>
  <r>
    <n v="8557752"/>
    <x v="0"/>
    <n v="22994170"/>
    <s v="Tarjeta"/>
    <n v="3186964"/>
    <n v="694509"/>
    <n v="76741"/>
    <n v="30"/>
    <d v="2016-05-18T00:00:00"/>
    <s v="Empresa C"/>
    <n v="3"/>
    <n v="1"/>
    <n v="2"/>
    <n v="1"/>
    <n v="0"/>
    <x v="0"/>
    <n v="0"/>
  </r>
  <r>
    <n v="8557907"/>
    <x v="0"/>
    <n v="16361629"/>
    <s v="Tarjeta"/>
    <n v="1381756"/>
    <n v="142033"/>
    <n v="34585"/>
    <n v="30"/>
    <d v="2016-05-28T00:00:00"/>
    <s v="Empresa C"/>
    <n v="3"/>
    <n v="1"/>
    <n v="2"/>
    <n v="1"/>
    <n v="0"/>
    <x v="0"/>
    <n v="0"/>
  </r>
  <r>
    <n v="8557907"/>
    <x v="0"/>
    <n v="16362152"/>
    <s v="Tarjeta"/>
    <n v="1381756"/>
    <n v="920197"/>
    <n v="86491"/>
    <n v="30"/>
    <d v="2016-05-19T00:00:00"/>
    <s v="Empresa C"/>
    <n v="3"/>
    <n v="1"/>
    <n v="2"/>
    <n v="0"/>
    <n v="28831"/>
    <x v="3"/>
    <n v="3.1331334485985067E-2"/>
  </r>
  <r>
    <n v="8557907"/>
    <x v="0"/>
    <n v="16363686"/>
    <s v="Tarjeta"/>
    <n v="1381756"/>
    <n v="319525"/>
    <n v="10954"/>
    <n v="30"/>
    <d v="2016-05-18T00:00:00"/>
    <s v="Empresa C"/>
    <n v="3"/>
    <n v="1"/>
    <n v="2"/>
    <n v="0"/>
    <n v="0"/>
    <x v="0"/>
    <n v="0"/>
  </r>
  <r>
    <n v="8557916"/>
    <x v="0"/>
    <n v="26218300"/>
    <s v="Tarjeta"/>
    <n v="458930"/>
    <n v="458930"/>
    <n v="108934"/>
    <n v="30"/>
    <d v="2016-05-31T00:00:00"/>
    <s v="Empresa A"/>
    <n v="3"/>
    <n v="0"/>
    <n v="3"/>
    <n v="2"/>
    <n v="0"/>
    <x v="0"/>
    <n v="0"/>
  </r>
  <r>
    <n v="8557950"/>
    <x v="0"/>
    <n v="20970930"/>
    <s v="Tarjeta"/>
    <n v="2044550"/>
    <n v="126022"/>
    <n v="31426"/>
    <n v="60"/>
    <d v="2016-05-01T00:00:00"/>
    <s v="Empresa C"/>
    <n v="3"/>
    <n v="1"/>
    <n v="2"/>
    <n v="1"/>
    <n v="0"/>
    <x v="0"/>
    <n v="0"/>
  </r>
  <r>
    <n v="8558072"/>
    <x v="0"/>
    <n v="4392423"/>
    <s v="Tarjeta"/>
    <n v="2632657"/>
    <n v="1802173"/>
    <n v="36158"/>
    <n v="30"/>
    <d v="2016-05-31T00:00:00"/>
    <s v="Empresa A"/>
    <n v="3"/>
    <n v="1"/>
    <n v="2"/>
    <n v="1"/>
    <n v="36158"/>
    <x v="2"/>
    <n v="2.0063556606385737E-2"/>
  </r>
  <r>
    <n v="8558124"/>
    <x v="0"/>
    <n v="26976651"/>
    <s v="Tarjeta"/>
    <n v="917344"/>
    <n v="917344"/>
    <n v="528039"/>
    <n v="30"/>
    <d v="2016-05-31T00:00:00"/>
    <s v="Empresa A"/>
    <n v="3"/>
    <n v="1"/>
    <n v="2"/>
    <n v="0"/>
    <n v="917344"/>
    <x v="2"/>
    <n v="1"/>
  </r>
  <r>
    <n v="8558363"/>
    <x v="0"/>
    <n v="21516779"/>
    <s v="Tarjeta"/>
    <n v="931250"/>
    <n v="23946"/>
    <n v="22970"/>
    <n v="60"/>
    <d v="2016-04-20T00:00:00"/>
    <s v="Empresa C"/>
    <n v="3"/>
    <n v="1"/>
    <n v="2"/>
    <n v="0"/>
    <n v="0"/>
    <x v="0"/>
    <n v="0"/>
  </r>
  <r>
    <n v="8558454"/>
    <x v="0"/>
    <n v="20952780"/>
    <s v="Tarjeta"/>
    <n v="1720116"/>
    <n v="1720116"/>
    <n v="49175"/>
    <n v="30"/>
    <d v="2016-06-01T00:00:00"/>
    <s v="Empresa C"/>
    <n v="3"/>
    <n v="0"/>
    <n v="3"/>
    <n v="2"/>
    <n v="0"/>
    <x v="0"/>
    <n v="0"/>
  </r>
  <r>
    <n v="8558498"/>
    <x v="0"/>
    <n v="23317795"/>
    <s v="Tarjeta"/>
    <n v="1289853"/>
    <n v="1289853"/>
    <n v="284489"/>
    <n v="90"/>
    <d v="2016-05-18T00:00:00"/>
    <s v="Empresa C"/>
    <n v="3"/>
    <n v="1"/>
    <n v="2"/>
    <n v="1"/>
    <n v="284489"/>
    <x v="2"/>
    <n v="0.22055924202215291"/>
  </r>
  <r>
    <n v="8558545"/>
    <x v="2"/>
    <n v="23658040"/>
    <s v="Tarjeta"/>
    <n v="15969422"/>
    <n v="1066840"/>
    <n v="538676"/>
    <n v="90"/>
    <d v="2016-06-03T00:00:00"/>
    <s v="Empresa C"/>
    <n v="3"/>
    <n v="1"/>
    <n v="2"/>
    <n v="1"/>
    <n v="538676"/>
    <x v="2"/>
    <n v="0.5049266994113456"/>
  </r>
  <r>
    <n v="8558545"/>
    <x v="2"/>
    <n v="23658178"/>
    <s v="Tarjeta"/>
    <n v="15969422"/>
    <n v="2182093"/>
    <n v="531379"/>
    <n v="90"/>
    <d v="2016-05-29T00:00:00"/>
    <s v="Empresa C"/>
    <n v="3"/>
    <n v="1"/>
    <n v="2"/>
    <n v="0"/>
    <n v="0"/>
    <x v="0"/>
    <n v="0"/>
  </r>
  <r>
    <n v="8558545"/>
    <x v="2"/>
    <n v="26572022"/>
    <s v="Micro credito"/>
    <n v="15969422"/>
    <n v="11653650"/>
    <n v="1212100"/>
    <n v="32"/>
    <d v="2016-05-29T00:00:00"/>
    <s v="Empresa C"/>
    <n v="3"/>
    <n v="2"/>
    <n v="1"/>
    <n v="0"/>
    <n v="1212100"/>
    <x v="2"/>
    <n v="0.1040103315270323"/>
  </r>
  <r>
    <n v="8558545"/>
    <x v="2"/>
    <n v="28583662"/>
    <s v="Tarjeta"/>
    <n v="15969422"/>
    <n v="1066840"/>
    <n v="538676"/>
    <n v="90"/>
    <d v="2016-06-02T00:00:00"/>
    <s v="Empresa C"/>
    <n v="3"/>
    <n v="1"/>
    <n v="2"/>
    <n v="1"/>
    <n v="1066840"/>
    <x v="2"/>
    <n v="1"/>
  </r>
  <r>
    <n v="8558638"/>
    <x v="1"/>
    <n v="25961154"/>
    <s v="Tarjeta"/>
    <n v="3687302"/>
    <n v="360719"/>
    <n v="75854"/>
    <n v="30"/>
    <d v="2016-05-18T00:00:00"/>
    <s v="Empresa C"/>
    <n v="3"/>
    <n v="0"/>
    <n v="3"/>
    <n v="1"/>
    <n v="360719"/>
    <x v="2"/>
    <n v="1"/>
  </r>
  <r>
    <n v="8558638"/>
    <x v="1"/>
    <n v="25962746"/>
    <s v="Tarjeta"/>
    <n v="3687302"/>
    <n v="124370"/>
    <n v="21760"/>
    <n v="30"/>
    <d v="2016-05-19T00:00:00"/>
    <s v="Empresa C"/>
    <n v="3"/>
    <n v="1"/>
    <n v="2"/>
    <n v="2"/>
    <n v="21760"/>
    <x v="2"/>
    <n v="0.17496180750984963"/>
  </r>
  <r>
    <n v="8558638"/>
    <x v="1"/>
    <n v="25963644"/>
    <s v="Tarjeta"/>
    <n v="3687302"/>
    <n v="1086116"/>
    <n v="140128"/>
    <n v="30"/>
    <d v="2016-05-18T00:00:00"/>
    <s v="Empresa C"/>
    <n v="3"/>
    <n v="1"/>
    <n v="2"/>
    <n v="0"/>
    <n v="70064"/>
    <x v="1"/>
    <n v="6.4508763336512856E-2"/>
  </r>
  <r>
    <n v="8558664"/>
    <x v="1"/>
    <n v="16084697"/>
    <s v="Tarjeta"/>
    <n v="4779140"/>
    <n v="910114"/>
    <n v="121857"/>
    <n v="30"/>
    <d v="2016-05-18T00:00:00"/>
    <s v="Empresa C"/>
    <n v="3"/>
    <n v="1"/>
    <n v="2"/>
    <n v="0"/>
    <n v="0"/>
    <x v="0"/>
    <n v="0"/>
  </r>
  <r>
    <n v="8558664"/>
    <x v="1"/>
    <n v="20541812"/>
    <s v="Tarjeta"/>
    <n v="4779140"/>
    <n v="1722950"/>
    <n v="226652"/>
    <n v="30"/>
    <d v="2016-05-18T00:00:00"/>
    <s v="Empresa C"/>
    <n v="3"/>
    <n v="1"/>
    <n v="2"/>
    <n v="1"/>
    <n v="0"/>
    <x v="0"/>
    <n v="0"/>
  </r>
  <r>
    <n v="8558900"/>
    <x v="0"/>
    <n v="25301860"/>
    <s v="Tarjeta"/>
    <n v="5271255"/>
    <n v="2707230"/>
    <n v="109945"/>
    <n v="30"/>
    <d v="2016-05-31T00:00:00"/>
    <s v="Empresa A"/>
    <n v="3"/>
    <n v="0"/>
    <n v="3"/>
    <n v="1"/>
    <n v="36649"/>
    <x v="3"/>
    <n v="1.3537453411789911E-2"/>
  </r>
  <r>
    <n v="8559026"/>
    <x v="2"/>
    <n v="25923877"/>
    <s v="Sobregiro"/>
    <n v="30064054"/>
    <n v="944084"/>
    <n v="944084"/>
    <n v="68"/>
    <d v="2016-04-17T00:00:00"/>
    <s v="Empresa B"/>
    <n v="3"/>
    <n v="1"/>
    <n v="2"/>
    <n v="2"/>
    <n v="472042"/>
    <x v="1"/>
    <n v="0.5"/>
  </r>
  <r>
    <n v="8559026"/>
    <x v="2"/>
    <n v="25934012"/>
    <s v="Consumo"/>
    <n v="30064054"/>
    <n v="17725202"/>
    <n v="1447899"/>
    <n v="20"/>
    <d v="2016-05-20T00:00:00"/>
    <s v="Empresa B"/>
    <n v="3"/>
    <n v="1"/>
    <n v="2"/>
    <n v="0"/>
    <n v="723950"/>
    <x v="1"/>
    <n v="4.0842976006705028E-2"/>
  </r>
  <r>
    <n v="8559026"/>
    <x v="2"/>
    <n v="25942733"/>
    <s v="Tarjeta"/>
    <n v="30064054"/>
    <n v="2071620"/>
    <n v="537367"/>
    <n v="60"/>
    <d v="2016-04-20T00:00:00"/>
    <s v="Empresa B"/>
    <n v="3"/>
    <n v="1"/>
    <n v="2"/>
    <n v="0"/>
    <n v="0"/>
    <x v="0"/>
    <n v="0"/>
  </r>
  <r>
    <m/>
    <x v="3"/>
    <m/>
    <m/>
    <m/>
    <m/>
    <m/>
    <m/>
    <m/>
    <m/>
    <m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59E28-7F05-4A38-BD3B-3B243CB6805C}" name="TablaDinámica9" cacheId="9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Recaud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D028E-EE54-405E-9C95-693E30FD681F}" name="TablaDinámica12" cacheId="10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8" firstHeaderRow="1" firstDataRow="2" firstDataCol="1"/>
  <pivotFields count="17">
    <pivotField showAll="0"/>
    <pivotField axis="axisRow" showAll="0">
      <items count="5">
        <item x="0"/>
        <item x="1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2"/>
        <item x="1"/>
        <item x="0"/>
        <item x="4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agare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3D3F-6206-43A7-9C95-2B5CD90B37F9}">
  <dimension ref="A3:B7"/>
  <sheetViews>
    <sheetView workbookViewId="0">
      <selection activeCell="A6" sqref="A4:A6"/>
      <pivotSelection pane="bottomRight" showHeader="1" axis="axisRow" activeRow="5" previousRow="5" click="1" r:id="rId1">
        <pivotArea dataOnly="0" labelOnly="1" fieldPosition="0">
          <references count="1">
            <reference field="9" count="0"/>
          </references>
        </pivotArea>
      </pivotSelection>
    </sheetView>
  </sheetViews>
  <sheetFormatPr baseColWidth="10" defaultRowHeight="15" x14ac:dyDescent="0.25"/>
  <cols>
    <col min="1" max="1" width="17.5703125" bestFit="1" customWidth="1"/>
    <col min="2" max="2" width="16.7109375" bestFit="1" customWidth="1"/>
  </cols>
  <sheetData>
    <row r="3" spans="1:2" x14ac:dyDescent="0.25">
      <c r="A3" s="4" t="s">
        <v>51</v>
      </c>
      <c r="B3" t="s">
        <v>53</v>
      </c>
    </row>
    <row r="4" spans="1:2" x14ac:dyDescent="0.25">
      <c r="A4" s="5" t="s">
        <v>4</v>
      </c>
      <c r="B4" s="6">
        <v>42202097</v>
      </c>
    </row>
    <row r="5" spans="1:2" x14ac:dyDescent="0.25">
      <c r="A5" s="5" t="s">
        <v>5</v>
      </c>
      <c r="B5" s="6">
        <v>163457634</v>
      </c>
    </row>
    <row r="6" spans="1:2" x14ac:dyDescent="0.25">
      <c r="A6" s="5" t="s">
        <v>6</v>
      </c>
      <c r="B6" s="6">
        <v>212344413</v>
      </c>
    </row>
    <row r="7" spans="1:2" x14ac:dyDescent="0.25">
      <c r="A7" s="5" t="s">
        <v>52</v>
      </c>
      <c r="B7" s="6">
        <v>418004144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C8B6-BFCE-4503-8A7A-585EAD50B678}">
  <dimension ref="A3:F8"/>
  <sheetViews>
    <sheetView workbookViewId="0">
      <selection activeCell="K18" sqref="K18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3.7109375" bestFit="1" customWidth="1"/>
    <col min="4" max="4" width="13" bestFit="1" customWidth="1"/>
    <col min="5" max="5" width="11.85546875" bestFit="1" customWidth="1"/>
    <col min="6" max="7" width="12.5703125" bestFit="1" customWidth="1"/>
  </cols>
  <sheetData>
    <row r="3" spans="1:6" x14ac:dyDescent="0.25">
      <c r="A3" s="4" t="s">
        <v>59</v>
      </c>
      <c r="B3" s="4" t="s">
        <v>55</v>
      </c>
    </row>
    <row r="4" spans="1:6" x14ac:dyDescent="0.25">
      <c r="A4" s="4" t="s">
        <v>51</v>
      </c>
      <c r="B4" t="s">
        <v>56</v>
      </c>
      <c r="C4" t="s">
        <v>57</v>
      </c>
      <c r="D4" t="s">
        <v>58</v>
      </c>
      <c r="E4" t="s">
        <v>50</v>
      </c>
      <c r="F4" t="s">
        <v>52</v>
      </c>
    </row>
    <row r="5" spans="1:6" x14ac:dyDescent="0.25">
      <c r="A5" s="5" t="s">
        <v>18</v>
      </c>
      <c r="B5" s="6">
        <v>42</v>
      </c>
      <c r="C5" s="6">
        <v>122</v>
      </c>
      <c r="D5" s="6">
        <v>59</v>
      </c>
      <c r="E5" s="6">
        <v>235</v>
      </c>
      <c r="F5" s="6">
        <v>458</v>
      </c>
    </row>
    <row r="6" spans="1:6" x14ac:dyDescent="0.25">
      <c r="A6" s="5" t="s">
        <v>17</v>
      </c>
      <c r="B6" s="6">
        <v>30</v>
      </c>
      <c r="C6" s="6">
        <v>79</v>
      </c>
      <c r="D6" s="6">
        <v>40</v>
      </c>
      <c r="E6" s="6">
        <v>146</v>
      </c>
      <c r="F6" s="6">
        <v>295</v>
      </c>
    </row>
    <row r="7" spans="1:6" x14ac:dyDescent="0.25">
      <c r="A7" s="5" t="s">
        <v>16</v>
      </c>
      <c r="B7" s="6">
        <v>16</v>
      </c>
      <c r="C7" s="6">
        <v>74</v>
      </c>
      <c r="D7" s="6">
        <v>37</v>
      </c>
      <c r="E7" s="6">
        <v>90</v>
      </c>
      <c r="F7" s="6">
        <v>217</v>
      </c>
    </row>
    <row r="8" spans="1:6" x14ac:dyDescent="0.25">
      <c r="A8" s="5" t="s">
        <v>52</v>
      </c>
      <c r="B8" s="6">
        <v>88</v>
      </c>
      <c r="C8" s="6">
        <v>275</v>
      </c>
      <c r="D8" s="6">
        <v>136</v>
      </c>
      <c r="E8" s="6">
        <v>471</v>
      </c>
      <c r="F8" s="6">
        <v>970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Q971"/>
  <sheetViews>
    <sheetView tabSelected="1" zoomScale="110" zoomScaleNormal="110" workbookViewId="0">
      <selection activeCell="K25" sqref="K25"/>
    </sheetView>
  </sheetViews>
  <sheetFormatPr baseColWidth="10" defaultRowHeight="15" x14ac:dyDescent="0.25"/>
  <cols>
    <col min="1" max="1" width="8" customWidth="1"/>
    <col min="2" max="2" width="11.85546875" bestFit="1" customWidth="1"/>
    <col min="3" max="3" width="9" bestFit="1" customWidth="1"/>
    <col min="4" max="4" width="12.7109375" bestFit="1" customWidth="1"/>
    <col min="5" max="5" width="19.85546875" bestFit="1" customWidth="1"/>
    <col min="6" max="6" width="15.5703125" customWidth="1"/>
    <col min="7" max="7" width="14" bestFit="1" customWidth="1"/>
    <col min="8" max="8" width="10.28515625" customWidth="1"/>
    <col min="9" max="9" width="28.28515625" customWidth="1"/>
    <col min="10" max="10" width="18.85546875" bestFit="1" customWidth="1"/>
  </cols>
  <sheetData>
    <row r="1" spans="1:17" x14ac:dyDescent="0.25">
      <c r="A1" t="s">
        <v>0</v>
      </c>
      <c r="B1" t="s">
        <v>15</v>
      </c>
      <c r="C1" t="s">
        <v>2</v>
      </c>
      <c r="D1" t="s">
        <v>1</v>
      </c>
      <c r="E1" t="s">
        <v>19</v>
      </c>
      <c r="F1" t="s">
        <v>23</v>
      </c>
      <c r="G1" t="s">
        <v>22</v>
      </c>
      <c r="H1" t="s">
        <v>21</v>
      </c>
      <c r="I1" t="s">
        <v>20</v>
      </c>
      <c r="J1" t="s">
        <v>3</v>
      </c>
      <c r="K1" s="3" t="s">
        <v>43</v>
      </c>
      <c r="L1" s="3" t="s">
        <v>44</v>
      </c>
      <c r="M1" s="3" t="s">
        <v>46</v>
      </c>
      <c r="N1" s="3" t="s">
        <v>45</v>
      </c>
      <c r="O1" s="3" t="s">
        <v>48</v>
      </c>
      <c r="P1" s="3" t="s">
        <v>49</v>
      </c>
      <c r="Q1" s="3" t="s">
        <v>54</v>
      </c>
    </row>
    <row r="2" spans="1:17" x14ac:dyDescent="0.25">
      <c r="A2">
        <v>8085392</v>
      </c>
      <c r="B2" t="s">
        <v>18</v>
      </c>
      <c r="C2">
        <v>27892052</v>
      </c>
      <c r="D2" t="s">
        <v>7</v>
      </c>
      <c r="E2">
        <v>4531735</v>
      </c>
      <c r="F2" s="2">
        <v>1825484</v>
      </c>
      <c r="G2" s="2">
        <v>28374</v>
      </c>
      <c r="H2">
        <v>30</v>
      </c>
      <c r="I2" s="1">
        <v>42509</v>
      </c>
      <c r="J2" t="s">
        <v>6</v>
      </c>
      <c r="K2">
        <f>COUNTIFS(GESTIONES!$A:$A, BASE_CUENTAS!$A2, GESTIONES!$B:$B, BASE_CUENTAS!$C2)</f>
        <v>3</v>
      </c>
      <c r="L2">
        <f>COUNTIFS(GESTIONES!$A:$A, BASE_CUENTAS!$A2,GESTIONES!$B:$B, BASE_CUENTAS!$C2,GESTIONES!$E:$E, "S")</f>
        <v>1</v>
      </c>
      <c r="M2">
        <f>COUNTIFS(GESTIONES!$A:$A, BASE_CUENTAS!$A2,GESTIONES!$B:$B, BASE_CUENTAS!$C2,GESTIONES!$E:$E, "N")</f>
        <v>2</v>
      </c>
      <c r="N2">
        <f>COUNTIFS(GESTIONES!$A:$A, BASE_CUENTAS!$A2,GESTIONES!$B:$B, BASE_CUENTAS!$C2,GESTIONES!$D:$D, "SMS")</f>
        <v>1</v>
      </c>
      <c r="O2">
        <f>SUMIFS(PAGOS!$D:$D,PAGOS!$A:$A, BASE_CUENTAS!$A2,PAGOS!$B:$B, BASE_CUENTAS!$C2)</f>
        <v>0</v>
      </c>
      <c r="P2" t="str">
        <f>IF(
VLOOKUP($C2,BASE_CIERRE_MES!$C:$G,5,FALSE)=0,
"Normalización",
IF(
VLOOKUP($C2,BASE_CIERRE_MES!$C:$G,5,FALSE)&lt;$H2,
"Recuperación",
IF(
VLOOKUP($C2,BASE_CIERRE_MES!$C:$G,5,FALSE)=$H2,
"Contención",
"Rodamiento"
)))</f>
        <v>Rodamiento</v>
      </c>
      <c r="Q2">
        <f>IF(F2=0,0,VALUE(O2)/VALUE(F2))</f>
        <v>0</v>
      </c>
    </row>
    <row r="3" spans="1:17" x14ac:dyDescent="0.25">
      <c r="A3">
        <v>8085687</v>
      </c>
      <c r="B3" t="s">
        <v>18</v>
      </c>
      <c r="C3">
        <v>27777136</v>
      </c>
      <c r="D3" t="s">
        <v>7</v>
      </c>
      <c r="E3">
        <v>568630</v>
      </c>
      <c r="F3" s="2">
        <v>568630</v>
      </c>
      <c r="G3" s="2">
        <v>93751</v>
      </c>
      <c r="H3">
        <v>30</v>
      </c>
      <c r="I3" s="1">
        <v>42521</v>
      </c>
      <c r="J3" t="s">
        <v>4</v>
      </c>
      <c r="K3">
        <f>COUNTIFS(GESTIONES!$A:$A, BASE_CUENTAS!$A3, GESTIONES!$B:$B, BASE_CUENTAS!$C3)</f>
        <v>3</v>
      </c>
      <c r="L3">
        <f>COUNTIFS(GESTIONES!$A:$A, BASE_CUENTAS!$A3,GESTIONES!$B:$B, BASE_CUENTAS!$C3,GESTIONES!$E:$E, "S")</f>
        <v>0</v>
      </c>
      <c r="M3">
        <f>COUNTIFS(GESTIONES!$A:$A, BASE_CUENTAS!$A3,GESTIONES!$B:$B, BASE_CUENTAS!$C3,GESTIONES!$E:$E, "N")</f>
        <v>3</v>
      </c>
      <c r="N3">
        <f>COUNTIFS(GESTIONES!$A:$A, BASE_CUENTAS!$A3,GESTIONES!$B:$B, BASE_CUENTAS!$C3,GESTIONES!$D:$D, "SMS")</f>
        <v>1</v>
      </c>
      <c r="O3">
        <f>SUMIFS(PAGOS!$D:$D,PAGOS!$A:$A, BASE_CUENTAS!$A3,PAGOS!$B:$B, BASE_CUENTAS!$C3)</f>
        <v>46876</v>
      </c>
      <c r="P3" t="str">
        <f>IF(
VLOOKUP($C3,BASE_CIERRE_MES!$C:$G,5,FALSE)=0,
"Normalización",
IF(
VLOOKUP($C3,BASE_CIERRE_MES!$C:$G,5,FALSE)&lt;$H3,
"Recuperación",
IF(
VLOOKUP($C3,BASE_CIERRE_MES!$C:$G,5,FALSE)=$H3,
"Contención",
"Rodamiento"
)))</f>
        <v>Recuperación</v>
      </c>
      <c r="Q3">
        <f t="shared" ref="Q3:Q66" si="0">IF(F3=0,0,VALUE(O3)/VALUE(F3))</f>
        <v>8.2436733904296289E-2</v>
      </c>
    </row>
    <row r="4" spans="1:17" x14ac:dyDescent="0.25">
      <c r="A4">
        <v>8085706</v>
      </c>
      <c r="B4" t="s">
        <v>18</v>
      </c>
      <c r="C4">
        <v>25794246</v>
      </c>
      <c r="D4" t="s">
        <v>7</v>
      </c>
      <c r="E4">
        <v>2169491</v>
      </c>
      <c r="F4" s="2">
        <v>1336171</v>
      </c>
      <c r="G4" s="2">
        <v>48365</v>
      </c>
      <c r="H4">
        <v>30</v>
      </c>
      <c r="I4" s="1">
        <v>42521</v>
      </c>
      <c r="J4" t="s">
        <v>4</v>
      </c>
      <c r="K4">
        <f>COUNTIFS(GESTIONES!$A:$A, BASE_CUENTAS!$A4, GESTIONES!$B:$B, BASE_CUENTAS!$C4)</f>
        <v>3</v>
      </c>
      <c r="L4">
        <f>COUNTIFS(GESTIONES!$A:$A, BASE_CUENTAS!$A4,GESTIONES!$B:$B, BASE_CUENTAS!$C4,GESTIONES!$E:$E, "S")</f>
        <v>1</v>
      </c>
      <c r="M4">
        <f>COUNTIFS(GESTIONES!$A:$A, BASE_CUENTAS!$A4,GESTIONES!$B:$B, BASE_CUENTAS!$C4,GESTIONES!$E:$E, "N")</f>
        <v>2</v>
      </c>
      <c r="N4">
        <f>COUNTIFS(GESTIONES!$A:$A, BASE_CUENTAS!$A4,GESTIONES!$B:$B, BASE_CUENTAS!$C4,GESTIONES!$D:$D, "SMS")</f>
        <v>2</v>
      </c>
      <c r="O4">
        <f>SUMIFS(PAGOS!$D:$D,PAGOS!$A:$A, BASE_CUENTAS!$A4,PAGOS!$B:$B, BASE_CUENTAS!$C4)</f>
        <v>0</v>
      </c>
      <c r="P4" t="str">
        <f>IF(
VLOOKUP($C4,BASE_CIERRE_MES!$C:$G,5,FALSE)=0,
"Normalización",
IF(
VLOOKUP($C4,BASE_CIERRE_MES!$C:$G,5,FALSE)&lt;$H4,
"Recuperación",
IF(
VLOOKUP($C4,BASE_CIERRE_MES!$C:$G,5,FALSE)=$H4,
"Contención",
"Rodamiento"
)))</f>
        <v>Rodamiento</v>
      </c>
      <c r="Q4">
        <f t="shared" si="0"/>
        <v>0</v>
      </c>
    </row>
    <row r="5" spans="1:17" x14ac:dyDescent="0.25">
      <c r="A5">
        <v>8088495</v>
      </c>
      <c r="B5" t="s">
        <v>17</v>
      </c>
      <c r="C5">
        <v>21175250</v>
      </c>
      <c r="D5" t="s">
        <v>7</v>
      </c>
      <c r="E5">
        <v>10721876</v>
      </c>
      <c r="F5" s="2">
        <v>6144033</v>
      </c>
      <c r="G5" s="2">
        <v>6144033</v>
      </c>
      <c r="H5">
        <v>120</v>
      </c>
      <c r="I5" s="1">
        <v>42508</v>
      </c>
      <c r="J5" t="s">
        <v>5</v>
      </c>
      <c r="K5">
        <f>COUNTIFS(GESTIONES!$A:$A, BASE_CUENTAS!$A5, GESTIONES!$B:$B, BASE_CUENTAS!$C5)</f>
        <v>3</v>
      </c>
      <c r="L5">
        <f>COUNTIFS(GESTIONES!$A:$A, BASE_CUENTAS!$A5,GESTIONES!$B:$B, BASE_CUENTAS!$C5,GESTIONES!$E:$E, "S")</f>
        <v>1</v>
      </c>
      <c r="M5">
        <f>COUNTIFS(GESTIONES!$A:$A, BASE_CUENTAS!$A5,GESTIONES!$B:$B, BASE_CUENTAS!$C5,GESTIONES!$E:$E, "N")</f>
        <v>2</v>
      </c>
      <c r="N5">
        <f>COUNTIFS(GESTIONES!$A:$A, BASE_CUENTAS!$A5,GESTIONES!$B:$B, BASE_CUENTAS!$C5,GESTIONES!$D:$D, "SMS")</f>
        <v>0</v>
      </c>
      <c r="O5">
        <f>SUMIFS(PAGOS!$D:$D,PAGOS!$A:$A, BASE_CUENTAS!$A5,PAGOS!$B:$B, BASE_CUENTAS!$C5)</f>
        <v>6144033</v>
      </c>
      <c r="P5" t="str">
        <f>IF(
VLOOKUP($C5,BASE_CIERRE_MES!$C:$G,5,FALSE)=0,
"Normalización",
IF(
VLOOKUP($C5,BASE_CIERRE_MES!$C:$G,5,FALSE)&lt;$H5,
"Recuperación",
IF(
VLOOKUP($C5,BASE_CIERRE_MES!$C:$G,5,FALSE)=$H5,
"Contención",
"Rodamiento"
)))</f>
        <v>Normalización</v>
      </c>
      <c r="Q5">
        <f t="shared" si="0"/>
        <v>1</v>
      </c>
    </row>
    <row r="6" spans="1:17" x14ac:dyDescent="0.25">
      <c r="A6">
        <v>8088495</v>
      </c>
      <c r="B6" t="s">
        <v>17</v>
      </c>
      <c r="C6">
        <v>25700352</v>
      </c>
      <c r="D6" t="s">
        <v>7</v>
      </c>
      <c r="E6">
        <v>10721876</v>
      </c>
      <c r="F6" s="2">
        <v>3803643</v>
      </c>
      <c r="G6" s="2">
        <v>3803643</v>
      </c>
      <c r="H6">
        <v>120</v>
      </c>
      <c r="I6" s="1">
        <v>42508</v>
      </c>
      <c r="J6" t="s">
        <v>5</v>
      </c>
      <c r="K6">
        <f>COUNTIFS(GESTIONES!$A:$A, BASE_CUENTAS!$A6, GESTIONES!$B:$B, BASE_CUENTAS!$C6)</f>
        <v>3</v>
      </c>
      <c r="L6">
        <f>COUNTIFS(GESTIONES!$A:$A, BASE_CUENTAS!$A6,GESTIONES!$B:$B, BASE_CUENTAS!$C6,GESTIONES!$E:$E, "S")</f>
        <v>1</v>
      </c>
      <c r="M6">
        <f>COUNTIFS(GESTIONES!$A:$A, BASE_CUENTAS!$A6,GESTIONES!$B:$B, BASE_CUENTAS!$C6,GESTIONES!$E:$E, "N")</f>
        <v>2</v>
      </c>
      <c r="N6">
        <f>COUNTIFS(GESTIONES!$A:$A, BASE_CUENTAS!$A6,GESTIONES!$B:$B, BASE_CUENTAS!$C6,GESTIONES!$D:$D, "SMS")</f>
        <v>0</v>
      </c>
      <c r="O6">
        <f>SUMIFS(PAGOS!$D:$D,PAGOS!$A:$A, BASE_CUENTAS!$A6,PAGOS!$B:$B, BASE_CUENTAS!$C6)</f>
        <v>1901822</v>
      </c>
      <c r="P6" t="str">
        <f>IF(
VLOOKUP($C6,BASE_CIERRE_MES!$C:$G,5,FALSE)=0,
"Normalización",
IF(
VLOOKUP($C6,BASE_CIERRE_MES!$C:$G,5,FALSE)&lt;$H6,
"Recuperación",
IF(
VLOOKUP($C6,BASE_CIERRE_MES!$C:$G,5,FALSE)=$H6,
"Contención",
"Rodamiento"
)))</f>
        <v>Recuperación</v>
      </c>
      <c r="Q6">
        <f t="shared" si="0"/>
        <v>0.50000013145292554</v>
      </c>
    </row>
    <row r="7" spans="1:17" x14ac:dyDescent="0.25">
      <c r="A7">
        <v>8088899</v>
      </c>
      <c r="B7" t="s">
        <v>18</v>
      </c>
      <c r="C7">
        <v>26370037</v>
      </c>
      <c r="D7" t="s">
        <v>7</v>
      </c>
      <c r="E7">
        <v>1959887</v>
      </c>
      <c r="F7" s="2">
        <v>1959887</v>
      </c>
      <c r="G7" s="2">
        <v>1959887</v>
      </c>
      <c r="H7">
        <v>150</v>
      </c>
      <c r="I7" s="1">
        <v>42509</v>
      </c>
      <c r="J7" t="s">
        <v>5</v>
      </c>
      <c r="K7">
        <f>COUNTIFS(GESTIONES!$A:$A, BASE_CUENTAS!$A7, GESTIONES!$B:$B, BASE_CUENTAS!$C7)</f>
        <v>3</v>
      </c>
      <c r="L7">
        <f>COUNTIFS(GESTIONES!$A:$A, BASE_CUENTAS!$A7,GESTIONES!$B:$B, BASE_CUENTAS!$C7,GESTIONES!$E:$E, "S")</f>
        <v>1</v>
      </c>
      <c r="M7">
        <f>COUNTIFS(GESTIONES!$A:$A, BASE_CUENTAS!$A7,GESTIONES!$B:$B, BASE_CUENTAS!$C7,GESTIONES!$E:$E, "N")</f>
        <v>2</v>
      </c>
      <c r="N7">
        <f>COUNTIFS(GESTIONES!$A:$A, BASE_CUENTAS!$A7,GESTIONES!$B:$B, BASE_CUENTAS!$C7,GESTIONES!$D:$D, "SMS")</f>
        <v>1</v>
      </c>
      <c r="O7">
        <f>SUMIFS(PAGOS!$D:$D,PAGOS!$A:$A, BASE_CUENTAS!$A7,PAGOS!$B:$B, BASE_CUENTAS!$C7)</f>
        <v>653296</v>
      </c>
      <c r="P7" t="str">
        <f>IF(
VLOOKUP($C7,BASE_CIERRE_MES!$C:$G,5,FALSE)=0,
"Normalización",
IF(
VLOOKUP($C7,BASE_CIERRE_MES!$C:$G,5,FALSE)&lt;$H7,
"Recuperación",
IF(
VLOOKUP($C7,BASE_CIERRE_MES!$C:$G,5,FALSE)=$H7,
"Contención",
"Rodamiento"
)))</f>
        <v>Contención</v>
      </c>
      <c r="Q7">
        <f t="shared" si="0"/>
        <v>0.33333350341116608</v>
      </c>
    </row>
    <row r="8" spans="1:17" x14ac:dyDescent="0.25">
      <c r="A8">
        <v>8089371</v>
      </c>
      <c r="B8" t="s">
        <v>17</v>
      </c>
      <c r="C8">
        <v>21887785</v>
      </c>
      <c r="D8" t="s">
        <v>7</v>
      </c>
      <c r="E8">
        <v>3595049</v>
      </c>
      <c r="F8" s="2">
        <v>1565575</v>
      </c>
      <c r="G8" s="2">
        <v>183019</v>
      </c>
      <c r="H8">
        <v>30</v>
      </c>
      <c r="I8" s="1">
        <v>42521</v>
      </c>
      <c r="J8" t="s">
        <v>4</v>
      </c>
      <c r="K8">
        <f>COUNTIFS(GESTIONES!$A:$A, BASE_CUENTAS!$A8, GESTIONES!$B:$B, BASE_CUENTAS!$C8)</f>
        <v>3</v>
      </c>
      <c r="L8">
        <f>COUNTIFS(GESTIONES!$A:$A, BASE_CUENTAS!$A8,GESTIONES!$B:$B, BASE_CUENTAS!$C8,GESTIONES!$E:$E, "S")</f>
        <v>0</v>
      </c>
      <c r="M8">
        <f>COUNTIFS(GESTIONES!$A:$A, BASE_CUENTAS!$A8,GESTIONES!$B:$B, BASE_CUENTAS!$C8,GESTIONES!$E:$E, "N")</f>
        <v>3</v>
      </c>
      <c r="N8">
        <f>COUNTIFS(GESTIONES!$A:$A, BASE_CUENTAS!$A8,GESTIONES!$B:$B, BASE_CUENTAS!$C8,GESTIONES!$D:$D, "SMS")</f>
        <v>1</v>
      </c>
      <c r="O8">
        <f>SUMIFS(PAGOS!$D:$D,PAGOS!$A:$A, BASE_CUENTAS!$A8,PAGOS!$B:$B, BASE_CUENTAS!$C8)</f>
        <v>0</v>
      </c>
      <c r="P8" t="str">
        <f>IF(
VLOOKUP($C8,BASE_CIERRE_MES!$C:$G,5,FALSE)=0,
"Normalización",
IF(
VLOOKUP($C8,BASE_CIERRE_MES!$C:$G,5,FALSE)&lt;$H8,
"Recuperación",
IF(
VLOOKUP($C8,BASE_CIERRE_MES!$C:$G,5,FALSE)=$H8,
"Contención",
"Rodamiento"
)))</f>
        <v>Rodamiento</v>
      </c>
      <c r="Q8">
        <f t="shared" si="0"/>
        <v>0</v>
      </c>
    </row>
    <row r="9" spans="1:17" x14ac:dyDescent="0.25">
      <c r="A9">
        <v>8089371</v>
      </c>
      <c r="B9" t="s">
        <v>17</v>
      </c>
      <c r="C9">
        <v>24378718</v>
      </c>
      <c r="D9" t="s">
        <v>7</v>
      </c>
      <c r="E9">
        <v>3595049</v>
      </c>
      <c r="F9" s="2">
        <v>2029474</v>
      </c>
      <c r="G9" s="2">
        <v>213568</v>
      </c>
      <c r="H9">
        <v>30</v>
      </c>
      <c r="I9" s="1">
        <v>42521</v>
      </c>
      <c r="J9" t="s">
        <v>4</v>
      </c>
      <c r="K9">
        <f>COUNTIFS(GESTIONES!$A:$A, BASE_CUENTAS!$A9, GESTIONES!$B:$B, BASE_CUENTAS!$C9)</f>
        <v>3</v>
      </c>
      <c r="L9">
        <f>COUNTIFS(GESTIONES!$A:$A, BASE_CUENTAS!$A9,GESTIONES!$B:$B, BASE_CUENTAS!$C9,GESTIONES!$E:$E, "S")</f>
        <v>1</v>
      </c>
      <c r="M9">
        <f>COUNTIFS(GESTIONES!$A:$A, BASE_CUENTAS!$A9,GESTIONES!$B:$B, BASE_CUENTAS!$C9,GESTIONES!$E:$E, "N")</f>
        <v>2</v>
      </c>
      <c r="N9">
        <f>COUNTIFS(GESTIONES!$A:$A, BASE_CUENTAS!$A9,GESTIONES!$B:$B, BASE_CUENTAS!$C9,GESTIONES!$D:$D, "SMS")</f>
        <v>2</v>
      </c>
      <c r="O9">
        <f>SUMIFS(PAGOS!$D:$D,PAGOS!$A:$A, BASE_CUENTAS!$A9,PAGOS!$B:$B, BASE_CUENTAS!$C9)</f>
        <v>213568</v>
      </c>
      <c r="P9" t="str">
        <f>IF(
VLOOKUP($C9,BASE_CIERRE_MES!$C:$G,5,FALSE)=0,
"Normalización",
IF(
VLOOKUP($C9,BASE_CIERRE_MES!$C:$G,5,FALSE)&lt;$H9,
"Recuperación",
IF(
VLOOKUP($C9,BASE_CIERRE_MES!$C:$G,5,FALSE)=$H9,
"Contención",
"Rodamiento"
)))</f>
        <v>Normalización</v>
      </c>
      <c r="Q9">
        <f t="shared" si="0"/>
        <v>0.10523317864628963</v>
      </c>
    </row>
    <row r="10" spans="1:17" x14ac:dyDescent="0.25">
      <c r="A10">
        <v>8089696</v>
      </c>
      <c r="B10" t="s">
        <v>17</v>
      </c>
      <c r="C10">
        <v>16084748</v>
      </c>
      <c r="D10" t="s">
        <v>7</v>
      </c>
      <c r="E10">
        <v>5498500</v>
      </c>
      <c r="F10" s="2">
        <v>1270224</v>
      </c>
      <c r="G10" s="2">
        <v>108134</v>
      </c>
      <c r="H10">
        <v>30</v>
      </c>
      <c r="I10" s="1">
        <v>42508</v>
      </c>
      <c r="J10" t="s">
        <v>6</v>
      </c>
      <c r="K10">
        <f>COUNTIFS(GESTIONES!$A:$A, BASE_CUENTAS!$A10, GESTIONES!$B:$B, BASE_CUENTAS!$C10)</f>
        <v>3</v>
      </c>
      <c r="L10">
        <f>COUNTIFS(GESTIONES!$A:$A, BASE_CUENTAS!$A10,GESTIONES!$B:$B, BASE_CUENTAS!$C10,GESTIONES!$E:$E, "S")</f>
        <v>1</v>
      </c>
      <c r="M10">
        <f>COUNTIFS(GESTIONES!$A:$A, BASE_CUENTAS!$A10,GESTIONES!$B:$B, BASE_CUENTAS!$C10,GESTIONES!$E:$E, "N")</f>
        <v>2</v>
      </c>
      <c r="N10">
        <f>COUNTIFS(GESTIONES!$A:$A, BASE_CUENTAS!$A10,GESTIONES!$B:$B, BASE_CUENTAS!$C10,GESTIONES!$D:$D, "SMS")</f>
        <v>0</v>
      </c>
      <c r="O10">
        <f>SUMIFS(PAGOS!$D:$D,PAGOS!$A:$A, BASE_CUENTAS!$A10,PAGOS!$B:$B, BASE_CUENTAS!$C10)</f>
        <v>0</v>
      </c>
      <c r="P10" t="str">
        <f>IF(
VLOOKUP($C10,BASE_CIERRE_MES!$C:$G,5,FALSE)=0,
"Normalización",
IF(
VLOOKUP($C10,BASE_CIERRE_MES!$C:$G,5,FALSE)&lt;$H10,
"Recuperación",
IF(
VLOOKUP($C10,BASE_CIERRE_MES!$C:$G,5,FALSE)=$H10,
"Contención",
"Rodamiento"
)))</f>
        <v>Rodamiento</v>
      </c>
      <c r="Q10">
        <f t="shared" si="0"/>
        <v>0</v>
      </c>
    </row>
    <row r="11" spans="1:17" x14ac:dyDescent="0.25">
      <c r="A11">
        <v>8089696</v>
      </c>
      <c r="B11" t="s">
        <v>17</v>
      </c>
      <c r="C11">
        <v>20145473</v>
      </c>
      <c r="D11" t="s">
        <v>7</v>
      </c>
      <c r="E11">
        <v>5498500</v>
      </c>
      <c r="F11" s="2">
        <v>2115936</v>
      </c>
      <c r="G11" s="2">
        <v>68545</v>
      </c>
      <c r="H11">
        <v>30</v>
      </c>
      <c r="I11" s="1">
        <v>42508</v>
      </c>
      <c r="J11" t="s">
        <v>6</v>
      </c>
      <c r="K11">
        <f>COUNTIFS(GESTIONES!$A:$A, BASE_CUENTAS!$A11, GESTIONES!$B:$B, BASE_CUENTAS!$C11)</f>
        <v>3</v>
      </c>
      <c r="L11">
        <f>COUNTIFS(GESTIONES!$A:$A, BASE_CUENTAS!$A11,GESTIONES!$B:$B, BASE_CUENTAS!$C11,GESTIONES!$E:$E, "S")</f>
        <v>1</v>
      </c>
      <c r="M11">
        <f>COUNTIFS(GESTIONES!$A:$A, BASE_CUENTAS!$A11,GESTIONES!$B:$B, BASE_CUENTAS!$C11,GESTIONES!$E:$E, "N")</f>
        <v>2</v>
      </c>
      <c r="N11">
        <f>COUNTIFS(GESTIONES!$A:$A, BASE_CUENTAS!$A11,GESTIONES!$B:$B, BASE_CUENTAS!$C11,GESTIONES!$D:$D, "SMS")</f>
        <v>0</v>
      </c>
      <c r="O11">
        <f>SUMIFS(PAGOS!$D:$D,PAGOS!$A:$A, BASE_CUENTAS!$A11,PAGOS!$B:$B, BASE_CUENTAS!$C11)</f>
        <v>0</v>
      </c>
      <c r="P11" t="str">
        <f>IF(
VLOOKUP($C11,BASE_CIERRE_MES!$C:$G,5,FALSE)=0,
"Normalización",
IF(
VLOOKUP($C11,BASE_CIERRE_MES!$C:$G,5,FALSE)&lt;$H11,
"Recuperación",
IF(
VLOOKUP($C11,BASE_CIERRE_MES!$C:$G,5,FALSE)=$H11,
"Contención",
"Rodamiento"
)))</f>
        <v>Rodamiento</v>
      </c>
      <c r="Q11">
        <f t="shared" si="0"/>
        <v>0</v>
      </c>
    </row>
    <row r="12" spans="1:17" x14ac:dyDescent="0.25">
      <c r="A12">
        <v>8089696</v>
      </c>
      <c r="B12" t="s">
        <v>17</v>
      </c>
      <c r="C12">
        <v>20146321</v>
      </c>
      <c r="D12" t="s">
        <v>7</v>
      </c>
      <c r="E12">
        <v>5498500</v>
      </c>
      <c r="F12" s="2">
        <v>2112340</v>
      </c>
      <c r="G12" s="2">
        <v>91643</v>
      </c>
      <c r="H12">
        <v>30</v>
      </c>
      <c r="I12" s="1">
        <v>42509</v>
      </c>
      <c r="J12" t="s">
        <v>6</v>
      </c>
      <c r="K12">
        <f>COUNTIFS(GESTIONES!$A:$A, BASE_CUENTAS!$A12, GESTIONES!$B:$B, BASE_CUENTAS!$C12)</f>
        <v>3</v>
      </c>
      <c r="L12">
        <f>COUNTIFS(GESTIONES!$A:$A, BASE_CUENTAS!$A12,GESTIONES!$B:$B, BASE_CUENTAS!$C12,GESTIONES!$E:$E, "S")</f>
        <v>1</v>
      </c>
      <c r="M12">
        <f>COUNTIFS(GESTIONES!$A:$A, BASE_CUENTAS!$A12,GESTIONES!$B:$B, BASE_CUENTAS!$C12,GESTIONES!$E:$E, "N")</f>
        <v>2</v>
      </c>
      <c r="N12">
        <f>COUNTIFS(GESTIONES!$A:$A, BASE_CUENTAS!$A12,GESTIONES!$B:$B, BASE_CUENTAS!$C12,GESTIONES!$D:$D, "SMS")</f>
        <v>1</v>
      </c>
      <c r="O12">
        <f>SUMIFS(PAGOS!$D:$D,PAGOS!$A:$A, BASE_CUENTAS!$A12,PAGOS!$B:$B, BASE_CUENTAS!$C12)</f>
        <v>91643</v>
      </c>
      <c r="P12" t="str">
        <f>IF(
VLOOKUP($C12,BASE_CIERRE_MES!$C:$G,5,FALSE)=0,
"Normalización",
IF(
VLOOKUP($C12,BASE_CIERRE_MES!$C:$G,5,FALSE)&lt;$H12,
"Recuperación",
IF(
VLOOKUP($C12,BASE_CIERRE_MES!$C:$G,5,FALSE)=$H12,
"Contención",
"Rodamiento"
)))</f>
        <v>Normalización</v>
      </c>
      <c r="Q12">
        <f t="shared" si="0"/>
        <v>4.3384587708418153E-2</v>
      </c>
    </row>
    <row r="13" spans="1:17" x14ac:dyDescent="0.25">
      <c r="A13">
        <v>8089801</v>
      </c>
      <c r="B13" t="s">
        <v>17</v>
      </c>
      <c r="C13">
        <v>26958913</v>
      </c>
      <c r="D13" t="s">
        <v>7</v>
      </c>
      <c r="E13">
        <v>3908903</v>
      </c>
      <c r="F13" s="2">
        <v>1930237</v>
      </c>
      <c r="G13" s="2">
        <v>324883</v>
      </c>
      <c r="H13">
        <v>90</v>
      </c>
      <c r="I13" s="1">
        <v>42508</v>
      </c>
      <c r="J13" t="s">
        <v>6</v>
      </c>
      <c r="K13">
        <f>COUNTIFS(GESTIONES!$A:$A, BASE_CUENTAS!$A13, GESTIONES!$B:$B, BASE_CUENTAS!$C13)</f>
        <v>3</v>
      </c>
      <c r="L13">
        <f>COUNTIFS(GESTIONES!$A:$A, BASE_CUENTAS!$A13,GESTIONES!$B:$B, BASE_CUENTAS!$C13,GESTIONES!$E:$E, "S")</f>
        <v>0</v>
      </c>
      <c r="M13">
        <f>COUNTIFS(GESTIONES!$A:$A, BASE_CUENTAS!$A13,GESTIONES!$B:$B, BASE_CUENTAS!$C13,GESTIONES!$E:$E, "N")</f>
        <v>3</v>
      </c>
      <c r="N13">
        <f>COUNTIFS(GESTIONES!$A:$A, BASE_CUENTAS!$A13,GESTIONES!$B:$B, BASE_CUENTAS!$C13,GESTIONES!$D:$D, "SMS")</f>
        <v>1</v>
      </c>
      <c r="O13">
        <f>SUMIFS(PAGOS!$D:$D,PAGOS!$A:$A, BASE_CUENTAS!$A13,PAGOS!$B:$B, BASE_CUENTAS!$C13)</f>
        <v>0</v>
      </c>
      <c r="P13" t="str">
        <f>IF(
VLOOKUP($C13,BASE_CIERRE_MES!$C:$G,5,FALSE)=0,
"Normalización",
IF(
VLOOKUP($C13,BASE_CIERRE_MES!$C:$G,5,FALSE)&lt;$H13,
"Recuperación",
IF(
VLOOKUP($C13,BASE_CIERRE_MES!$C:$G,5,FALSE)=$H13,
"Contención",
"Rodamiento"
)))</f>
        <v>Rodamiento</v>
      </c>
      <c r="Q13">
        <f t="shared" si="0"/>
        <v>0</v>
      </c>
    </row>
    <row r="14" spans="1:17" x14ac:dyDescent="0.25">
      <c r="A14">
        <v>8089801</v>
      </c>
      <c r="B14" t="s">
        <v>17</v>
      </c>
      <c r="C14">
        <v>26967590</v>
      </c>
      <c r="D14" t="s">
        <v>7</v>
      </c>
      <c r="E14">
        <v>3908903</v>
      </c>
      <c r="F14" s="2">
        <v>1978665</v>
      </c>
      <c r="G14" s="2">
        <v>382382</v>
      </c>
      <c r="H14">
        <v>90</v>
      </c>
      <c r="I14" s="1">
        <v>42508</v>
      </c>
      <c r="J14" t="s">
        <v>6</v>
      </c>
      <c r="K14">
        <f>COUNTIFS(GESTIONES!$A:$A, BASE_CUENTAS!$A14, GESTIONES!$B:$B, BASE_CUENTAS!$C14)</f>
        <v>3</v>
      </c>
      <c r="L14">
        <f>COUNTIFS(GESTIONES!$A:$A, BASE_CUENTAS!$A14,GESTIONES!$B:$B, BASE_CUENTAS!$C14,GESTIONES!$E:$E, "S")</f>
        <v>1</v>
      </c>
      <c r="M14">
        <f>COUNTIFS(GESTIONES!$A:$A, BASE_CUENTAS!$A14,GESTIONES!$B:$B, BASE_CUENTAS!$C14,GESTIONES!$E:$E, "N")</f>
        <v>2</v>
      </c>
      <c r="N14">
        <f>COUNTIFS(GESTIONES!$A:$A, BASE_CUENTAS!$A14,GESTIONES!$B:$B, BASE_CUENTAS!$C14,GESTIONES!$D:$D, "SMS")</f>
        <v>2</v>
      </c>
      <c r="O14">
        <f>SUMIFS(PAGOS!$D:$D,PAGOS!$A:$A, BASE_CUENTAS!$A14,PAGOS!$B:$B, BASE_CUENTAS!$C14)</f>
        <v>127460</v>
      </c>
      <c r="P14" t="str">
        <f>IF(
VLOOKUP($C14,BASE_CIERRE_MES!$C:$G,5,FALSE)=0,
"Normalización",
IF(
VLOOKUP($C14,BASE_CIERRE_MES!$C:$G,5,FALSE)&lt;$H14,
"Recuperación",
IF(
VLOOKUP($C14,BASE_CIERRE_MES!$C:$G,5,FALSE)=$H14,
"Contención",
"Rodamiento"
)))</f>
        <v>Contención</v>
      </c>
      <c r="Q14">
        <f t="shared" si="0"/>
        <v>6.4417170162710716E-2</v>
      </c>
    </row>
    <row r="15" spans="1:17" x14ac:dyDescent="0.25">
      <c r="A15">
        <v>8090100</v>
      </c>
      <c r="B15" t="s">
        <v>18</v>
      </c>
      <c r="C15">
        <v>25579254</v>
      </c>
      <c r="D15" t="s">
        <v>7</v>
      </c>
      <c r="E15">
        <v>1081271</v>
      </c>
      <c r="F15" s="2">
        <v>1081271</v>
      </c>
      <c r="G15" s="2">
        <v>1081271</v>
      </c>
      <c r="H15">
        <v>180</v>
      </c>
      <c r="I15" s="1">
        <v>42491</v>
      </c>
      <c r="J15" t="s">
        <v>5</v>
      </c>
      <c r="K15">
        <f>COUNTIFS(GESTIONES!$A:$A, BASE_CUENTAS!$A15, GESTIONES!$B:$B, BASE_CUENTAS!$C15)</f>
        <v>3</v>
      </c>
      <c r="L15">
        <f>COUNTIFS(GESTIONES!$A:$A, BASE_CUENTAS!$A15,GESTIONES!$B:$B, BASE_CUENTAS!$C15,GESTIONES!$E:$E, "S")</f>
        <v>1</v>
      </c>
      <c r="M15">
        <f>COUNTIFS(GESTIONES!$A:$A, BASE_CUENTAS!$A15,GESTIONES!$B:$B, BASE_CUENTAS!$C15,GESTIONES!$E:$E, "N")</f>
        <v>2</v>
      </c>
      <c r="N15">
        <f>COUNTIFS(GESTIONES!$A:$A, BASE_CUENTAS!$A15,GESTIONES!$B:$B, BASE_CUENTAS!$C15,GESTIONES!$D:$D, "SMS")</f>
        <v>0</v>
      </c>
      <c r="O15">
        <f>SUMIFS(PAGOS!$D:$D,PAGOS!$A:$A, BASE_CUENTAS!$A15,PAGOS!$B:$B, BASE_CUENTAS!$C15)</f>
        <v>0</v>
      </c>
      <c r="P15" t="str">
        <f>IF(
VLOOKUP($C15,BASE_CIERRE_MES!$C:$G,5,FALSE)=0,
"Normalización",
IF(
VLOOKUP($C15,BASE_CIERRE_MES!$C:$G,5,FALSE)&lt;$H15,
"Recuperación",
IF(
VLOOKUP($C15,BASE_CIERRE_MES!$C:$G,5,FALSE)=$H15,
"Contención",
"Rodamiento"
)))</f>
        <v>Rodamiento</v>
      </c>
      <c r="Q15">
        <f t="shared" si="0"/>
        <v>0</v>
      </c>
    </row>
    <row r="16" spans="1:17" x14ac:dyDescent="0.25">
      <c r="A16">
        <v>8090327</v>
      </c>
      <c r="B16" t="s">
        <v>18</v>
      </c>
      <c r="C16">
        <v>24060799</v>
      </c>
      <c r="D16" t="s">
        <v>7</v>
      </c>
      <c r="E16">
        <v>726156</v>
      </c>
      <c r="F16" s="2">
        <v>726156</v>
      </c>
      <c r="G16" s="2">
        <v>241174</v>
      </c>
      <c r="H16">
        <v>60</v>
      </c>
      <c r="I16" s="1">
        <v>42480</v>
      </c>
      <c r="J16" t="s">
        <v>6</v>
      </c>
      <c r="K16">
        <f>COUNTIFS(GESTIONES!$A:$A, BASE_CUENTAS!$A16, GESTIONES!$B:$B, BASE_CUENTAS!$C16)</f>
        <v>3</v>
      </c>
      <c r="L16">
        <f>COUNTIFS(GESTIONES!$A:$A, BASE_CUENTAS!$A16,GESTIONES!$B:$B, BASE_CUENTAS!$C16,GESTIONES!$E:$E, "S")</f>
        <v>1</v>
      </c>
      <c r="M16">
        <f>COUNTIFS(GESTIONES!$A:$A, BASE_CUENTAS!$A16,GESTIONES!$B:$B, BASE_CUENTAS!$C16,GESTIONES!$E:$E, "N")</f>
        <v>2</v>
      </c>
      <c r="N16">
        <f>COUNTIFS(GESTIONES!$A:$A, BASE_CUENTAS!$A16,GESTIONES!$B:$B, BASE_CUENTAS!$C16,GESTIONES!$D:$D, "SMS")</f>
        <v>0</v>
      </c>
      <c r="O16">
        <f>SUMIFS(PAGOS!$D:$D,PAGOS!$A:$A, BASE_CUENTAS!$A16,PAGOS!$B:$B, BASE_CUENTAS!$C16)</f>
        <v>0</v>
      </c>
      <c r="P16" t="str">
        <f>IF(
VLOOKUP($C16,BASE_CIERRE_MES!$C:$G,5,FALSE)=0,
"Normalización",
IF(
VLOOKUP($C16,BASE_CIERRE_MES!$C:$G,5,FALSE)&lt;$H16,
"Recuperación",
IF(
VLOOKUP($C16,BASE_CIERRE_MES!$C:$G,5,FALSE)=$H16,
"Contención",
"Rodamiento"
)))</f>
        <v>Rodamiento</v>
      </c>
      <c r="Q16">
        <f t="shared" si="0"/>
        <v>0</v>
      </c>
    </row>
    <row r="17" spans="1:17" x14ac:dyDescent="0.25">
      <c r="A17">
        <v>8090376</v>
      </c>
      <c r="B17" t="s">
        <v>17</v>
      </c>
      <c r="C17">
        <v>28116836</v>
      </c>
      <c r="D17" t="s">
        <v>7</v>
      </c>
      <c r="E17">
        <v>12801111</v>
      </c>
      <c r="F17" s="2">
        <v>3410156</v>
      </c>
      <c r="G17" s="2">
        <v>489522</v>
      </c>
      <c r="H17">
        <v>60</v>
      </c>
      <c r="I17" s="1">
        <v>42491</v>
      </c>
      <c r="J17" t="s">
        <v>6</v>
      </c>
      <c r="K17">
        <f>COUNTIFS(GESTIONES!$A:$A, BASE_CUENTAS!$A17, GESTIONES!$B:$B, BASE_CUENTAS!$C17)</f>
        <v>3</v>
      </c>
      <c r="L17">
        <f>COUNTIFS(GESTIONES!$A:$A, BASE_CUENTAS!$A17,GESTIONES!$B:$B, BASE_CUENTAS!$C17,GESTIONES!$E:$E, "S")</f>
        <v>2</v>
      </c>
      <c r="M17">
        <f>COUNTIFS(GESTIONES!$A:$A, BASE_CUENTAS!$A17,GESTIONES!$B:$B, BASE_CUENTAS!$C17,GESTIONES!$E:$E, "N")</f>
        <v>1</v>
      </c>
      <c r="N17">
        <f>COUNTIFS(GESTIONES!$A:$A, BASE_CUENTAS!$A17,GESTIONES!$B:$B, BASE_CUENTAS!$C17,GESTIONES!$D:$D, "SMS")</f>
        <v>1</v>
      </c>
      <c r="O17">
        <f>SUMIFS(PAGOS!$D:$D,PAGOS!$A:$A, BASE_CUENTAS!$A17,PAGOS!$B:$B, BASE_CUENTAS!$C17)</f>
        <v>489522</v>
      </c>
      <c r="P17" t="str">
        <f>IF(
VLOOKUP($C17,BASE_CIERRE_MES!$C:$G,5,FALSE)=0,
"Normalización",
IF(
VLOOKUP($C17,BASE_CIERRE_MES!$C:$G,5,FALSE)&lt;$H17,
"Recuperación",
IF(
VLOOKUP($C17,BASE_CIERRE_MES!$C:$G,5,FALSE)=$H17,
"Contención",
"Rodamiento"
)))</f>
        <v>Normalización</v>
      </c>
      <c r="Q17">
        <f t="shared" si="0"/>
        <v>0.14354827169196951</v>
      </c>
    </row>
    <row r="18" spans="1:17" x14ac:dyDescent="0.25">
      <c r="A18">
        <v>8090702</v>
      </c>
      <c r="B18" t="s">
        <v>18</v>
      </c>
      <c r="C18">
        <v>26143640</v>
      </c>
      <c r="D18" t="s">
        <v>7</v>
      </c>
      <c r="E18">
        <v>577181</v>
      </c>
      <c r="F18" s="2">
        <v>577181</v>
      </c>
      <c r="G18" s="2">
        <v>65826</v>
      </c>
      <c r="H18">
        <v>30</v>
      </c>
      <c r="I18" s="1">
        <v>42508</v>
      </c>
      <c r="J18" t="s">
        <v>6</v>
      </c>
      <c r="K18">
        <f>COUNTIFS(GESTIONES!$A:$A, BASE_CUENTAS!$A18, GESTIONES!$B:$B, BASE_CUENTAS!$C18)</f>
        <v>3</v>
      </c>
      <c r="L18">
        <f>COUNTIFS(GESTIONES!$A:$A, BASE_CUENTAS!$A18,GESTIONES!$B:$B, BASE_CUENTAS!$C18,GESTIONES!$E:$E, "S")</f>
        <v>1</v>
      </c>
      <c r="M18">
        <f>COUNTIFS(GESTIONES!$A:$A, BASE_CUENTAS!$A18,GESTIONES!$B:$B, BASE_CUENTAS!$C18,GESTIONES!$E:$E, "N")</f>
        <v>2</v>
      </c>
      <c r="N18">
        <f>COUNTIFS(GESTIONES!$A:$A, BASE_CUENTAS!$A18,GESTIONES!$B:$B, BASE_CUENTAS!$C18,GESTIONES!$D:$D, "SMS")</f>
        <v>0</v>
      </c>
      <c r="O18">
        <f>SUMIFS(PAGOS!$D:$D,PAGOS!$A:$A, BASE_CUENTAS!$A18,PAGOS!$B:$B, BASE_CUENTAS!$C18)</f>
        <v>65826</v>
      </c>
      <c r="P18" t="str">
        <f>IF(
VLOOKUP($C18,BASE_CIERRE_MES!$C:$G,5,FALSE)=0,
"Normalización",
IF(
VLOOKUP($C18,BASE_CIERRE_MES!$C:$G,5,FALSE)&lt;$H18,
"Recuperación",
IF(
VLOOKUP($C18,BASE_CIERRE_MES!$C:$G,5,FALSE)=$H18,
"Contención",
"Rodamiento"
)))</f>
        <v>Normalización</v>
      </c>
      <c r="Q18">
        <f t="shared" si="0"/>
        <v>0.11404741320313731</v>
      </c>
    </row>
    <row r="19" spans="1:17" x14ac:dyDescent="0.25">
      <c r="A19">
        <v>8090807</v>
      </c>
      <c r="B19" t="s">
        <v>18</v>
      </c>
      <c r="C19">
        <v>24076434</v>
      </c>
      <c r="D19" t="s">
        <v>7</v>
      </c>
      <c r="E19">
        <v>634514</v>
      </c>
      <c r="F19" s="2">
        <v>634514</v>
      </c>
      <c r="G19" s="2">
        <v>105924</v>
      </c>
      <c r="H19">
        <v>30</v>
      </c>
      <c r="I19" s="1">
        <v>42508</v>
      </c>
      <c r="J19" t="s">
        <v>6</v>
      </c>
      <c r="K19">
        <f>COUNTIFS(GESTIONES!$A:$A, BASE_CUENTAS!$A19, GESTIONES!$B:$B, BASE_CUENTAS!$C19)</f>
        <v>3</v>
      </c>
      <c r="L19">
        <f>COUNTIFS(GESTIONES!$A:$A, BASE_CUENTAS!$A19,GESTIONES!$B:$B, BASE_CUENTAS!$C19,GESTIONES!$E:$E, "S")</f>
        <v>0</v>
      </c>
      <c r="M19">
        <f>COUNTIFS(GESTIONES!$A:$A, BASE_CUENTAS!$A19,GESTIONES!$B:$B, BASE_CUENTAS!$C19,GESTIONES!$E:$E, "N")</f>
        <v>3</v>
      </c>
      <c r="N19">
        <f>COUNTIFS(GESTIONES!$A:$A, BASE_CUENTAS!$A19,GESTIONES!$B:$B, BASE_CUENTAS!$C19,GESTIONES!$D:$D, "SMS")</f>
        <v>2</v>
      </c>
      <c r="O19">
        <f>SUMIFS(PAGOS!$D:$D,PAGOS!$A:$A, BASE_CUENTAS!$A19,PAGOS!$B:$B, BASE_CUENTAS!$C19)</f>
        <v>0</v>
      </c>
      <c r="P19" t="str">
        <f>IF(
VLOOKUP($C19,BASE_CIERRE_MES!$C:$G,5,FALSE)=0,
"Normalización",
IF(
VLOOKUP($C19,BASE_CIERRE_MES!$C:$G,5,FALSE)&lt;$H19,
"Recuperación",
IF(
VLOOKUP($C19,BASE_CIERRE_MES!$C:$G,5,FALSE)=$H19,
"Contención",
"Rodamiento"
)))</f>
        <v>Rodamiento</v>
      </c>
      <c r="Q19">
        <f t="shared" si="0"/>
        <v>0</v>
      </c>
    </row>
    <row r="20" spans="1:17" x14ac:dyDescent="0.25">
      <c r="A20">
        <v>8091415</v>
      </c>
      <c r="B20" t="s">
        <v>18</v>
      </c>
      <c r="C20">
        <v>26388699</v>
      </c>
      <c r="D20" t="s">
        <v>7</v>
      </c>
      <c r="E20">
        <v>1961782</v>
      </c>
      <c r="F20" s="2">
        <v>1070425</v>
      </c>
      <c r="G20" s="2">
        <v>119184</v>
      </c>
      <c r="H20">
        <v>60</v>
      </c>
      <c r="I20" s="1">
        <v>42481</v>
      </c>
      <c r="J20" t="s">
        <v>6</v>
      </c>
      <c r="K20">
        <f>COUNTIFS(GESTIONES!$A:$A, BASE_CUENTAS!$A20, GESTIONES!$B:$B, BASE_CUENTAS!$C20)</f>
        <v>3</v>
      </c>
      <c r="L20">
        <f>COUNTIFS(GESTIONES!$A:$A, BASE_CUENTAS!$A20,GESTIONES!$B:$B, BASE_CUENTAS!$C20,GESTIONES!$E:$E, "S")</f>
        <v>1</v>
      </c>
      <c r="M20">
        <f>COUNTIFS(GESTIONES!$A:$A, BASE_CUENTAS!$A20,GESTIONES!$B:$B, BASE_CUENTAS!$C20,GESTIONES!$E:$E, "N")</f>
        <v>2</v>
      </c>
      <c r="N20">
        <f>COUNTIFS(GESTIONES!$A:$A, BASE_CUENTAS!$A20,GESTIONES!$B:$B, BASE_CUENTAS!$C20,GESTIONES!$D:$D, "SMS")</f>
        <v>1</v>
      </c>
      <c r="O20">
        <f>SUMIFS(PAGOS!$D:$D,PAGOS!$A:$A, BASE_CUENTAS!$A20,PAGOS!$B:$B, BASE_CUENTAS!$C20)</f>
        <v>0</v>
      </c>
      <c r="P20" t="str">
        <f>IF(
VLOOKUP($C20,BASE_CIERRE_MES!$C:$G,5,FALSE)=0,
"Normalización",
IF(
VLOOKUP($C20,BASE_CIERRE_MES!$C:$G,5,FALSE)&lt;$H20,
"Recuperación",
IF(
VLOOKUP($C20,BASE_CIERRE_MES!$C:$G,5,FALSE)=$H20,
"Contención",
"Rodamiento"
)))</f>
        <v>Rodamiento</v>
      </c>
      <c r="Q20">
        <f t="shared" si="0"/>
        <v>0</v>
      </c>
    </row>
    <row r="21" spans="1:17" x14ac:dyDescent="0.25">
      <c r="A21">
        <v>8091415</v>
      </c>
      <c r="B21" t="s">
        <v>18</v>
      </c>
      <c r="C21">
        <v>28543492</v>
      </c>
      <c r="D21" t="s">
        <v>7</v>
      </c>
      <c r="E21">
        <v>1961782</v>
      </c>
      <c r="F21" s="2">
        <v>891357</v>
      </c>
      <c r="G21" s="2">
        <v>51253</v>
      </c>
      <c r="H21">
        <v>30</v>
      </c>
      <c r="I21" s="1">
        <v>42523</v>
      </c>
      <c r="J21" t="s">
        <v>6</v>
      </c>
      <c r="K21">
        <f>COUNTIFS(GESTIONES!$A:$A, BASE_CUENTAS!$A21, GESTIONES!$B:$B, BASE_CUENTAS!$C21)</f>
        <v>3</v>
      </c>
      <c r="L21">
        <f>COUNTIFS(GESTIONES!$A:$A, BASE_CUENTAS!$A21,GESTIONES!$B:$B, BASE_CUENTAS!$C21,GESTIONES!$E:$E, "S")</f>
        <v>1</v>
      </c>
      <c r="M21">
        <f>COUNTIFS(GESTIONES!$A:$A, BASE_CUENTAS!$A21,GESTIONES!$B:$B, BASE_CUENTAS!$C21,GESTIONES!$E:$E, "N")</f>
        <v>2</v>
      </c>
      <c r="N21">
        <f>COUNTIFS(GESTIONES!$A:$A, BASE_CUENTAS!$A21,GESTIONES!$B:$B, BASE_CUENTAS!$C21,GESTIONES!$D:$D, "SMS")</f>
        <v>0</v>
      </c>
      <c r="O21">
        <f>SUMIFS(PAGOS!$D:$D,PAGOS!$A:$A, BASE_CUENTAS!$A21,PAGOS!$B:$B, BASE_CUENTAS!$C21)</f>
        <v>0</v>
      </c>
      <c r="P21" t="str">
        <f>IF(
VLOOKUP($C21,BASE_CIERRE_MES!$C:$G,5,FALSE)=0,
"Normalización",
IF(
VLOOKUP($C21,BASE_CIERRE_MES!$C:$G,5,FALSE)&lt;$H21,
"Recuperación",
IF(
VLOOKUP($C21,BASE_CIERRE_MES!$C:$G,5,FALSE)=$H21,
"Contención",
"Rodamiento"
)))</f>
        <v>Rodamiento</v>
      </c>
      <c r="Q21">
        <f t="shared" si="0"/>
        <v>0</v>
      </c>
    </row>
    <row r="22" spans="1:17" x14ac:dyDescent="0.25">
      <c r="A22">
        <v>8091720</v>
      </c>
      <c r="B22" t="s">
        <v>16</v>
      </c>
      <c r="C22">
        <v>25710171</v>
      </c>
      <c r="D22" t="s">
        <v>7</v>
      </c>
      <c r="E22">
        <v>20409234</v>
      </c>
      <c r="F22" s="2">
        <v>4068219</v>
      </c>
      <c r="G22" s="2">
        <v>551735</v>
      </c>
      <c r="H22">
        <v>30</v>
      </c>
      <c r="I22" s="1">
        <v>42508</v>
      </c>
      <c r="J22" t="s">
        <v>6</v>
      </c>
      <c r="K22">
        <f>COUNTIFS(GESTIONES!$A:$A, BASE_CUENTAS!$A22, GESTIONES!$B:$B, BASE_CUENTAS!$C22)</f>
        <v>3</v>
      </c>
      <c r="L22">
        <f>COUNTIFS(GESTIONES!$A:$A, BASE_CUENTAS!$A22,GESTIONES!$B:$B, BASE_CUENTAS!$C22,GESTIONES!$E:$E, "S")</f>
        <v>1</v>
      </c>
      <c r="M22">
        <f>COUNTIFS(GESTIONES!$A:$A, BASE_CUENTAS!$A22,GESTIONES!$B:$B, BASE_CUENTAS!$C22,GESTIONES!$E:$E, "N")</f>
        <v>2</v>
      </c>
      <c r="N22">
        <f>COUNTIFS(GESTIONES!$A:$A, BASE_CUENTAS!$A22,GESTIONES!$B:$B, BASE_CUENTAS!$C22,GESTIONES!$D:$D, "SMS")</f>
        <v>1</v>
      </c>
      <c r="O22">
        <f>SUMIFS(PAGOS!$D:$D,PAGOS!$A:$A, BASE_CUENTAS!$A22,PAGOS!$B:$B, BASE_CUENTAS!$C22)</f>
        <v>0</v>
      </c>
      <c r="P22" t="str">
        <f>IF(
VLOOKUP($C22,BASE_CIERRE_MES!$C:$G,5,FALSE)=0,
"Normalización",
IF(
VLOOKUP($C22,BASE_CIERRE_MES!$C:$G,5,FALSE)&lt;$H22,
"Recuperación",
IF(
VLOOKUP($C22,BASE_CIERRE_MES!$C:$G,5,FALSE)=$H22,
"Contención",
"Rodamiento"
)))</f>
        <v>Rodamiento</v>
      </c>
      <c r="Q22">
        <f t="shared" si="0"/>
        <v>0</v>
      </c>
    </row>
    <row r="23" spans="1:17" x14ac:dyDescent="0.25">
      <c r="A23">
        <v>8091720</v>
      </c>
      <c r="B23" t="s">
        <v>16</v>
      </c>
      <c r="C23">
        <v>25711212</v>
      </c>
      <c r="D23" t="s">
        <v>7</v>
      </c>
      <c r="E23">
        <v>20409234</v>
      </c>
      <c r="F23" s="2">
        <v>3022366</v>
      </c>
      <c r="G23" s="2">
        <v>1286278</v>
      </c>
      <c r="H23">
        <v>90</v>
      </c>
      <c r="I23" s="1">
        <v>42508</v>
      </c>
      <c r="J23" t="s">
        <v>6</v>
      </c>
      <c r="K23">
        <f>COUNTIFS(GESTIONES!$A:$A, BASE_CUENTAS!$A23, GESTIONES!$B:$B, BASE_CUENTAS!$C23)</f>
        <v>3</v>
      </c>
      <c r="L23">
        <f>COUNTIFS(GESTIONES!$A:$A, BASE_CUENTAS!$A23,GESTIONES!$B:$B, BASE_CUENTAS!$C23,GESTIONES!$E:$E, "S")</f>
        <v>1</v>
      </c>
      <c r="M23">
        <f>COUNTIFS(GESTIONES!$A:$A, BASE_CUENTAS!$A23,GESTIONES!$B:$B, BASE_CUENTAS!$C23,GESTIONES!$E:$E, "N")</f>
        <v>2</v>
      </c>
      <c r="N23">
        <f>COUNTIFS(GESTIONES!$A:$A, BASE_CUENTAS!$A23,GESTIONES!$B:$B, BASE_CUENTAS!$C23,GESTIONES!$D:$D, "SMS")</f>
        <v>0</v>
      </c>
      <c r="O23">
        <f>SUMIFS(PAGOS!$D:$D,PAGOS!$A:$A, BASE_CUENTAS!$A23,PAGOS!$B:$B, BASE_CUENTAS!$C23)</f>
        <v>1286278</v>
      </c>
      <c r="P23" t="str">
        <f>IF(
VLOOKUP($C23,BASE_CIERRE_MES!$C:$G,5,FALSE)=0,
"Normalización",
IF(
VLOOKUP($C23,BASE_CIERRE_MES!$C:$G,5,FALSE)&lt;$H23,
"Recuperación",
IF(
VLOOKUP($C23,BASE_CIERRE_MES!$C:$G,5,FALSE)=$H23,
"Contención",
"Rodamiento"
)))</f>
        <v>Normalización</v>
      </c>
      <c r="Q23">
        <f t="shared" si="0"/>
        <v>0.4255864445272346</v>
      </c>
    </row>
    <row r="24" spans="1:17" x14ac:dyDescent="0.25">
      <c r="A24">
        <v>8091720</v>
      </c>
      <c r="B24" t="s">
        <v>16</v>
      </c>
      <c r="C24">
        <v>25711791</v>
      </c>
      <c r="D24" t="s">
        <v>7</v>
      </c>
      <c r="E24">
        <v>20409234</v>
      </c>
      <c r="F24" s="2">
        <v>6752322</v>
      </c>
      <c r="G24" s="2">
        <v>1226946</v>
      </c>
      <c r="H24">
        <v>90</v>
      </c>
      <c r="I24" s="1">
        <v>42508</v>
      </c>
      <c r="J24" t="s">
        <v>6</v>
      </c>
      <c r="K24">
        <f>COUNTIFS(GESTIONES!$A:$A, BASE_CUENTAS!$A24, GESTIONES!$B:$B, BASE_CUENTAS!$C24)</f>
        <v>3</v>
      </c>
      <c r="L24">
        <f>COUNTIFS(GESTIONES!$A:$A, BASE_CUENTAS!$A24,GESTIONES!$B:$B, BASE_CUENTAS!$C24,GESTIONES!$E:$E, "S")</f>
        <v>0</v>
      </c>
      <c r="M24">
        <f>COUNTIFS(GESTIONES!$A:$A, BASE_CUENTAS!$A24,GESTIONES!$B:$B, BASE_CUENTAS!$C24,GESTIONES!$E:$E, "N")</f>
        <v>3</v>
      </c>
      <c r="N24">
        <f>COUNTIFS(GESTIONES!$A:$A, BASE_CUENTAS!$A24,GESTIONES!$B:$B, BASE_CUENTAS!$C24,GESTIONES!$D:$D, "SMS")</f>
        <v>2</v>
      </c>
      <c r="O24">
        <f>SUMIFS(PAGOS!$D:$D,PAGOS!$A:$A, BASE_CUENTAS!$A24,PAGOS!$B:$B, BASE_CUENTAS!$C24)</f>
        <v>613473</v>
      </c>
      <c r="P24" t="str">
        <f>IF(
VLOOKUP($C24,BASE_CIERRE_MES!$C:$G,5,FALSE)=0,
"Normalización",
IF(
VLOOKUP($C24,BASE_CIERRE_MES!$C:$G,5,FALSE)&lt;$H24,
"Recuperación",
IF(
VLOOKUP($C24,BASE_CIERRE_MES!$C:$G,5,FALSE)=$H24,
"Contención",
"Rodamiento"
)))</f>
        <v>Recuperación</v>
      </c>
      <c r="Q24">
        <f t="shared" si="0"/>
        <v>9.0853635238366884E-2</v>
      </c>
    </row>
    <row r="25" spans="1:17" x14ac:dyDescent="0.25">
      <c r="A25">
        <v>8092203</v>
      </c>
      <c r="B25" t="s">
        <v>18</v>
      </c>
      <c r="C25">
        <v>27368714</v>
      </c>
      <c r="D25" t="s">
        <v>7</v>
      </c>
      <c r="E25">
        <v>1640018</v>
      </c>
      <c r="F25" s="2">
        <v>1640018</v>
      </c>
      <c r="G25" s="2">
        <v>45380</v>
      </c>
      <c r="H25">
        <v>30</v>
      </c>
      <c r="I25" s="1">
        <v>42521</v>
      </c>
      <c r="J25" t="s">
        <v>4</v>
      </c>
      <c r="K25">
        <f>COUNTIFS(GESTIONES!$A:$A, BASE_CUENTAS!$A25, GESTIONES!$B:$B, BASE_CUENTAS!$C25)</f>
        <v>3</v>
      </c>
      <c r="L25">
        <f>COUNTIFS(GESTIONES!$A:$A, BASE_CUENTAS!$A25,GESTIONES!$B:$B, BASE_CUENTAS!$C25,GESTIONES!$E:$E, "S")</f>
        <v>1</v>
      </c>
      <c r="M25">
        <f>COUNTIFS(GESTIONES!$A:$A, BASE_CUENTAS!$A25,GESTIONES!$B:$B, BASE_CUENTAS!$C25,GESTIONES!$E:$E, "N")</f>
        <v>2</v>
      </c>
      <c r="N25">
        <f>COUNTIFS(GESTIONES!$A:$A, BASE_CUENTAS!$A25,GESTIONES!$B:$B, BASE_CUENTAS!$C25,GESTIONES!$D:$D, "SMS")</f>
        <v>1</v>
      </c>
      <c r="O25">
        <f>SUMIFS(PAGOS!$D:$D,PAGOS!$A:$A, BASE_CUENTAS!$A25,PAGOS!$B:$B, BASE_CUENTAS!$C25)</f>
        <v>1640018</v>
      </c>
      <c r="P25" t="str">
        <f>IF(
VLOOKUP($C25,BASE_CIERRE_MES!$C:$G,5,FALSE)=0,
"Normalización",
IF(
VLOOKUP($C25,BASE_CIERRE_MES!$C:$G,5,FALSE)&lt;$H25,
"Recuperación",
IF(
VLOOKUP($C25,BASE_CIERRE_MES!$C:$G,5,FALSE)=$H25,
"Contención",
"Rodamiento"
)))</f>
        <v>Normalización</v>
      </c>
      <c r="Q25">
        <f t="shared" si="0"/>
        <v>1</v>
      </c>
    </row>
    <row r="26" spans="1:17" x14ac:dyDescent="0.25">
      <c r="A26">
        <v>8092365</v>
      </c>
      <c r="B26" t="s">
        <v>18</v>
      </c>
      <c r="C26">
        <v>26716493</v>
      </c>
      <c r="D26" t="s">
        <v>7</v>
      </c>
      <c r="E26">
        <v>1440570</v>
      </c>
      <c r="F26" s="2">
        <v>1440570</v>
      </c>
      <c r="G26" s="2">
        <v>133848</v>
      </c>
      <c r="H26">
        <v>30</v>
      </c>
      <c r="I26" s="1">
        <v>42521</v>
      </c>
      <c r="J26" t="s">
        <v>4</v>
      </c>
      <c r="K26">
        <f>COUNTIFS(GESTIONES!$A:$A, BASE_CUENTAS!$A26, GESTIONES!$B:$B, BASE_CUENTAS!$C26)</f>
        <v>3</v>
      </c>
      <c r="L26">
        <f>COUNTIFS(GESTIONES!$A:$A, BASE_CUENTAS!$A26,GESTIONES!$B:$B, BASE_CUENTAS!$C26,GESTIONES!$E:$E, "S")</f>
        <v>1</v>
      </c>
      <c r="M26">
        <f>COUNTIFS(GESTIONES!$A:$A, BASE_CUENTAS!$A26,GESTIONES!$B:$B, BASE_CUENTAS!$C26,GESTIONES!$E:$E, "N")</f>
        <v>2</v>
      </c>
      <c r="N26">
        <f>COUNTIFS(GESTIONES!$A:$A, BASE_CUENTAS!$A26,GESTIONES!$B:$B, BASE_CUENTAS!$C26,GESTIONES!$D:$D, "SMS")</f>
        <v>0</v>
      </c>
      <c r="O26">
        <f>SUMIFS(PAGOS!$D:$D,PAGOS!$A:$A, BASE_CUENTAS!$A26,PAGOS!$B:$B, BASE_CUENTAS!$C26)</f>
        <v>44616</v>
      </c>
      <c r="P26" t="str">
        <f>IF(
VLOOKUP($C26,BASE_CIERRE_MES!$C:$G,5,FALSE)=0,
"Normalización",
IF(
VLOOKUP($C26,BASE_CIERRE_MES!$C:$G,5,FALSE)&lt;$H26,
"Recuperación",
IF(
VLOOKUP($C26,BASE_CIERRE_MES!$C:$G,5,FALSE)=$H26,
"Contención",
"Rodamiento"
)))</f>
        <v>Contención</v>
      </c>
      <c r="Q26">
        <f t="shared" si="0"/>
        <v>3.0971073949894835E-2</v>
      </c>
    </row>
    <row r="27" spans="1:17" x14ac:dyDescent="0.25">
      <c r="A27">
        <v>8120004</v>
      </c>
      <c r="B27" t="s">
        <v>18</v>
      </c>
      <c r="C27">
        <v>27770039</v>
      </c>
      <c r="D27" t="s">
        <v>7</v>
      </c>
      <c r="E27">
        <v>934528</v>
      </c>
      <c r="F27" s="2">
        <v>323819</v>
      </c>
      <c r="G27" s="2">
        <v>68141</v>
      </c>
      <c r="H27">
        <v>30</v>
      </c>
      <c r="I27" s="1">
        <v>42509</v>
      </c>
      <c r="J27" t="s">
        <v>6</v>
      </c>
      <c r="K27">
        <f>COUNTIFS(GESTIONES!$A:$A, BASE_CUENTAS!$A27, GESTIONES!$B:$B, BASE_CUENTAS!$C27)</f>
        <v>3</v>
      </c>
      <c r="L27">
        <f>COUNTIFS(GESTIONES!$A:$A, BASE_CUENTAS!$A27,GESTIONES!$B:$B, BASE_CUENTAS!$C27,GESTIONES!$E:$E, "S")</f>
        <v>1</v>
      </c>
      <c r="M27">
        <f>COUNTIFS(GESTIONES!$A:$A, BASE_CUENTAS!$A27,GESTIONES!$B:$B, BASE_CUENTAS!$C27,GESTIONES!$E:$E, "N")</f>
        <v>2</v>
      </c>
      <c r="N27">
        <f>COUNTIFS(GESTIONES!$A:$A, BASE_CUENTAS!$A27,GESTIONES!$B:$B, BASE_CUENTAS!$C27,GESTIONES!$D:$D, "SMS")</f>
        <v>1</v>
      </c>
      <c r="O27">
        <f>SUMIFS(PAGOS!$D:$D,PAGOS!$A:$A, BASE_CUENTAS!$A27,PAGOS!$B:$B, BASE_CUENTAS!$C27)</f>
        <v>0</v>
      </c>
      <c r="P27" t="str">
        <f>IF(
VLOOKUP($C27,BASE_CIERRE_MES!$C:$G,5,FALSE)=0,
"Normalización",
IF(
VLOOKUP($C27,BASE_CIERRE_MES!$C:$G,5,FALSE)&lt;$H27,
"Recuperación",
IF(
VLOOKUP($C27,BASE_CIERRE_MES!$C:$G,5,FALSE)=$H27,
"Contención",
"Rodamiento"
)))</f>
        <v>Rodamiento</v>
      </c>
      <c r="Q27">
        <f t="shared" si="0"/>
        <v>0</v>
      </c>
    </row>
    <row r="28" spans="1:17" x14ac:dyDescent="0.25">
      <c r="A28">
        <v>8120077</v>
      </c>
      <c r="B28" t="s">
        <v>18</v>
      </c>
      <c r="C28">
        <v>23053023</v>
      </c>
      <c r="D28" t="s">
        <v>7</v>
      </c>
      <c r="E28">
        <v>2420324</v>
      </c>
      <c r="F28" s="2">
        <v>205309</v>
      </c>
      <c r="G28" s="2">
        <v>205309</v>
      </c>
      <c r="H28">
        <v>150</v>
      </c>
      <c r="I28" s="1">
        <v>42480</v>
      </c>
      <c r="J28" t="s">
        <v>5</v>
      </c>
      <c r="K28">
        <f>COUNTIFS(GESTIONES!$A:$A, BASE_CUENTAS!$A28, GESTIONES!$B:$B, BASE_CUENTAS!$C28)</f>
        <v>3</v>
      </c>
      <c r="L28">
        <f>COUNTIFS(GESTIONES!$A:$A, BASE_CUENTAS!$A28,GESTIONES!$B:$B, BASE_CUENTAS!$C28,GESTIONES!$E:$E, "S")</f>
        <v>1</v>
      </c>
      <c r="M28">
        <f>COUNTIFS(GESTIONES!$A:$A, BASE_CUENTAS!$A28,GESTIONES!$B:$B, BASE_CUENTAS!$C28,GESTIONES!$E:$E, "N")</f>
        <v>2</v>
      </c>
      <c r="N28">
        <f>COUNTIFS(GESTIONES!$A:$A, BASE_CUENTAS!$A28,GESTIONES!$B:$B, BASE_CUENTAS!$C28,GESTIONES!$D:$D, "SMS")</f>
        <v>0</v>
      </c>
      <c r="O28">
        <f>SUMIFS(PAGOS!$D:$D,PAGOS!$A:$A, BASE_CUENTAS!$A28,PAGOS!$B:$B, BASE_CUENTAS!$C28)</f>
        <v>205309</v>
      </c>
      <c r="P28" t="str">
        <f>IF(
VLOOKUP($C28,BASE_CIERRE_MES!$C:$G,5,FALSE)=0,
"Normalización",
IF(
VLOOKUP($C28,BASE_CIERRE_MES!$C:$G,5,FALSE)&lt;$H28,
"Recuperación",
IF(
VLOOKUP($C28,BASE_CIERRE_MES!$C:$G,5,FALSE)=$H28,
"Contención",
"Rodamiento"
)))</f>
        <v>Normalización</v>
      </c>
      <c r="Q28">
        <f t="shared" si="0"/>
        <v>1</v>
      </c>
    </row>
    <row r="29" spans="1:17" x14ac:dyDescent="0.25">
      <c r="A29">
        <v>8120077</v>
      </c>
      <c r="B29" t="s">
        <v>18</v>
      </c>
      <c r="C29">
        <v>23102782</v>
      </c>
      <c r="D29" t="s">
        <v>7</v>
      </c>
      <c r="E29">
        <v>2420324</v>
      </c>
      <c r="F29" s="2">
        <v>2215015</v>
      </c>
      <c r="G29" s="2">
        <v>2215015</v>
      </c>
      <c r="H29">
        <v>150</v>
      </c>
      <c r="I29" s="1">
        <v>42487</v>
      </c>
      <c r="J29" t="s">
        <v>5</v>
      </c>
      <c r="K29">
        <f>COUNTIFS(GESTIONES!$A:$A, BASE_CUENTAS!$A29, GESTIONES!$B:$B, BASE_CUENTAS!$C29)</f>
        <v>3</v>
      </c>
      <c r="L29">
        <f>COUNTIFS(GESTIONES!$A:$A, BASE_CUENTAS!$A29,GESTIONES!$B:$B, BASE_CUENTAS!$C29,GESTIONES!$E:$E, "S")</f>
        <v>0</v>
      </c>
      <c r="M29">
        <f>COUNTIFS(GESTIONES!$A:$A, BASE_CUENTAS!$A29,GESTIONES!$B:$B, BASE_CUENTAS!$C29,GESTIONES!$E:$E, "N")</f>
        <v>3</v>
      </c>
      <c r="N29">
        <f>COUNTIFS(GESTIONES!$A:$A, BASE_CUENTAS!$A29,GESTIONES!$B:$B, BASE_CUENTAS!$C29,GESTIONES!$D:$D, "SMS")</f>
        <v>2</v>
      </c>
      <c r="O29">
        <f>SUMIFS(PAGOS!$D:$D,PAGOS!$A:$A, BASE_CUENTAS!$A29,PAGOS!$B:$B, BASE_CUENTAS!$C29)</f>
        <v>0</v>
      </c>
      <c r="P29" t="str">
        <f>IF(
VLOOKUP($C29,BASE_CIERRE_MES!$C:$G,5,FALSE)=0,
"Normalización",
IF(
VLOOKUP($C29,BASE_CIERRE_MES!$C:$G,5,FALSE)&lt;$H29,
"Recuperación",
IF(
VLOOKUP($C29,BASE_CIERRE_MES!$C:$G,5,FALSE)=$H29,
"Contención",
"Rodamiento"
)))</f>
        <v>Rodamiento</v>
      </c>
      <c r="Q29">
        <f t="shared" si="0"/>
        <v>0</v>
      </c>
    </row>
    <row r="30" spans="1:17" x14ac:dyDescent="0.25">
      <c r="A30">
        <v>8120123</v>
      </c>
      <c r="B30" t="s">
        <v>18</v>
      </c>
      <c r="C30">
        <v>24060274</v>
      </c>
      <c r="D30" t="s">
        <v>7</v>
      </c>
      <c r="E30">
        <v>1788407</v>
      </c>
      <c r="F30" s="2">
        <v>320799</v>
      </c>
      <c r="G30" s="2">
        <v>116536</v>
      </c>
      <c r="H30">
        <v>30</v>
      </c>
      <c r="I30" s="1">
        <v>42521</v>
      </c>
      <c r="J30" t="s">
        <v>4</v>
      </c>
      <c r="K30">
        <f>COUNTIFS(GESTIONES!$A:$A, BASE_CUENTAS!$A30, GESTIONES!$B:$B, BASE_CUENTAS!$C30)</f>
        <v>3</v>
      </c>
      <c r="L30">
        <f>COUNTIFS(GESTIONES!$A:$A, BASE_CUENTAS!$A30,GESTIONES!$B:$B, BASE_CUENTAS!$C30,GESTIONES!$E:$E, "S")</f>
        <v>1</v>
      </c>
      <c r="M30">
        <f>COUNTIFS(GESTIONES!$A:$A, BASE_CUENTAS!$A30,GESTIONES!$B:$B, BASE_CUENTAS!$C30,GESTIONES!$E:$E, "N")</f>
        <v>2</v>
      </c>
      <c r="N30">
        <f>COUNTIFS(GESTIONES!$A:$A, BASE_CUENTAS!$A30,GESTIONES!$B:$B, BASE_CUENTAS!$C30,GESTIONES!$D:$D, "SMS")</f>
        <v>1</v>
      </c>
      <c r="O30">
        <f>SUMIFS(PAGOS!$D:$D,PAGOS!$A:$A, BASE_CUENTAS!$A30,PAGOS!$B:$B, BASE_CUENTAS!$C30)</f>
        <v>0</v>
      </c>
      <c r="P30" t="str">
        <f>IF(
VLOOKUP($C30,BASE_CIERRE_MES!$C:$G,5,FALSE)=0,
"Normalización",
IF(
VLOOKUP($C30,BASE_CIERRE_MES!$C:$G,5,FALSE)&lt;$H30,
"Recuperación",
IF(
VLOOKUP($C30,BASE_CIERRE_MES!$C:$G,5,FALSE)=$H30,
"Contención",
"Rodamiento"
)))</f>
        <v>Rodamiento</v>
      </c>
      <c r="Q30">
        <f t="shared" si="0"/>
        <v>0</v>
      </c>
    </row>
    <row r="31" spans="1:17" x14ac:dyDescent="0.25">
      <c r="A31">
        <v>8120123</v>
      </c>
      <c r="B31" t="s">
        <v>18</v>
      </c>
      <c r="C31">
        <v>24378668</v>
      </c>
      <c r="D31" t="s">
        <v>7</v>
      </c>
      <c r="E31">
        <v>1788407</v>
      </c>
      <c r="F31" s="2">
        <v>1467608</v>
      </c>
      <c r="G31" s="2">
        <v>197364</v>
      </c>
      <c r="H31">
        <v>30</v>
      </c>
      <c r="I31" s="1">
        <v>42521</v>
      </c>
      <c r="J31" t="s">
        <v>4</v>
      </c>
      <c r="K31">
        <f>COUNTIFS(GESTIONES!$A:$A, BASE_CUENTAS!$A31, GESTIONES!$B:$B, BASE_CUENTAS!$C31)</f>
        <v>3</v>
      </c>
      <c r="L31">
        <f>COUNTIFS(GESTIONES!$A:$A, BASE_CUENTAS!$A31,GESTIONES!$B:$B, BASE_CUENTAS!$C31,GESTIONES!$E:$E, "S")</f>
        <v>1</v>
      </c>
      <c r="M31">
        <f>COUNTIFS(GESTIONES!$A:$A, BASE_CUENTAS!$A31,GESTIONES!$B:$B, BASE_CUENTAS!$C31,GESTIONES!$E:$E, "N")</f>
        <v>2</v>
      </c>
      <c r="N31">
        <f>COUNTIFS(GESTIONES!$A:$A, BASE_CUENTAS!$A31,GESTIONES!$B:$B, BASE_CUENTAS!$C31,GESTIONES!$D:$D, "SMS")</f>
        <v>0</v>
      </c>
      <c r="O31">
        <f>SUMIFS(PAGOS!$D:$D,PAGOS!$A:$A, BASE_CUENTAS!$A31,PAGOS!$B:$B, BASE_CUENTAS!$C31)</f>
        <v>0</v>
      </c>
      <c r="P31" t="str">
        <f>IF(
VLOOKUP($C31,BASE_CIERRE_MES!$C:$G,5,FALSE)=0,
"Normalización",
IF(
VLOOKUP($C31,BASE_CIERRE_MES!$C:$G,5,FALSE)&lt;$H31,
"Recuperación",
IF(
VLOOKUP($C31,BASE_CIERRE_MES!$C:$G,5,FALSE)=$H31,
"Contención",
"Rodamiento"
)))</f>
        <v>Rodamiento</v>
      </c>
      <c r="Q31">
        <f t="shared" si="0"/>
        <v>0</v>
      </c>
    </row>
    <row r="32" spans="1:17" x14ac:dyDescent="0.25">
      <c r="A32">
        <v>8120258</v>
      </c>
      <c r="B32" t="s">
        <v>18</v>
      </c>
      <c r="C32">
        <v>22218377</v>
      </c>
      <c r="D32" t="s">
        <v>7</v>
      </c>
      <c r="E32">
        <v>1412302</v>
      </c>
      <c r="F32" s="2">
        <v>1412302</v>
      </c>
      <c r="G32" s="2">
        <v>1412302</v>
      </c>
      <c r="H32">
        <v>360</v>
      </c>
      <c r="I32" s="1">
        <v>42443</v>
      </c>
      <c r="J32" t="s">
        <v>5</v>
      </c>
      <c r="K32">
        <f>COUNTIFS(GESTIONES!$A:$A, BASE_CUENTAS!$A32, GESTIONES!$B:$B, BASE_CUENTAS!$C32)</f>
        <v>3</v>
      </c>
      <c r="L32">
        <f>COUNTIFS(GESTIONES!$A:$A, BASE_CUENTAS!$A32,GESTIONES!$B:$B, BASE_CUENTAS!$C32,GESTIONES!$E:$E, "S")</f>
        <v>1</v>
      </c>
      <c r="M32">
        <f>COUNTIFS(GESTIONES!$A:$A, BASE_CUENTAS!$A32,GESTIONES!$B:$B, BASE_CUENTAS!$C32,GESTIONES!$E:$E, "N")</f>
        <v>2</v>
      </c>
      <c r="N32">
        <f>COUNTIFS(GESTIONES!$A:$A, BASE_CUENTAS!$A32,GESTIONES!$B:$B, BASE_CUENTAS!$C32,GESTIONES!$D:$D, "SMS")</f>
        <v>1</v>
      </c>
      <c r="O32">
        <f>SUMIFS(PAGOS!$D:$D,PAGOS!$A:$A, BASE_CUENTAS!$A32,PAGOS!$B:$B, BASE_CUENTAS!$C32)</f>
        <v>1412302</v>
      </c>
      <c r="P32" t="str">
        <f>IF(
VLOOKUP($C32,BASE_CIERRE_MES!$C:$G,5,FALSE)=0,
"Normalización",
IF(
VLOOKUP($C32,BASE_CIERRE_MES!$C:$G,5,FALSE)&lt;$H32,
"Recuperación",
IF(
VLOOKUP($C32,BASE_CIERRE_MES!$C:$G,5,FALSE)=$H32,
"Contención",
"Rodamiento"
)))</f>
        <v>Normalización</v>
      </c>
      <c r="Q32">
        <f t="shared" si="0"/>
        <v>1</v>
      </c>
    </row>
    <row r="33" spans="1:17" x14ac:dyDescent="0.25">
      <c r="A33">
        <v>8120280</v>
      </c>
      <c r="B33" t="s">
        <v>17</v>
      </c>
      <c r="C33">
        <v>17490411</v>
      </c>
      <c r="D33" t="s">
        <v>7</v>
      </c>
      <c r="E33">
        <v>10326033</v>
      </c>
      <c r="F33" s="2">
        <v>5680456</v>
      </c>
      <c r="G33" s="2">
        <v>813887</v>
      </c>
      <c r="H33">
        <v>30</v>
      </c>
      <c r="I33" s="1">
        <v>42521</v>
      </c>
      <c r="J33" t="s">
        <v>4</v>
      </c>
      <c r="K33">
        <f>COUNTIFS(GESTIONES!$A:$A, BASE_CUENTAS!$A33, GESTIONES!$B:$B, BASE_CUENTAS!$C33)</f>
        <v>3</v>
      </c>
      <c r="L33">
        <f>COUNTIFS(GESTIONES!$A:$A, BASE_CUENTAS!$A33,GESTIONES!$B:$B, BASE_CUENTAS!$C33,GESTIONES!$E:$E, "S")</f>
        <v>2</v>
      </c>
      <c r="M33">
        <f>COUNTIFS(GESTIONES!$A:$A, BASE_CUENTAS!$A33,GESTIONES!$B:$B, BASE_CUENTAS!$C33,GESTIONES!$E:$E, "N")</f>
        <v>1</v>
      </c>
      <c r="N33">
        <f>COUNTIFS(GESTIONES!$A:$A, BASE_CUENTAS!$A33,GESTIONES!$B:$B, BASE_CUENTAS!$C33,GESTIONES!$D:$D, "SMS")</f>
        <v>0</v>
      </c>
      <c r="O33">
        <f>SUMIFS(PAGOS!$D:$D,PAGOS!$A:$A, BASE_CUENTAS!$A33,PAGOS!$B:$B, BASE_CUENTAS!$C33)</f>
        <v>0</v>
      </c>
      <c r="P33" t="str">
        <f>IF(
VLOOKUP($C33,BASE_CIERRE_MES!$C:$G,5,FALSE)=0,
"Normalización",
IF(
VLOOKUP($C33,BASE_CIERRE_MES!$C:$G,5,FALSE)&lt;$H33,
"Recuperación",
IF(
VLOOKUP($C33,BASE_CIERRE_MES!$C:$G,5,FALSE)=$H33,
"Contención",
"Rodamiento"
)))</f>
        <v>Rodamiento</v>
      </c>
      <c r="Q33">
        <f t="shared" si="0"/>
        <v>0</v>
      </c>
    </row>
    <row r="34" spans="1:17" x14ac:dyDescent="0.25">
      <c r="A34">
        <v>8120338</v>
      </c>
      <c r="B34" t="s">
        <v>16</v>
      </c>
      <c r="C34">
        <v>25641175</v>
      </c>
      <c r="D34" t="s">
        <v>8</v>
      </c>
      <c r="E34">
        <v>113947293</v>
      </c>
      <c r="F34" s="2">
        <v>111268433</v>
      </c>
      <c r="G34" s="2">
        <v>1264807</v>
      </c>
      <c r="H34">
        <v>16</v>
      </c>
      <c r="I34" s="1">
        <v>42515</v>
      </c>
      <c r="J34" t="s">
        <v>6</v>
      </c>
      <c r="K34">
        <f>COUNTIFS(GESTIONES!$A:$A, BASE_CUENTAS!$A34, GESTIONES!$B:$B, BASE_CUENTAS!$C34)</f>
        <v>3</v>
      </c>
      <c r="L34">
        <f>COUNTIFS(GESTIONES!$A:$A, BASE_CUENTAS!$A34,GESTIONES!$B:$B, BASE_CUENTAS!$C34,GESTIONES!$E:$E, "S")</f>
        <v>1</v>
      </c>
      <c r="M34">
        <f>COUNTIFS(GESTIONES!$A:$A, BASE_CUENTAS!$A34,GESTIONES!$B:$B, BASE_CUENTAS!$C34,GESTIONES!$E:$E, "N")</f>
        <v>2</v>
      </c>
      <c r="N34">
        <f>COUNTIFS(GESTIONES!$A:$A, BASE_CUENTAS!$A34,GESTIONES!$B:$B, BASE_CUENTAS!$C34,GESTIONES!$D:$D, "SMS")</f>
        <v>1</v>
      </c>
      <c r="O34">
        <f>SUMIFS(PAGOS!$D:$D,PAGOS!$A:$A, BASE_CUENTAS!$A34,PAGOS!$B:$B, BASE_CUENTAS!$C34)</f>
        <v>0</v>
      </c>
      <c r="P34" t="str">
        <f>IF(
VLOOKUP($C34,BASE_CIERRE_MES!$C:$G,5,FALSE)=0,
"Normalización",
IF(
VLOOKUP($C34,BASE_CIERRE_MES!$C:$G,5,FALSE)&lt;$H34,
"Recuperación",
IF(
VLOOKUP($C34,BASE_CIERRE_MES!$C:$G,5,FALSE)=$H34,
"Contención",
"Rodamiento"
)))</f>
        <v>Rodamiento</v>
      </c>
      <c r="Q34">
        <f t="shared" si="0"/>
        <v>0</v>
      </c>
    </row>
    <row r="35" spans="1:17" x14ac:dyDescent="0.25">
      <c r="A35">
        <v>8120338</v>
      </c>
      <c r="B35" t="s">
        <v>16</v>
      </c>
      <c r="C35">
        <v>27451233</v>
      </c>
      <c r="D35" t="s">
        <v>7</v>
      </c>
      <c r="E35">
        <v>113947293</v>
      </c>
      <c r="F35" s="2">
        <v>2678861</v>
      </c>
      <c r="G35" s="2">
        <v>335289</v>
      </c>
      <c r="H35">
        <v>30</v>
      </c>
      <c r="I35" s="1">
        <v>42519</v>
      </c>
      <c r="J35" t="s">
        <v>6</v>
      </c>
      <c r="K35">
        <f>COUNTIFS(GESTIONES!$A:$A, BASE_CUENTAS!$A35, GESTIONES!$B:$B, BASE_CUENTAS!$C35)</f>
        <v>3</v>
      </c>
      <c r="L35">
        <f>COUNTIFS(GESTIONES!$A:$A, BASE_CUENTAS!$A35,GESTIONES!$B:$B, BASE_CUENTAS!$C35,GESTIONES!$E:$E, "S")</f>
        <v>0</v>
      </c>
      <c r="M35">
        <f>COUNTIFS(GESTIONES!$A:$A, BASE_CUENTAS!$A35,GESTIONES!$B:$B, BASE_CUENTAS!$C35,GESTIONES!$E:$E, "N")</f>
        <v>3</v>
      </c>
      <c r="N35">
        <f>COUNTIFS(GESTIONES!$A:$A, BASE_CUENTAS!$A35,GESTIONES!$B:$B, BASE_CUENTAS!$C35,GESTIONES!$D:$D, "SMS")</f>
        <v>1</v>
      </c>
      <c r="O35">
        <f>SUMIFS(PAGOS!$D:$D,PAGOS!$A:$A, BASE_CUENTAS!$A35,PAGOS!$B:$B, BASE_CUENTAS!$C35)</f>
        <v>335289</v>
      </c>
      <c r="P35" t="str">
        <f>IF(
VLOOKUP($C35,BASE_CIERRE_MES!$C:$G,5,FALSE)=0,
"Normalización",
IF(
VLOOKUP($C35,BASE_CIERRE_MES!$C:$G,5,FALSE)&lt;$H35,
"Recuperación",
IF(
VLOOKUP($C35,BASE_CIERRE_MES!$C:$G,5,FALSE)=$H35,
"Contención",
"Rodamiento"
)))</f>
        <v>Normalización</v>
      </c>
      <c r="Q35">
        <f t="shared" si="0"/>
        <v>0.12516102925833031</v>
      </c>
    </row>
    <row r="36" spans="1:17" x14ac:dyDescent="0.25">
      <c r="A36">
        <v>8120351</v>
      </c>
      <c r="B36" t="s">
        <v>17</v>
      </c>
      <c r="C36">
        <v>25400500</v>
      </c>
      <c r="D36" t="s">
        <v>7</v>
      </c>
      <c r="E36">
        <v>2878695</v>
      </c>
      <c r="F36" s="2">
        <v>1338193</v>
      </c>
      <c r="G36" s="2">
        <v>16578</v>
      </c>
      <c r="H36">
        <v>30</v>
      </c>
      <c r="I36" s="1">
        <v>42509</v>
      </c>
      <c r="J36" t="s">
        <v>6</v>
      </c>
      <c r="K36">
        <f>COUNTIFS(GESTIONES!$A:$A, BASE_CUENTAS!$A36, GESTIONES!$B:$B, BASE_CUENTAS!$C36)</f>
        <v>3</v>
      </c>
      <c r="L36">
        <f>COUNTIFS(GESTIONES!$A:$A, BASE_CUENTAS!$A36,GESTIONES!$B:$B, BASE_CUENTAS!$C36,GESTIONES!$E:$E, "S")</f>
        <v>1</v>
      </c>
      <c r="M36">
        <f>COUNTIFS(GESTIONES!$A:$A, BASE_CUENTAS!$A36,GESTIONES!$B:$B, BASE_CUENTAS!$C36,GESTIONES!$E:$E, "N")</f>
        <v>2</v>
      </c>
      <c r="N36">
        <f>COUNTIFS(GESTIONES!$A:$A, BASE_CUENTAS!$A36,GESTIONES!$B:$B, BASE_CUENTAS!$C36,GESTIONES!$D:$D, "SMS")</f>
        <v>1</v>
      </c>
      <c r="O36">
        <f>SUMIFS(PAGOS!$D:$D,PAGOS!$A:$A, BASE_CUENTAS!$A36,PAGOS!$B:$B, BASE_CUENTAS!$C36)</f>
        <v>0</v>
      </c>
      <c r="P36" t="str">
        <f>IF(
VLOOKUP($C36,BASE_CIERRE_MES!$C:$G,5,FALSE)=0,
"Normalización",
IF(
VLOOKUP($C36,BASE_CIERRE_MES!$C:$G,5,FALSE)&lt;$H36,
"Recuperación",
IF(
VLOOKUP($C36,BASE_CIERRE_MES!$C:$G,5,FALSE)=$H36,
"Contención",
"Rodamiento"
)))</f>
        <v>Rodamiento</v>
      </c>
      <c r="Q36">
        <f t="shared" si="0"/>
        <v>0</v>
      </c>
    </row>
    <row r="37" spans="1:17" x14ac:dyDescent="0.25">
      <c r="A37">
        <v>8120351</v>
      </c>
      <c r="B37" t="s">
        <v>17</v>
      </c>
      <c r="C37">
        <v>25402114</v>
      </c>
      <c r="D37" t="s">
        <v>7</v>
      </c>
      <c r="E37">
        <v>2878695</v>
      </c>
      <c r="F37" s="2">
        <v>1540501</v>
      </c>
      <c r="G37" s="2">
        <v>130255</v>
      </c>
      <c r="H37">
        <v>30</v>
      </c>
      <c r="I37" s="1">
        <v>42508</v>
      </c>
      <c r="J37" t="s">
        <v>6</v>
      </c>
      <c r="K37">
        <f>COUNTIFS(GESTIONES!$A:$A, BASE_CUENTAS!$A37, GESTIONES!$B:$B, BASE_CUENTAS!$C37)</f>
        <v>3</v>
      </c>
      <c r="L37">
        <f>COUNTIFS(GESTIONES!$A:$A, BASE_CUENTAS!$A37,GESTIONES!$B:$B, BASE_CUENTAS!$C37,GESTIONES!$E:$E, "S")</f>
        <v>1</v>
      </c>
      <c r="M37">
        <f>COUNTIFS(GESTIONES!$A:$A, BASE_CUENTAS!$A37,GESTIONES!$B:$B, BASE_CUENTAS!$C37,GESTIONES!$E:$E, "N")</f>
        <v>2</v>
      </c>
      <c r="N37">
        <f>COUNTIFS(GESTIONES!$A:$A, BASE_CUENTAS!$A37,GESTIONES!$B:$B, BASE_CUENTAS!$C37,GESTIONES!$D:$D, "SMS")</f>
        <v>1</v>
      </c>
      <c r="O37">
        <f>SUMIFS(PAGOS!$D:$D,PAGOS!$A:$A, BASE_CUENTAS!$A37,PAGOS!$B:$B, BASE_CUENTAS!$C37)</f>
        <v>0</v>
      </c>
      <c r="P37" t="str">
        <f>IF(
VLOOKUP($C37,BASE_CIERRE_MES!$C:$G,5,FALSE)=0,
"Normalización",
IF(
VLOOKUP($C37,BASE_CIERRE_MES!$C:$G,5,FALSE)&lt;$H37,
"Recuperación",
IF(
VLOOKUP($C37,BASE_CIERRE_MES!$C:$G,5,FALSE)=$H37,
"Contención",
"Rodamiento"
)))</f>
        <v>Rodamiento</v>
      </c>
      <c r="Q37">
        <f t="shared" si="0"/>
        <v>0</v>
      </c>
    </row>
    <row r="38" spans="1:17" x14ac:dyDescent="0.25">
      <c r="A38">
        <v>8120504</v>
      </c>
      <c r="B38" t="s">
        <v>17</v>
      </c>
      <c r="C38">
        <v>25516208</v>
      </c>
      <c r="D38" t="s">
        <v>7</v>
      </c>
      <c r="E38">
        <v>7991195</v>
      </c>
      <c r="F38" s="2">
        <v>3468196</v>
      </c>
      <c r="G38" s="2">
        <v>431460</v>
      </c>
      <c r="H38">
        <v>30</v>
      </c>
      <c r="I38" s="1">
        <v>42521</v>
      </c>
      <c r="J38" t="s">
        <v>4</v>
      </c>
      <c r="K38">
        <f>COUNTIFS(GESTIONES!$A:$A, BASE_CUENTAS!$A38, GESTIONES!$B:$B, BASE_CUENTAS!$C38)</f>
        <v>3</v>
      </c>
      <c r="L38">
        <f>COUNTIFS(GESTIONES!$A:$A, BASE_CUENTAS!$A38,GESTIONES!$B:$B, BASE_CUENTAS!$C38,GESTIONES!$E:$E, "S")</f>
        <v>1</v>
      </c>
      <c r="M38">
        <f>COUNTIFS(GESTIONES!$A:$A, BASE_CUENTAS!$A38,GESTIONES!$B:$B, BASE_CUENTAS!$C38,GESTIONES!$E:$E, "N")</f>
        <v>2</v>
      </c>
      <c r="N38">
        <f>COUNTIFS(GESTIONES!$A:$A, BASE_CUENTAS!$A38,GESTIONES!$B:$B, BASE_CUENTAS!$C38,GESTIONES!$D:$D, "SMS")</f>
        <v>0</v>
      </c>
      <c r="O38">
        <f>SUMIFS(PAGOS!$D:$D,PAGOS!$A:$A, BASE_CUENTAS!$A38,PAGOS!$B:$B, BASE_CUENTAS!$C38)</f>
        <v>215730</v>
      </c>
      <c r="P38" t="str">
        <f>IF(
VLOOKUP($C38,BASE_CIERRE_MES!$C:$G,5,FALSE)=0,
"Normalización",
IF(
VLOOKUP($C38,BASE_CIERRE_MES!$C:$G,5,FALSE)&lt;$H38,
"Recuperación",
IF(
VLOOKUP($C38,BASE_CIERRE_MES!$C:$G,5,FALSE)=$H38,
"Contención",
"Rodamiento"
)))</f>
        <v>Recuperación</v>
      </c>
      <c r="Q38">
        <f t="shared" si="0"/>
        <v>6.2202366878919182E-2</v>
      </c>
    </row>
    <row r="39" spans="1:17" x14ac:dyDescent="0.25">
      <c r="A39">
        <v>8120567</v>
      </c>
      <c r="B39" t="s">
        <v>18</v>
      </c>
      <c r="C39">
        <v>21872767</v>
      </c>
      <c r="D39" t="s">
        <v>7</v>
      </c>
      <c r="E39">
        <v>2637659</v>
      </c>
      <c r="F39" s="2">
        <v>2637659</v>
      </c>
      <c r="G39" s="2">
        <v>351945</v>
      </c>
      <c r="H39">
        <v>30</v>
      </c>
      <c r="I39" s="1">
        <v>42508</v>
      </c>
      <c r="J39" t="s">
        <v>6</v>
      </c>
      <c r="K39">
        <f>COUNTIFS(GESTIONES!$A:$A, BASE_CUENTAS!$A39, GESTIONES!$B:$B, BASE_CUENTAS!$C39)</f>
        <v>3</v>
      </c>
      <c r="L39">
        <f>COUNTIFS(GESTIONES!$A:$A, BASE_CUENTAS!$A39,GESTIONES!$B:$B, BASE_CUENTAS!$C39,GESTIONES!$E:$E, "S")</f>
        <v>1</v>
      </c>
      <c r="M39">
        <f>COUNTIFS(GESTIONES!$A:$A, BASE_CUENTAS!$A39,GESTIONES!$B:$B, BASE_CUENTAS!$C39,GESTIONES!$E:$E, "N")</f>
        <v>2</v>
      </c>
      <c r="N39">
        <f>COUNTIFS(GESTIONES!$A:$A, BASE_CUENTAS!$A39,GESTIONES!$B:$B, BASE_CUENTAS!$C39,GESTIONES!$D:$D, "SMS")</f>
        <v>1</v>
      </c>
      <c r="O39">
        <f>SUMIFS(PAGOS!$D:$D,PAGOS!$A:$A, BASE_CUENTAS!$A39,PAGOS!$B:$B, BASE_CUENTAS!$C39)</f>
        <v>0</v>
      </c>
      <c r="P39" t="str">
        <f>IF(
VLOOKUP($C39,BASE_CIERRE_MES!$C:$G,5,FALSE)=0,
"Normalización",
IF(
VLOOKUP($C39,BASE_CIERRE_MES!$C:$G,5,FALSE)&lt;$H39,
"Recuperación",
IF(
VLOOKUP($C39,BASE_CIERRE_MES!$C:$G,5,FALSE)=$H39,
"Contención",
"Rodamiento"
)))</f>
        <v>Rodamiento</v>
      </c>
      <c r="Q39">
        <f t="shared" si="0"/>
        <v>0</v>
      </c>
    </row>
    <row r="40" spans="1:17" x14ac:dyDescent="0.25">
      <c r="A40">
        <v>8120613</v>
      </c>
      <c r="B40" t="s">
        <v>18</v>
      </c>
      <c r="C40">
        <v>15453603</v>
      </c>
      <c r="D40" t="s">
        <v>7</v>
      </c>
      <c r="E40">
        <v>2164914</v>
      </c>
      <c r="F40" s="2">
        <v>2164914</v>
      </c>
      <c r="G40" s="2">
        <v>2164914</v>
      </c>
      <c r="H40">
        <v>150</v>
      </c>
      <c r="I40" s="1">
        <v>42524</v>
      </c>
      <c r="J40" t="s">
        <v>5</v>
      </c>
      <c r="K40">
        <f>COUNTIFS(GESTIONES!$A:$A, BASE_CUENTAS!$A40, GESTIONES!$B:$B, BASE_CUENTAS!$C40)</f>
        <v>3</v>
      </c>
      <c r="L40">
        <f>COUNTIFS(GESTIONES!$A:$A, BASE_CUENTAS!$A40,GESTIONES!$B:$B, BASE_CUENTAS!$C40,GESTIONES!$E:$E, "S")</f>
        <v>0</v>
      </c>
      <c r="M40">
        <f>COUNTIFS(GESTIONES!$A:$A, BASE_CUENTAS!$A40,GESTIONES!$B:$B, BASE_CUENTAS!$C40,GESTIONES!$E:$E, "N")</f>
        <v>3</v>
      </c>
      <c r="N40">
        <f>COUNTIFS(GESTIONES!$A:$A, BASE_CUENTAS!$A40,GESTIONES!$B:$B, BASE_CUENTAS!$C40,GESTIONES!$D:$D, "SMS")</f>
        <v>1</v>
      </c>
      <c r="O40">
        <f>SUMIFS(PAGOS!$D:$D,PAGOS!$A:$A, BASE_CUENTAS!$A40,PAGOS!$B:$B, BASE_CUENTAS!$C40)</f>
        <v>721638</v>
      </c>
      <c r="P40" t="str">
        <f>IF(
VLOOKUP($C40,BASE_CIERRE_MES!$C:$G,5,FALSE)=0,
"Normalización",
IF(
VLOOKUP($C40,BASE_CIERRE_MES!$C:$G,5,FALSE)&lt;$H40,
"Recuperación",
IF(
VLOOKUP($C40,BASE_CIERRE_MES!$C:$G,5,FALSE)=$H40,
"Contención",
"Rodamiento"
)))</f>
        <v>Contención</v>
      </c>
      <c r="Q40">
        <f t="shared" si="0"/>
        <v>0.33333333333333331</v>
      </c>
    </row>
    <row r="41" spans="1:17" x14ac:dyDescent="0.25">
      <c r="A41">
        <v>8120615</v>
      </c>
      <c r="B41" t="s">
        <v>18</v>
      </c>
      <c r="C41">
        <v>20326533</v>
      </c>
      <c r="D41" t="s">
        <v>7</v>
      </c>
      <c r="E41">
        <v>1106234</v>
      </c>
      <c r="F41" s="2">
        <v>1106234</v>
      </c>
      <c r="G41" s="2">
        <v>1106234</v>
      </c>
      <c r="H41">
        <v>360</v>
      </c>
      <c r="I41" s="1">
        <v>42485</v>
      </c>
      <c r="J41" t="s">
        <v>5</v>
      </c>
      <c r="K41">
        <f>COUNTIFS(GESTIONES!$A:$A, BASE_CUENTAS!$A41, GESTIONES!$B:$B, BASE_CUENTAS!$C41)</f>
        <v>3</v>
      </c>
      <c r="L41">
        <f>COUNTIFS(GESTIONES!$A:$A, BASE_CUENTAS!$A41,GESTIONES!$B:$B, BASE_CUENTAS!$C41,GESTIONES!$E:$E, "S")</f>
        <v>1</v>
      </c>
      <c r="M41">
        <f>COUNTIFS(GESTIONES!$A:$A, BASE_CUENTAS!$A41,GESTIONES!$B:$B, BASE_CUENTAS!$C41,GESTIONES!$E:$E, "N")</f>
        <v>2</v>
      </c>
      <c r="N41">
        <f>COUNTIFS(GESTIONES!$A:$A, BASE_CUENTAS!$A41,GESTIONES!$B:$B, BASE_CUENTAS!$C41,GESTIONES!$D:$D, "SMS")</f>
        <v>1</v>
      </c>
      <c r="O41">
        <f>SUMIFS(PAGOS!$D:$D,PAGOS!$A:$A, BASE_CUENTAS!$A41,PAGOS!$B:$B, BASE_CUENTAS!$C41)</f>
        <v>0</v>
      </c>
      <c r="P41" t="str">
        <f>IF(
VLOOKUP($C41,BASE_CIERRE_MES!$C:$G,5,FALSE)=0,
"Normalización",
IF(
VLOOKUP($C41,BASE_CIERRE_MES!$C:$G,5,FALSE)&lt;$H41,
"Recuperación",
IF(
VLOOKUP($C41,BASE_CIERRE_MES!$C:$G,5,FALSE)=$H41,
"Contención",
"Rodamiento"
)))</f>
        <v>Rodamiento</v>
      </c>
      <c r="Q41">
        <f t="shared" si="0"/>
        <v>0</v>
      </c>
    </row>
    <row r="42" spans="1:17" x14ac:dyDescent="0.25">
      <c r="A42">
        <v>8120642</v>
      </c>
      <c r="B42" t="s">
        <v>18</v>
      </c>
      <c r="C42">
        <v>27997023</v>
      </c>
      <c r="D42" t="s">
        <v>7</v>
      </c>
      <c r="E42">
        <v>2743000</v>
      </c>
      <c r="F42" s="2">
        <v>2743000</v>
      </c>
      <c r="G42" s="2">
        <v>268763</v>
      </c>
      <c r="H42">
        <v>30</v>
      </c>
      <c r="I42" s="1">
        <v>42509</v>
      </c>
      <c r="J42" t="s">
        <v>6</v>
      </c>
      <c r="K42">
        <f>COUNTIFS(GESTIONES!$A:$A, BASE_CUENTAS!$A42, GESTIONES!$B:$B, BASE_CUENTAS!$C42)</f>
        <v>3</v>
      </c>
      <c r="L42">
        <f>COUNTIFS(GESTIONES!$A:$A, BASE_CUENTAS!$A42,GESTIONES!$B:$B, BASE_CUENTAS!$C42,GESTIONES!$E:$E, "S")</f>
        <v>1</v>
      </c>
      <c r="M42">
        <f>COUNTIFS(GESTIONES!$A:$A, BASE_CUENTAS!$A42,GESTIONES!$B:$B, BASE_CUENTAS!$C42,GESTIONES!$E:$E, "N")</f>
        <v>2</v>
      </c>
      <c r="N42">
        <f>COUNTIFS(GESTIONES!$A:$A, BASE_CUENTAS!$A42,GESTIONES!$B:$B, BASE_CUENTAS!$C42,GESTIONES!$D:$D, "SMS")</f>
        <v>1</v>
      </c>
      <c r="O42">
        <f>SUMIFS(PAGOS!$D:$D,PAGOS!$A:$A, BASE_CUENTAS!$A42,PAGOS!$B:$B, BASE_CUENTAS!$C42)</f>
        <v>268763</v>
      </c>
      <c r="P42" t="str">
        <f>IF(
VLOOKUP($C42,BASE_CIERRE_MES!$C:$G,5,FALSE)=0,
"Normalización",
IF(
VLOOKUP($C42,BASE_CIERRE_MES!$C:$G,5,FALSE)&lt;$H42,
"Recuperación",
IF(
VLOOKUP($C42,BASE_CIERRE_MES!$C:$G,5,FALSE)=$H42,
"Contención",
"Rodamiento"
)))</f>
        <v>Normalización</v>
      </c>
      <c r="Q42">
        <f t="shared" si="0"/>
        <v>9.7981407218374048E-2</v>
      </c>
    </row>
    <row r="43" spans="1:17" x14ac:dyDescent="0.25">
      <c r="A43">
        <v>8120741</v>
      </c>
      <c r="B43" t="s">
        <v>16</v>
      </c>
      <c r="C43">
        <v>22880917</v>
      </c>
      <c r="D43" t="s">
        <v>7</v>
      </c>
      <c r="E43">
        <v>32697109</v>
      </c>
      <c r="F43" s="2">
        <v>894762</v>
      </c>
      <c r="G43" s="2">
        <v>201679</v>
      </c>
      <c r="H43">
        <v>60</v>
      </c>
      <c r="I43" s="1">
        <v>42487</v>
      </c>
      <c r="J43" t="s">
        <v>6</v>
      </c>
      <c r="K43">
        <f>COUNTIFS(GESTIONES!$A:$A, BASE_CUENTAS!$A43, GESTIONES!$B:$B, BASE_CUENTAS!$C43)</f>
        <v>3</v>
      </c>
      <c r="L43">
        <f>COUNTIFS(GESTIONES!$A:$A, BASE_CUENTAS!$A43,GESTIONES!$B:$B, BASE_CUENTAS!$C43,GESTIONES!$E:$E, "S")</f>
        <v>1</v>
      </c>
      <c r="M43">
        <f>COUNTIFS(GESTIONES!$A:$A, BASE_CUENTAS!$A43,GESTIONES!$B:$B, BASE_CUENTAS!$C43,GESTIONES!$E:$E, "N")</f>
        <v>2</v>
      </c>
      <c r="N43">
        <f>COUNTIFS(GESTIONES!$A:$A, BASE_CUENTAS!$A43,GESTIONES!$B:$B, BASE_CUENTAS!$C43,GESTIONES!$D:$D, "SMS")</f>
        <v>0</v>
      </c>
      <c r="O43">
        <f>SUMIFS(PAGOS!$D:$D,PAGOS!$A:$A, BASE_CUENTAS!$A43,PAGOS!$B:$B, BASE_CUENTAS!$C43)</f>
        <v>100840</v>
      </c>
      <c r="P43" t="str">
        <f>IF(
VLOOKUP($C43,BASE_CIERRE_MES!$C:$G,5,FALSE)=0,
"Normalización",
IF(
VLOOKUP($C43,BASE_CIERRE_MES!$C:$G,5,FALSE)&lt;$H43,
"Recuperación",
IF(
VLOOKUP($C43,BASE_CIERRE_MES!$C:$G,5,FALSE)=$H43,
"Contención",
"Rodamiento"
)))</f>
        <v>Recuperación</v>
      </c>
      <c r="Q43">
        <f t="shared" si="0"/>
        <v>0.11270036054280357</v>
      </c>
    </row>
    <row r="44" spans="1:17" x14ac:dyDescent="0.25">
      <c r="A44">
        <v>8120773</v>
      </c>
      <c r="B44" t="s">
        <v>17</v>
      </c>
      <c r="C44">
        <v>16069377</v>
      </c>
      <c r="D44" t="s">
        <v>7</v>
      </c>
      <c r="E44">
        <v>6608687</v>
      </c>
      <c r="F44" s="2">
        <v>3792766</v>
      </c>
      <c r="G44" s="2">
        <v>933729</v>
      </c>
      <c r="H44">
        <v>60</v>
      </c>
      <c r="I44" s="1">
        <v>42480</v>
      </c>
      <c r="J44" t="s">
        <v>6</v>
      </c>
      <c r="K44">
        <f>COUNTIFS(GESTIONES!$A:$A, BASE_CUENTAS!$A44, GESTIONES!$B:$B, BASE_CUENTAS!$C44)</f>
        <v>3</v>
      </c>
      <c r="L44">
        <f>COUNTIFS(GESTIONES!$A:$A, BASE_CUENTAS!$A44,GESTIONES!$B:$B, BASE_CUENTAS!$C44,GESTIONES!$E:$E, "S")</f>
        <v>1</v>
      </c>
      <c r="M44">
        <f>COUNTIFS(GESTIONES!$A:$A, BASE_CUENTAS!$A44,GESTIONES!$B:$B, BASE_CUENTAS!$C44,GESTIONES!$E:$E, "N")</f>
        <v>2</v>
      </c>
      <c r="N44">
        <f>COUNTIFS(GESTIONES!$A:$A, BASE_CUENTAS!$A44,GESTIONES!$B:$B, BASE_CUENTAS!$C44,GESTIONES!$D:$D, "SMS")</f>
        <v>1</v>
      </c>
      <c r="O44">
        <f>SUMIFS(PAGOS!$D:$D,PAGOS!$A:$A, BASE_CUENTAS!$A44,PAGOS!$B:$B, BASE_CUENTAS!$C44)</f>
        <v>3792766</v>
      </c>
      <c r="P44" t="str">
        <f>IF(
VLOOKUP($C44,BASE_CIERRE_MES!$C:$G,5,FALSE)=0,
"Normalización",
IF(
VLOOKUP($C44,BASE_CIERRE_MES!$C:$G,5,FALSE)&lt;$H44,
"Recuperación",
IF(
VLOOKUP($C44,BASE_CIERRE_MES!$C:$G,5,FALSE)=$H44,
"Contención",
"Rodamiento"
)))</f>
        <v>Normalización</v>
      </c>
      <c r="Q44">
        <f t="shared" si="0"/>
        <v>1</v>
      </c>
    </row>
    <row r="45" spans="1:17" x14ac:dyDescent="0.25">
      <c r="A45">
        <v>8120773</v>
      </c>
      <c r="B45" t="s">
        <v>17</v>
      </c>
      <c r="C45">
        <v>19003063</v>
      </c>
      <c r="D45" t="s">
        <v>11</v>
      </c>
      <c r="E45">
        <v>6608687</v>
      </c>
      <c r="F45" s="2">
        <v>2815922</v>
      </c>
      <c r="G45" s="2">
        <v>269289</v>
      </c>
      <c r="H45">
        <v>7</v>
      </c>
      <c r="I45" s="1">
        <v>42523</v>
      </c>
      <c r="J45" t="s">
        <v>6</v>
      </c>
      <c r="K45">
        <f>COUNTIFS(GESTIONES!$A:$A, BASE_CUENTAS!$A45, GESTIONES!$B:$B, BASE_CUENTAS!$C45)</f>
        <v>3</v>
      </c>
      <c r="L45">
        <f>COUNTIFS(GESTIONES!$A:$A, BASE_CUENTAS!$A45,GESTIONES!$B:$B, BASE_CUENTAS!$C45,GESTIONES!$E:$E, "S")</f>
        <v>0</v>
      </c>
      <c r="M45">
        <f>COUNTIFS(GESTIONES!$A:$A, BASE_CUENTAS!$A45,GESTIONES!$B:$B, BASE_CUENTAS!$C45,GESTIONES!$E:$E, "N")</f>
        <v>3</v>
      </c>
      <c r="N45">
        <f>COUNTIFS(GESTIONES!$A:$A, BASE_CUENTAS!$A45,GESTIONES!$B:$B, BASE_CUENTAS!$C45,GESTIONES!$D:$D, "SMS")</f>
        <v>1</v>
      </c>
      <c r="O45">
        <f>SUMIFS(PAGOS!$D:$D,PAGOS!$A:$A, BASE_CUENTAS!$A45,PAGOS!$B:$B, BASE_CUENTAS!$C45)</f>
        <v>269289</v>
      </c>
      <c r="P45" t="str">
        <f>IF(
VLOOKUP($C45,BASE_CIERRE_MES!$C:$G,5,FALSE)=0,
"Normalización",
IF(
VLOOKUP($C45,BASE_CIERRE_MES!$C:$G,5,FALSE)&lt;$H45,
"Recuperación",
IF(
VLOOKUP($C45,BASE_CIERRE_MES!$C:$G,5,FALSE)=$H45,
"Contención",
"Rodamiento"
)))</f>
        <v>Normalización</v>
      </c>
      <c r="Q45">
        <f t="shared" si="0"/>
        <v>9.5630844888459271E-2</v>
      </c>
    </row>
    <row r="46" spans="1:17" x14ac:dyDescent="0.25">
      <c r="A46">
        <v>8120833</v>
      </c>
      <c r="B46" t="s">
        <v>17</v>
      </c>
      <c r="C46">
        <v>24374772</v>
      </c>
      <c r="D46" t="s">
        <v>7</v>
      </c>
      <c r="E46">
        <v>6153747</v>
      </c>
      <c r="F46" s="2">
        <v>650182</v>
      </c>
      <c r="G46" s="2">
        <v>650182</v>
      </c>
      <c r="H46">
        <v>210</v>
      </c>
      <c r="I46" s="1">
        <v>42447</v>
      </c>
      <c r="J46" t="s">
        <v>5</v>
      </c>
      <c r="K46">
        <f>COUNTIFS(GESTIONES!$A:$A, BASE_CUENTAS!$A46, GESTIONES!$B:$B, BASE_CUENTAS!$C46)</f>
        <v>3</v>
      </c>
      <c r="L46">
        <f>COUNTIFS(GESTIONES!$A:$A, BASE_CUENTAS!$A46,GESTIONES!$B:$B, BASE_CUENTAS!$C46,GESTIONES!$E:$E, "S")</f>
        <v>1</v>
      </c>
      <c r="M46">
        <f>COUNTIFS(GESTIONES!$A:$A, BASE_CUENTAS!$A46,GESTIONES!$B:$B, BASE_CUENTAS!$C46,GESTIONES!$E:$E, "N")</f>
        <v>2</v>
      </c>
      <c r="N46">
        <f>COUNTIFS(GESTIONES!$A:$A, BASE_CUENTAS!$A46,GESTIONES!$B:$B, BASE_CUENTAS!$C46,GESTIONES!$D:$D, "SMS")</f>
        <v>1</v>
      </c>
      <c r="O46">
        <f>SUMIFS(PAGOS!$D:$D,PAGOS!$A:$A, BASE_CUENTAS!$A46,PAGOS!$B:$B, BASE_CUENTAS!$C46)</f>
        <v>650182</v>
      </c>
      <c r="P46" t="str">
        <f>IF(
VLOOKUP($C46,BASE_CIERRE_MES!$C:$G,5,FALSE)=0,
"Normalización",
IF(
VLOOKUP($C46,BASE_CIERRE_MES!$C:$G,5,FALSE)&lt;$H46,
"Recuperación",
IF(
VLOOKUP($C46,BASE_CIERRE_MES!$C:$G,5,FALSE)=$H46,
"Contención",
"Rodamiento"
)))</f>
        <v>Normalización</v>
      </c>
      <c r="Q46">
        <f t="shared" si="0"/>
        <v>1</v>
      </c>
    </row>
    <row r="47" spans="1:17" x14ac:dyDescent="0.25">
      <c r="A47">
        <v>8120848</v>
      </c>
      <c r="B47" t="s">
        <v>16</v>
      </c>
      <c r="C47">
        <v>25950361</v>
      </c>
      <c r="D47" t="s">
        <v>7</v>
      </c>
      <c r="E47">
        <v>85083072</v>
      </c>
      <c r="F47" s="2">
        <v>919131</v>
      </c>
      <c r="G47" s="2">
        <v>919131</v>
      </c>
      <c r="H47">
        <v>60</v>
      </c>
      <c r="I47" s="1">
        <v>42518</v>
      </c>
      <c r="J47" t="s">
        <v>6</v>
      </c>
      <c r="K47">
        <f>COUNTIFS(GESTIONES!$A:$A, BASE_CUENTAS!$A47, GESTIONES!$B:$B, BASE_CUENTAS!$C47)</f>
        <v>3</v>
      </c>
      <c r="L47">
        <f>COUNTIFS(GESTIONES!$A:$A, BASE_CUENTAS!$A47,GESTIONES!$B:$B, BASE_CUENTAS!$C47,GESTIONES!$E:$E, "S")</f>
        <v>1</v>
      </c>
      <c r="M47">
        <f>COUNTIFS(GESTIONES!$A:$A, BASE_CUENTAS!$A47,GESTIONES!$B:$B, BASE_CUENTAS!$C47,GESTIONES!$E:$E, "N")</f>
        <v>2</v>
      </c>
      <c r="N47">
        <f>COUNTIFS(GESTIONES!$A:$A, BASE_CUENTAS!$A47,GESTIONES!$B:$B, BASE_CUENTAS!$C47,GESTIONES!$D:$D, "SMS")</f>
        <v>1</v>
      </c>
      <c r="O47">
        <f>SUMIFS(PAGOS!$D:$D,PAGOS!$A:$A, BASE_CUENTAS!$A47,PAGOS!$B:$B, BASE_CUENTAS!$C47)</f>
        <v>919131</v>
      </c>
      <c r="P47" t="str">
        <f>IF(
VLOOKUP($C47,BASE_CIERRE_MES!$C:$G,5,FALSE)=0,
"Normalización",
IF(
VLOOKUP($C47,BASE_CIERRE_MES!$C:$G,5,FALSE)&lt;$H47,
"Recuperación",
IF(
VLOOKUP($C47,BASE_CIERRE_MES!$C:$G,5,FALSE)=$H47,
"Contención",
"Rodamiento"
)))</f>
        <v>Normalización</v>
      </c>
      <c r="Q47">
        <f t="shared" si="0"/>
        <v>1</v>
      </c>
    </row>
    <row r="48" spans="1:17" x14ac:dyDescent="0.25">
      <c r="A48">
        <v>8120848</v>
      </c>
      <c r="B48" t="s">
        <v>16</v>
      </c>
      <c r="C48">
        <v>27351285</v>
      </c>
      <c r="D48" t="s">
        <v>8</v>
      </c>
      <c r="E48">
        <v>85083072</v>
      </c>
      <c r="F48" s="2">
        <v>83158465</v>
      </c>
      <c r="G48" s="2">
        <v>2577610</v>
      </c>
      <c r="H48">
        <v>116</v>
      </c>
      <c r="I48" s="1">
        <v>42518</v>
      </c>
      <c r="J48" t="s">
        <v>6</v>
      </c>
      <c r="K48">
        <f>COUNTIFS(GESTIONES!$A:$A, BASE_CUENTAS!$A48, GESTIONES!$B:$B, BASE_CUENTAS!$C48)</f>
        <v>3</v>
      </c>
      <c r="L48">
        <f>COUNTIFS(GESTIONES!$A:$A, BASE_CUENTAS!$A48,GESTIONES!$B:$B, BASE_CUENTAS!$C48,GESTIONES!$E:$E, "S")</f>
        <v>1</v>
      </c>
      <c r="M48">
        <f>COUNTIFS(GESTIONES!$A:$A, BASE_CUENTAS!$A48,GESTIONES!$B:$B, BASE_CUENTAS!$C48,GESTIONES!$E:$E, "N")</f>
        <v>2</v>
      </c>
      <c r="N48">
        <f>COUNTIFS(GESTIONES!$A:$A, BASE_CUENTAS!$A48,GESTIONES!$B:$B, BASE_CUENTAS!$C48,GESTIONES!$D:$D, "SMS")</f>
        <v>0</v>
      </c>
      <c r="O48">
        <f>SUMIFS(PAGOS!$D:$D,PAGOS!$A:$A, BASE_CUENTAS!$A48,PAGOS!$B:$B, BASE_CUENTAS!$C48)</f>
        <v>83158465</v>
      </c>
      <c r="P48" t="str">
        <f>IF(
VLOOKUP($C48,BASE_CIERRE_MES!$C:$G,5,FALSE)=0,
"Normalización",
IF(
VLOOKUP($C48,BASE_CIERRE_MES!$C:$G,5,FALSE)&lt;$H48,
"Recuperación",
IF(
VLOOKUP($C48,BASE_CIERRE_MES!$C:$G,5,FALSE)=$H48,
"Contención",
"Rodamiento"
)))</f>
        <v>Normalización</v>
      </c>
      <c r="Q48">
        <f t="shared" si="0"/>
        <v>1</v>
      </c>
    </row>
    <row r="49" spans="1:17" x14ac:dyDescent="0.25">
      <c r="A49">
        <v>8120848</v>
      </c>
      <c r="B49" t="s">
        <v>16</v>
      </c>
      <c r="C49">
        <v>28586063</v>
      </c>
      <c r="D49" t="s">
        <v>7</v>
      </c>
      <c r="E49">
        <v>85083072</v>
      </c>
      <c r="F49" s="2">
        <v>1005475</v>
      </c>
      <c r="G49" s="2">
        <v>455695</v>
      </c>
      <c r="H49">
        <v>90</v>
      </c>
      <c r="I49" s="1">
        <v>42523</v>
      </c>
      <c r="J49" t="s">
        <v>6</v>
      </c>
      <c r="K49">
        <f>COUNTIFS(GESTIONES!$A:$A, BASE_CUENTAS!$A49, GESTIONES!$B:$B, BASE_CUENTAS!$C49)</f>
        <v>3</v>
      </c>
      <c r="L49">
        <f>COUNTIFS(GESTIONES!$A:$A, BASE_CUENTAS!$A49,GESTIONES!$B:$B, BASE_CUENTAS!$C49,GESTIONES!$E:$E, "S")</f>
        <v>2</v>
      </c>
      <c r="M49">
        <f>COUNTIFS(GESTIONES!$A:$A, BASE_CUENTAS!$A49,GESTIONES!$B:$B, BASE_CUENTAS!$C49,GESTIONES!$E:$E, "N")</f>
        <v>1</v>
      </c>
      <c r="N49">
        <f>COUNTIFS(GESTIONES!$A:$A, BASE_CUENTAS!$A49,GESTIONES!$B:$B, BASE_CUENTAS!$C49,GESTIONES!$D:$D, "SMS")</f>
        <v>1</v>
      </c>
      <c r="O49">
        <f>SUMIFS(PAGOS!$D:$D,PAGOS!$A:$A, BASE_CUENTAS!$A49,PAGOS!$B:$B, BASE_CUENTAS!$C49)</f>
        <v>151898</v>
      </c>
      <c r="P49" t="str">
        <f>IF(
VLOOKUP($C49,BASE_CIERRE_MES!$C:$G,5,FALSE)=0,
"Normalización",
IF(
VLOOKUP($C49,BASE_CIERRE_MES!$C:$G,5,FALSE)&lt;$H49,
"Recuperación",
IF(
VLOOKUP($C49,BASE_CIERRE_MES!$C:$G,5,FALSE)=$H49,
"Contención",
"Rodamiento"
)))</f>
        <v>Contención</v>
      </c>
      <c r="Q49">
        <f t="shared" si="0"/>
        <v>0.15107088689425396</v>
      </c>
    </row>
    <row r="50" spans="1:17" x14ac:dyDescent="0.25">
      <c r="A50">
        <v>8120977</v>
      </c>
      <c r="B50" t="s">
        <v>18</v>
      </c>
      <c r="C50">
        <v>25568684</v>
      </c>
      <c r="D50" t="s">
        <v>7</v>
      </c>
      <c r="E50">
        <v>3059201</v>
      </c>
      <c r="F50" s="2">
        <v>3059201</v>
      </c>
      <c r="G50" s="2">
        <v>226541</v>
      </c>
      <c r="H50">
        <v>30</v>
      </c>
      <c r="I50" s="1">
        <v>42521</v>
      </c>
      <c r="J50" t="s">
        <v>4</v>
      </c>
      <c r="K50">
        <f>COUNTIFS(GESTIONES!$A:$A, BASE_CUENTAS!$A50, GESTIONES!$B:$B, BASE_CUENTAS!$C50)</f>
        <v>3</v>
      </c>
      <c r="L50">
        <f>COUNTIFS(GESTIONES!$A:$A, BASE_CUENTAS!$A50,GESTIONES!$B:$B, BASE_CUENTAS!$C50,GESTIONES!$E:$E, "S")</f>
        <v>1</v>
      </c>
      <c r="M50">
        <f>COUNTIFS(GESTIONES!$A:$A, BASE_CUENTAS!$A50,GESTIONES!$B:$B, BASE_CUENTAS!$C50,GESTIONES!$E:$E, "N")</f>
        <v>2</v>
      </c>
      <c r="N50">
        <f>COUNTIFS(GESTIONES!$A:$A, BASE_CUENTAS!$A50,GESTIONES!$B:$B, BASE_CUENTAS!$C50,GESTIONES!$D:$D, "SMS")</f>
        <v>0</v>
      </c>
      <c r="O50">
        <f>SUMIFS(PAGOS!$D:$D,PAGOS!$A:$A, BASE_CUENTAS!$A50,PAGOS!$B:$B, BASE_CUENTAS!$C50)</f>
        <v>226541</v>
      </c>
      <c r="P50" t="str">
        <f>IF(
VLOOKUP($C50,BASE_CIERRE_MES!$C:$G,5,FALSE)=0,
"Normalización",
IF(
VLOOKUP($C50,BASE_CIERRE_MES!$C:$G,5,FALSE)&lt;$H50,
"Recuperación",
IF(
VLOOKUP($C50,BASE_CIERRE_MES!$C:$G,5,FALSE)=$H50,
"Contención",
"Rodamiento"
)))</f>
        <v>Normalización</v>
      </c>
      <c r="Q50">
        <f t="shared" si="0"/>
        <v>7.4052342425358783E-2</v>
      </c>
    </row>
    <row r="51" spans="1:17" x14ac:dyDescent="0.25">
      <c r="A51">
        <v>8121172</v>
      </c>
      <c r="B51" t="s">
        <v>17</v>
      </c>
      <c r="C51">
        <v>15535226</v>
      </c>
      <c r="D51" t="s">
        <v>7</v>
      </c>
      <c r="E51">
        <v>5244294</v>
      </c>
      <c r="F51" s="2">
        <v>1749585</v>
      </c>
      <c r="G51" s="2">
        <v>1749585</v>
      </c>
      <c r="H51">
        <v>150</v>
      </c>
      <c r="I51" s="1">
        <v>42508</v>
      </c>
      <c r="J51" t="s">
        <v>5</v>
      </c>
      <c r="K51">
        <f>COUNTIFS(GESTIONES!$A:$A, BASE_CUENTAS!$A51, GESTIONES!$B:$B, BASE_CUENTAS!$C51)</f>
        <v>3</v>
      </c>
      <c r="L51">
        <f>COUNTIFS(GESTIONES!$A:$A, BASE_CUENTAS!$A51,GESTIONES!$B:$B, BASE_CUENTAS!$C51,GESTIONES!$E:$E, "S")</f>
        <v>0</v>
      </c>
      <c r="M51">
        <f>COUNTIFS(GESTIONES!$A:$A, BASE_CUENTAS!$A51,GESTIONES!$B:$B, BASE_CUENTAS!$C51,GESTIONES!$E:$E, "N")</f>
        <v>3</v>
      </c>
      <c r="N51">
        <f>COUNTIFS(GESTIONES!$A:$A, BASE_CUENTAS!$A51,GESTIONES!$B:$B, BASE_CUENTAS!$C51,GESTIONES!$D:$D, "SMS")</f>
        <v>1</v>
      </c>
      <c r="O51">
        <f>SUMIFS(PAGOS!$D:$D,PAGOS!$A:$A, BASE_CUENTAS!$A51,PAGOS!$B:$B, BASE_CUENTAS!$C51)</f>
        <v>1749585</v>
      </c>
      <c r="P51" t="str">
        <f>IF(
VLOOKUP($C51,BASE_CIERRE_MES!$C:$G,5,FALSE)=0,
"Normalización",
IF(
VLOOKUP($C51,BASE_CIERRE_MES!$C:$G,5,FALSE)&lt;$H51,
"Recuperación",
IF(
VLOOKUP($C51,BASE_CIERRE_MES!$C:$G,5,FALSE)=$H51,
"Contención",
"Rodamiento"
)))</f>
        <v>Normalización</v>
      </c>
      <c r="Q51">
        <f t="shared" si="0"/>
        <v>1</v>
      </c>
    </row>
    <row r="52" spans="1:17" x14ac:dyDescent="0.25">
      <c r="A52">
        <v>8121172</v>
      </c>
      <c r="B52" t="s">
        <v>17</v>
      </c>
      <c r="C52">
        <v>20238795</v>
      </c>
      <c r="D52" t="s">
        <v>7</v>
      </c>
      <c r="E52">
        <v>5244294</v>
      </c>
      <c r="F52" s="2">
        <v>1221570</v>
      </c>
      <c r="G52" s="2">
        <v>1221570</v>
      </c>
      <c r="H52">
        <v>180</v>
      </c>
      <c r="I52" s="1">
        <v>42480</v>
      </c>
      <c r="J52" t="s">
        <v>5</v>
      </c>
      <c r="K52">
        <f>COUNTIFS(GESTIONES!$A:$A, BASE_CUENTAS!$A52, GESTIONES!$B:$B, BASE_CUENTAS!$C52)</f>
        <v>3</v>
      </c>
      <c r="L52">
        <f>COUNTIFS(GESTIONES!$A:$A, BASE_CUENTAS!$A52,GESTIONES!$B:$B, BASE_CUENTAS!$C52,GESTIONES!$E:$E, "S")</f>
        <v>1</v>
      </c>
      <c r="M52">
        <f>COUNTIFS(GESTIONES!$A:$A, BASE_CUENTAS!$A52,GESTIONES!$B:$B, BASE_CUENTAS!$C52,GESTIONES!$E:$E, "N")</f>
        <v>2</v>
      </c>
      <c r="N52">
        <f>COUNTIFS(GESTIONES!$A:$A, BASE_CUENTAS!$A52,GESTIONES!$B:$B, BASE_CUENTAS!$C52,GESTIONES!$D:$D, "SMS")</f>
        <v>2</v>
      </c>
      <c r="O52">
        <f>SUMIFS(PAGOS!$D:$D,PAGOS!$A:$A, BASE_CUENTAS!$A52,PAGOS!$B:$B, BASE_CUENTAS!$C52)</f>
        <v>407190</v>
      </c>
      <c r="P52" t="str">
        <f>IF(
VLOOKUP($C52,BASE_CIERRE_MES!$C:$G,5,FALSE)=0,
"Normalización",
IF(
VLOOKUP($C52,BASE_CIERRE_MES!$C:$G,5,FALSE)&lt;$H52,
"Recuperación",
IF(
VLOOKUP($C52,BASE_CIERRE_MES!$C:$G,5,FALSE)=$H52,
"Contención",
"Rodamiento"
)))</f>
        <v>Contención</v>
      </c>
      <c r="Q52">
        <f t="shared" si="0"/>
        <v>0.33333333333333331</v>
      </c>
    </row>
    <row r="53" spans="1:17" x14ac:dyDescent="0.25">
      <c r="A53">
        <v>8121247</v>
      </c>
      <c r="B53" t="s">
        <v>17</v>
      </c>
      <c r="C53">
        <v>1689560</v>
      </c>
      <c r="D53" t="s">
        <v>7</v>
      </c>
      <c r="E53">
        <v>2978984</v>
      </c>
      <c r="F53" s="2">
        <v>1510425</v>
      </c>
      <c r="G53" s="2">
        <v>254769</v>
      </c>
      <c r="H53">
        <v>30</v>
      </c>
      <c r="I53" s="1">
        <v>42521</v>
      </c>
      <c r="J53" t="s">
        <v>4</v>
      </c>
      <c r="K53">
        <f>COUNTIFS(GESTIONES!$A:$A, BASE_CUENTAS!$A53, GESTIONES!$B:$B, BASE_CUENTAS!$C53)</f>
        <v>3</v>
      </c>
      <c r="L53">
        <f>COUNTIFS(GESTIONES!$A:$A, BASE_CUENTAS!$A53,GESTIONES!$B:$B, BASE_CUENTAS!$C53,GESTIONES!$E:$E, "S")</f>
        <v>1</v>
      </c>
      <c r="M53">
        <f>COUNTIFS(GESTIONES!$A:$A, BASE_CUENTAS!$A53,GESTIONES!$B:$B, BASE_CUENTAS!$C53,GESTIONES!$E:$E, "N")</f>
        <v>2</v>
      </c>
      <c r="N53">
        <f>COUNTIFS(GESTIONES!$A:$A, BASE_CUENTAS!$A53,GESTIONES!$B:$B, BASE_CUENTAS!$C53,GESTIONES!$D:$D, "SMS")</f>
        <v>0</v>
      </c>
      <c r="O53">
        <f>SUMIFS(PAGOS!$D:$D,PAGOS!$A:$A, BASE_CUENTAS!$A53,PAGOS!$B:$B, BASE_CUENTAS!$C53)</f>
        <v>0</v>
      </c>
      <c r="P53" t="str">
        <f>IF(
VLOOKUP($C53,BASE_CIERRE_MES!$C:$G,5,FALSE)=0,
"Normalización",
IF(
VLOOKUP($C53,BASE_CIERRE_MES!$C:$G,5,FALSE)&lt;$H53,
"Recuperación",
IF(
VLOOKUP($C53,BASE_CIERRE_MES!$C:$G,5,FALSE)=$H53,
"Contención",
"Rodamiento"
)))</f>
        <v>Rodamiento</v>
      </c>
      <c r="Q53">
        <f t="shared" si="0"/>
        <v>0</v>
      </c>
    </row>
    <row r="54" spans="1:17" x14ac:dyDescent="0.25">
      <c r="A54">
        <v>8121247</v>
      </c>
      <c r="B54" t="s">
        <v>17</v>
      </c>
      <c r="C54">
        <v>28582863</v>
      </c>
      <c r="D54" t="s">
        <v>7</v>
      </c>
      <c r="E54">
        <v>2978984</v>
      </c>
      <c r="F54" s="2">
        <v>1468559</v>
      </c>
      <c r="G54" s="2">
        <v>205836</v>
      </c>
      <c r="H54">
        <v>30</v>
      </c>
      <c r="I54" s="1">
        <v>42523</v>
      </c>
      <c r="J54" t="s">
        <v>4</v>
      </c>
      <c r="K54">
        <f>COUNTIFS(GESTIONES!$A:$A, BASE_CUENTAS!$A54, GESTIONES!$B:$B, BASE_CUENTAS!$C54)</f>
        <v>3</v>
      </c>
      <c r="L54">
        <f>COUNTIFS(GESTIONES!$A:$A, BASE_CUENTAS!$A54,GESTIONES!$B:$B, BASE_CUENTAS!$C54,GESTIONES!$E:$E, "S")</f>
        <v>1</v>
      </c>
      <c r="M54">
        <f>COUNTIFS(GESTIONES!$A:$A, BASE_CUENTAS!$A54,GESTIONES!$B:$B, BASE_CUENTAS!$C54,GESTIONES!$E:$E, "N")</f>
        <v>2</v>
      </c>
      <c r="N54">
        <f>COUNTIFS(GESTIONES!$A:$A, BASE_CUENTAS!$A54,GESTIONES!$B:$B, BASE_CUENTAS!$C54,GESTIONES!$D:$D, "SMS")</f>
        <v>1</v>
      </c>
      <c r="O54">
        <f>SUMIFS(PAGOS!$D:$D,PAGOS!$A:$A, BASE_CUENTAS!$A54,PAGOS!$B:$B, BASE_CUENTAS!$C54)</f>
        <v>0</v>
      </c>
      <c r="P54" t="str">
        <f>IF(
VLOOKUP($C54,BASE_CIERRE_MES!$C:$G,5,FALSE)=0,
"Normalización",
IF(
VLOOKUP($C54,BASE_CIERRE_MES!$C:$G,5,FALSE)&lt;$H54,
"Recuperación",
IF(
VLOOKUP($C54,BASE_CIERRE_MES!$C:$G,5,FALSE)=$H54,
"Contención",
"Rodamiento"
)))</f>
        <v>Rodamiento</v>
      </c>
      <c r="Q54">
        <f t="shared" si="0"/>
        <v>0</v>
      </c>
    </row>
    <row r="55" spans="1:17" x14ac:dyDescent="0.25">
      <c r="A55">
        <v>8121396</v>
      </c>
      <c r="B55" t="s">
        <v>18</v>
      </c>
      <c r="C55">
        <v>25634049</v>
      </c>
      <c r="D55" t="s">
        <v>7</v>
      </c>
      <c r="E55">
        <v>196700</v>
      </c>
      <c r="F55" s="2">
        <v>196700</v>
      </c>
      <c r="G55" s="2">
        <v>8950</v>
      </c>
      <c r="H55">
        <v>30</v>
      </c>
      <c r="I55" s="1">
        <v>42521</v>
      </c>
      <c r="J55" t="s">
        <v>4</v>
      </c>
      <c r="K55">
        <f>COUNTIFS(GESTIONES!$A:$A, BASE_CUENTAS!$A55, GESTIONES!$B:$B, BASE_CUENTAS!$C55)</f>
        <v>3</v>
      </c>
      <c r="L55">
        <f>COUNTIFS(GESTIONES!$A:$A, BASE_CUENTAS!$A55,GESTIONES!$B:$B, BASE_CUENTAS!$C55,GESTIONES!$E:$E, "S")</f>
        <v>1</v>
      </c>
      <c r="M55">
        <f>COUNTIFS(GESTIONES!$A:$A, BASE_CUENTAS!$A55,GESTIONES!$B:$B, BASE_CUENTAS!$C55,GESTIONES!$E:$E, "N")</f>
        <v>2</v>
      </c>
      <c r="N55">
        <f>COUNTIFS(GESTIONES!$A:$A, BASE_CUENTAS!$A55,GESTIONES!$B:$B, BASE_CUENTAS!$C55,GESTIONES!$D:$D, "SMS")</f>
        <v>0</v>
      </c>
      <c r="O55">
        <f>SUMIFS(PAGOS!$D:$D,PAGOS!$A:$A, BASE_CUENTAS!$A55,PAGOS!$B:$B, BASE_CUENTAS!$C55)</f>
        <v>0</v>
      </c>
      <c r="P55" t="str">
        <f>IF(
VLOOKUP($C55,BASE_CIERRE_MES!$C:$G,5,FALSE)=0,
"Normalización",
IF(
VLOOKUP($C55,BASE_CIERRE_MES!$C:$G,5,FALSE)&lt;$H55,
"Recuperación",
IF(
VLOOKUP($C55,BASE_CIERRE_MES!$C:$G,5,FALSE)=$H55,
"Contención",
"Rodamiento"
)))</f>
        <v>Rodamiento</v>
      </c>
      <c r="Q55">
        <f t="shared" si="0"/>
        <v>0</v>
      </c>
    </row>
    <row r="56" spans="1:17" x14ac:dyDescent="0.25">
      <c r="A56">
        <v>8121437</v>
      </c>
      <c r="B56" t="s">
        <v>18</v>
      </c>
      <c r="C56">
        <v>21978793</v>
      </c>
      <c r="D56" t="s">
        <v>7</v>
      </c>
      <c r="E56">
        <v>1304995</v>
      </c>
      <c r="F56" s="2">
        <v>1304995</v>
      </c>
      <c r="G56" s="2">
        <v>1304995</v>
      </c>
      <c r="H56">
        <v>120</v>
      </c>
      <c r="I56" s="1">
        <v>42508</v>
      </c>
      <c r="J56" t="s">
        <v>5</v>
      </c>
      <c r="K56">
        <f>COUNTIFS(GESTIONES!$A:$A, BASE_CUENTAS!$A56, GESTIONES!$B:$B, BASE_CUENTAS!$C56)</f>
        <v>3</v>
      </c>
      <c r="L56">
        <f>COUNTIFS(GESTIONES!$A:$A, BASE_CUENTAS!$A56,GESTIONES!$B:$B, BASE_CUENTAS!$C56,GESTIONES!$E:$E, "S")</f>
        <v>0</v>
      </c>
      <c r="M56">
        <f>COUNTIFS(GESTIONES!$A:$A, BASE_CUENTAS!$A56,GESTIONES!$B:$B, BASE_CUENTAS!$C56,GESTIONES!$E:$E, "N")</f>
        <v>3</v>
      </c>
      <c r="N56">
        <f>COUNTIFS(GESTIONES!$A:$A, BASE_CUENTAS!$A56,GESTIONES!$B:$B, BASE_CUENTAS!$C56,GESTIONES!$D:$D, "SMS")</f>
        <v>1</v>
      </c>
      <c r="O56">
        <f>SUMIFS(PAGOS!$D:$D,PAGOS!$A:$A, BASE_CUENTAS!$A56,PAGOS!$B:$B, BASE_CUENTAS!$C56)</f>
        <v>1304995</v>
      </c>
      <c r="P56" t="str">
        <f>IF(
VLOOKUP($C56,BASE_CIERRE_MES!$C:$G,5,FALSE)=0,
"Normalización",
IF(
VLOOKUP($C56,BASE_CIERRE_MES!$C:$G,5,FALSE)&lt;$H56,
"Recuperación",
IF(
VLOOKUP($C56,BASE_CIERRE_MES!$C:$G,5,FALSE)=$H56,
"Contención",
"Rodamiento"
)))</f>
        <v>Normalización</v>
      </c>
      <c r="Q56">
        <f t="shared" si="0"/>
        <v>1</v>
      </c>
    </row>
    <row r="57" spans="1:17" x14ac:dyDescent="0.25">
      <c r="A57">
        <v>8121787</v>
      </c>
      <c r="B57" t="s">
        <v>18</v>
      </c>
      <c r="C57">
        <v>28250237</v>
      </c>
      <c r="D57" t="s">
        <v>7</v>
      </c>
      <c r="E57">
        <v>297380</v>
      </c>
      <c r="F57" s="2">
        <v>297380</v>
      </c>
      <c r="G57" s="2">
        <v>38527</v>
      </c>
      <c r="H57">
        <v>30</v>
      </c>
      <c r="I57" s="1">
        <v>42521</v>
      </c>
      <c r="J57" t="s">
        <v>4</v>
      </c>
      <c r="K57">
        <f>COUNTIFS(GESTIONES!$A:$A, BASE_CUENTAS!$A57, GESTIONES!$B:$B, BASE_CUENTAS!$C57)</f>
        <v>3</v>
      </c>
      <c r="L57">
        <f>COUNTIFS(GESTIONES!$A:$A, BASE_CUENTAS!$A57,GESTIONES!$B:$B, BASE_CUENTAS!$C57,GESTIONES!$E:$E, "S")</f>
        <v>1</v>
      </c>
      <c r="M57">
        <f>COUNTIFS(GESTIONES!$A:$A, BASE_CUENTAS!$A57,GESTIONES!$B:$B, BASE_CUENTAS!$C57,GESTIONES!$E:$E, "N")</f>
        <v>2</v>
      </c>
      <c r="N57">
        <f>COUNTIFS(GESTIONES!$A:$A, BASE_CUENTAS!$A57,GESTIONES!$B:$B, BASE_CUENTAS!$C57,GESTIONES!$D:$D, "SMS")</f>
        <v>2</v>
      </c>
      <c r="O57">
        <f>SUMIFS(PAGOS!$D:$D,PAGOS!$A:$A, BASE_CUENTAS!$A57,PAGOS!$B:$B, BASE_CUENTAS!$C57)</f>
        <v>38527</v>
      </c>
      <c r="P57" t="str">
        <f>IF(
VLOOKUP($C57,BASE_CIERRE_MES!$C:$G,5,FALSE)=0,
"Normalización",
IF(
VLOOKUP($C57,BASE_CIERRE_MES!$C:$G,5,FALSE)&lt;$H57,
"Recuperación",
IF(
VLOOKUP($C57,BASE_CIERRE_MES!$C:$G,5,FALSE)=$H57,
"Contención",
"Rodamiento"
)))</f>
        <v>Normalización</v>
      </c>
      <c r="Q57">
        <f t="shared" si="0"/>
        <v>0.12955477839800927</v>
      </c>
    </row>
    <row r="58" spans="1:17" x14ac:dyDescent="0.25">
      <c r="A58">
        <v>8122348</v>
      </c>
      <c r="B58" t="s">
        <v>17</v>
      </c>
      <c r="C58">
        <v>23138110</v>
      </c>
      <c r="D58" t="s">
        <v>7</v>
      </c>
      <c r="E58">
        <v>7377150</v>
      </c>
      <c r="F58" s="2">
        <v>1312367</v>
      </c>
      <c r="G58" s="2">
        <v>35203</v>
      </c>
      <c r="H58">
        <v>30</v>
      </c>
      <c r="I58" s="1">
        <v>42509</v>
      </c>
      <c r="J58" t="s">
        <v>6</v>
      </c>
      <c r="K58">
        <f>COUNTIFS(GESTIONES!$A:$A, BASE_CUENTAS!$A58, GESTIONES!$B:$B, BASE_CUENTAS!$C58)</f>
        <v>3</v>
      </c>
      <c r="L58">
        <f>COUNTIFS(GESTIONES!$A:$A, BASE_CUENTAS!$A58,GESTIONES!$B:$B, BASE_CUENTAS!$C58,GESTIONES!$E:$E, "S")</f>
        <v>1</v>
      </c>
      <c r="M58">
        <f>COUNTIFS(GESTIONES!$A:$A, BASE_CUENTAS!$A58,GESTIONES!$B:$B, BASE_CUENTAS!$C58,GESTIONES!$E:$E, "N")</f>
        <v>2</v>
      </c>
      <c r="N58">
        <f>COUNTIFS(GESTIONES!$A:$A, BASE_CUENTAS!$A58,GESTIONES!$B:$B, BASE_CUENTAS!$C58,GESTIONES!$D:$D, "SMS")</f>
        <v>0</v>
      </c>
      <c r="O58">
        <f>SUMIFS(PAGOS!$D:$D,PAGOS!$A:$A, BASE_CUENTAS!$A58,PAGOS!$B:$B, BASE_CUENTAS!$C58)</f>
        <v>17602</v>
      </c>
      <c r="P58" t="str">
        <f>IF(
VLOOKUP($C58,BASE_CIERRE_MES!$C:$G,5,FALSE)=0,
"Normalización",
IF(
VLOOKUP($C58,BASE_CIERRE_MES!$C:$G,5,FALSE)&lt;$H58,
"Recuperación",
IF(
VLOOKUP($C58,BASE_CIERRE_MES!$C:$G,5,FALSE)=$H58,
"Contención",
"Rodamiento"
)))</f>
        <v>Recuperación</v>
      </c>
      <c r="Q58">
        <f t="shared" si="0"/>
        <v>1.3412406742930903E-2</v>
      </c>
    </row>
    <row r="59" spans="1:17" x14ac:dyDescent="0.25">
      <c r="A59">
        <v>8122348</v>
      </c>
      <c r="B59" t="s">
        <v>17</v>
      </c>
      <c r="C59">
        <v>27354461</v>
      </c>
      <c r="D59" t="s">
        <v>7</v>
      </c>
      <c r="E59">
        <v>7377150</v>
      </c>
      <c r="F59" s="2">
        <v>999534</v>
      </c>
      <c r="G59" s="2">
        <v>28207</v>
      </c>
      <c r="H59">
        <v>30</v>
      </c>
      <c r="I59" s="1">
        <v>42508</v>
      </c>
      <c r="J59" t="s">
        <v>6</v>
      </c>
      <c r="K59">
        <f>COUNTIFS(GESTIONES!$A:$A, BASE_CUENTAS!$A59, GESTIONES!$B:$B, BASE_CUENTAS!$C59)</f>
        <v>3</v>
      </c>
      <c r="L59">
        <f>COUNTIFS(GESTIONES!$A:$A, BASE_CUENTAS!$A59,GESTIONES!$B:$B, BASE_CUENTAS!$C59,GESTIONES!$E:$E, "S")</f>
        <v>1</v>
      </c>
      <c r="M59">
        <f>COUNTIFS(GESTIONES!$A:$A, BASE_CUENTAS!$A59,GESTIONES!$B:$B, BASE_CUENTAS!$C59,GESTIONES!$E:$E, "N")</f>
        <v>2</v>
      </c>
      <c r="N59">
        <f>COUNTIFS(GESTIONES!$A:$A, BASE_CUENTAS!$A59,GESTIONES!$B:$B, BASE_CUENTAS!$C59,GESTIONES!$D:$D, "SMS")</f>
        <v>1</v>
      </c>
      <c r="O59">
        <f>SUMIFS(PAGOS!$D:$D,PAGOS!$A:$A, BASE_CUENTAS!$A59,PAGOS!$B:$B, BASE_CUENTAS!$C59)</f>
        <v>9402</v>
      </c>
      <c r="P59" t="str">
        <f>IF(
VLOOKUP($C59,BASE_CIERRE_MES!$C:$G,5,FALSE)=0,
"Normalización",
IF(
VLOOKUP($C59,BASE_CIERRE_MES!$C:$G,5,FALSE)&lt;$H59,
"Recuperación",
IF(
VLOOKUP($C59,BASE_CIERRE_MES!$C:$G,5,FALSE)=$H59,
"Contención",
"Rodamiento"
)))</f>
        <v>Contención</v>
      </c>
      <c r="Q59">
        <f t="shared" si="0"/>
        <v>9.4063833746525875E-3</v>
      </c>
    </row>
    <row r="60" spans="1:17" x14ac:dyDescent="0.25">
      <c r="A60">
        <v>8122438</v>
      </c>
      <c r="B60" t="s">
        <v>16</v>
      </c>
      <c r="C60">
        <v>25825719</v>
      </c>
      <c r="D60" t="s">
        <v>7</v>
      </c>
      <c r="E60">
        <v>14859276</v>
      </c>
      <c r="F60" s="2">
        <v>477199</v>
      </c>
      <c r="G60" s="2">
        <v>76390</v>
      </c>
      <c r="H60">
        <v>30</v>
      </c>
      <c r="I60" s="1">
        <v>42518</v>
      </c>
      <c r="J60" t="s">
        <v>6</v>
      </c>
      <c r="K60">
        <f>COUNTIFS(GESTIONES!$A:$A, BASE_CUENTAS!$A60, GESTIONES!$B:$B, BASE_CUENTAS!$C60)</f>
        <v>3</v>
      </c>
      <c r="L60">
        <f>COUNTIFS(GESTIONES!$A:$A, BASE_CUENTAS!$A60,GESTIONES!$B:$B, BASE_CUENTAS!$C60,GESTIONES!$E:$E, "S")</f>
        <v>1</v>
      </c>
      <c r="M60">
        <f>COUNTIFS(GESTIONES!$A:$A, BASE_CUENTAS!$A60,GESTIONES!$B:$B, BASE_CUENTAS!$C60,GESTIONES!$E:$E, "N")</f>
        <v>2</v>
      </c>
      <c r="N60">
        <f>COUNTIFS(GESTIONES!$A:$A, BASE_CUENTAS!$A60,GESTIONES!$B:$B, BASE_CUENTAS!$C60,GESTIONES!$D:$D, "SMS")</f>
        <v>0</v>
      </c>
      <c r="O60">
        <f>SUMIFS(PAGOS!$D:$D,PAGOS!$A:$A, BASE_CUENTAS!$A60,PAGOS!$B:$B, BASE_CUENTAS!$C60)</f>
        <v>38195</v>
      </c>
      <c r="P60" t="str">
        <f>IF(
VLOOKUP($C60,BASE_CIERRE_MES!$C:$G,5,FALSE)=0,
"Normalización",
IF(
VLOOKUP($C60,BASE_CIERRE_MES!$C:$G,5,FALSE)&lt;$H60,
"Recuperación",
IF(
VLOOKUP($C60,BASE_CIERRE_MES!$C:$G,5,FALSE)=$H60,
"Contención",
"Rodamiento"
)))</f>
        <v>Recuperación</v>
      </c>
      <c r="Q60">
        <f t="shared" si="0"/>
        <v>8.003998331932799E-2</v>
      </c>
    </row>
    <row r="61" spans="1:17" x14ac:dyDescent="0.25">
      <c r="A61">
        <v>8122438</v>
      </c>
      <c r="B61" t="s">
        <v>16</v>
      </c>
      <c r="C61">
        <v>27451551</v>
      </c>
      <c r="D61" t="s">
        <v>7</v>
      </c>
      <c r="E61">
        <v>14859276</v>
      </c>
      <c r="F61" s="2">
        <v>2519662</v>
      </c>
      <c r="G61" s="2">
        <v>321860</v>
      </c>
      <c r="H61">
        <v>30</v>
      </c>
      <c r="I61" s="1">
        <v>42508</v>
      </c>
      <c r="J61" t="s">
        <v>6</v>
      </c>
      <c r="K61">
        <f>COUNTIFS(GESTIONES!$A:$A, BASE_CUENTAS!$A61, GESTIONES!$B:$B, BASE_CUENTAS!$C61)</f>
        <v>3</v>
      </c>
      <c r="L61">
        <f>COUNTIFS(GESTIONES!$A:$A, BASE_CUENTAS!$A61,GESTIONES!$B:$B, BASE_CUENTAS!$C61,GESTIONES!$E:$E, "S")</f>
        <v>0</v>
      </c>
      <c r="M61">
        <f>COUNTIFS(GESTIONES!$A:$A, BASE_CUENTAS!$A61,GESTIONES!$B:$B, BASE_CUENTAS!$C61,GESTIONES!$E:$E, "N")</f>
        <v>3</v>
      </c>
      <c r="N61">
        <f>COUNTIFS(GESTIONES!$A:$A, BASE_CUENTAS!$A61,GESTIONES!$B:$B, BASE_CUENTAS!$C61,GESTIONES!$D:$D, "SMS")</f>
        <v>1</v>
      </c>
      <c r="O61">
        <f>SUMIFS(PAGOS!$D:$D,PAGOS!$A:$A, BASE_CUENTAS!$A61,PAGOS!$B:$B, BASE_CUENTAS!$C61)</f>
        <v>0</v>
      </c>
      <c r="P61" t="str">
        <f>IF(
VLOOKUP($C61,BASE_CIERRE_MES!$C:$G,5,FALSE)=0,
"Normalización",
IF(
VLOOKUP($C61,BASE_CIERRE_MES!$C:$G,5,FALSE)&lt;$H61,
"Recuperación",
IF(
VLOOKUP($C61,BASE_CIERRE_MES!$C:$G,5,FALSE)=$H61,
"Contención",
"Rodamiento"
)))</f>
        <v>Rodamiento</v>
      </c>
      <c r="Q61">
        <f t="shared" si="0"/>
        <v>0</v>
      </c>
    </row>
    <row r="62" spans="1:17" x14ac:dyDescent="0.25">
      <c r="A62">
        <v>8122952</v>
      </c>
      <c r="B62" t="s">
        <v>16</v>
      </c>
      <c r="C62">
        <v>26844999</v>
      </c>
      <c r="D62" t="s">
        <v>7</v>
      </c>
      <c r="E62">
        <v>10212975</v>
      </c>
      <c r="F62" s="2">
        <v>2064425</v>
      </c>
      <c r="G62" s="2">
        <v>609334</v>
      </c>
      <c r="H62">
        <v>60</v>
      </c>
      <c r="I62" s="1">
        <v>42507</v>
      </c>
      <c r="J62" t="s">
        <v>6</v>
      </c>
      <c r="K62">
        <f>COUNTIFS(GESTIONES!$A:$A, BASE_CUENTAS!$A62, GESTIONES!$B:$B, BASE_CUENTAS!$C62)</f>
        <v>3</v>
      </c>
      <c r="L62">
        <f>COUNTIFS(GESTIONES!$A:$A, BASE_CUENTAS!$A62,GESTIONES!$B:$B, BASE_CUENTAS!$C62,GESTIONES!$E:$E, "S")</f>
        <v>1</v>
      </c>
      <c r="M62">
        <f>COUNTIFS(GESTIONES!$A:$A, BASE_CUENTAS!$A62,GESTIONES!$B:$B, BASE_CUENTAS!$C62,GESTIONES!$E:$E, "N")</f>
        <v>2</v>
      </c>
      <c r="N62">
        <f>COUNTIFS(GESTIONES!$A:$A, BASE_CUENTAS!$A62,GESTIONES!$B:$B, BASE_CUENTAS!$C62,GESTIONES!$D:$D, "SMS")</f>
        <v>2</v>
      </c>
      <c r="O62">
        <f>SUMIFS(PAGOS!$D:$D,PAGOS!$A:$A, BASE_CUENTAS!$A62,PAGOS!$B:$B, BASE_CUENTAS!$C62)</f>
        <v>304667</v>
      </c>
      <c r="P62" t="str">
        <f>IF(
VLOOKUP($C62,BASE_CIERRE_MES!$C:$G,5,FALSE)=0,
"Normalización",
IF(
VLOOKUP($C62,BASE_CIERRE_MES!$C:$G,5,FALSE)&lt;$H62,
"Recuperación",
IF(
VLOOKUP($C62,BASE_CIERRE_MES!$C:$G,5,FALSE)=$H62,
"Contención",
"Rodamiento"
)))</f>
        <v>Recuperación</v>
      </c>
      <c r="Q62">
        <f t="shared" si="0"/>
        <v>0.14757959238044491</v>
      </c>
    </row>
    <row r="63" spans="1:17" x14ac:dyDescent="0.25">
      <c r="A63">
        <v>8122952</v>
      </c>
      <c r="B63" t="s">
        <v>16</v>
      </c>
      <c r="C63">
        <v>27342408</v>
      </c>
      <c r="D63" t="s">
        <v>7</v>
      </c>
      <c r="E63">
        <v>10212975</v>
      </c>
      <c r="F63" s="2">
        <v>2711820</v>
      </c>
      <c r="G63" s="2">
        <v>483786</v>
      </c>
      <c r="H63">
        <v>60</v>
      </c>
      <c r="I63" s="1">
        <v>42507</v>
      </c>
      <c r="J63" t="s">
        <v>6</v>
      </c>
      <c r="K63">
        <f>COUNTIFS(GESTIONES!$A:$A, BASE_CUENTAS!$A63, GESTIONES!$B:$B, BASE_CUENTAS!$C63)</f>
        <v>3</v>
      </c>
      <c r="L63">
        <f>COUNTIFS(GESTIONES!$A:$A, BASE_CUENTAS!$A63,GESTIONES!$B:$B, BASE_CUENTAS!$C63,GESTIONES!$E:$E, "S")</f>
        <v>1</v>
      </c>
      <c r="M63">
        <f>COUNTIFS(GESTIONES!$A:$A, BASE_CUENTAS!$A63,GESTIONES!$B:$B, BASE_CUENTAS!$C63,GESTIONES!$E:$E, "N")</f>
        <v>2</v>
      </c>
      <c r="N63">
        <f>COUNTIFS(GESTIONES!$A:$A, BASE_CUENTAS!$A63,GESTIONES!$B:$B, BASE_CUENTAS!$C63,GESTIONES!$D:$D, "SMS")</f>
        <v>0</v>
      </c>
      <c r="O63">
        <f>SUMIFS(PAGOS!$D:$D,PAGOS!$A:$A, BASE_CUENTAS!$A63,PAGOS!$B:$B, BASE_CUENTAS!$C63)</f>
        <v>483786</v>
      </c>
      <c r="P63" t="str">
        <f>IF(
VLOOKUP($C63,BASE_CIERRE_MES!$C:$G,5,FALSE)=0,
"Normalización",
IF(
VLOOKUP($C63,BASE_CIERRE_MES!$C:$G,5,FALSE)&lt;$H63,
"Recuperación",
IF(
VLOOKUP($C63,BASE_CIERRE_MES!$C:$G,5,FALSE)=$H63,
"Contención",
"Rodamiento"
)))</f>
        <v>Normalización</v>
      </c>
      <c r="Q63">
        <f t="shared" si="0"/>
        <v>0.17839900878376883</v>
      </c>
    </row>
    <row r="64" spans="1:17" x14ac:dyDescent="0.25">
      <c r="A64">
        <v>8122952</v>
      </c>
      <c r="B64" t="s">
        <v>16</v>
      </c>
      <c r="C64">
        <v>27362528</v>
      </c>
      <c r="D64" t="s">
        <v>9</v>
      </c>
      <c r="E64">
        <v>10212975</v>
      </c>
      <c r="F64" s="2">
        <v>5436730</v>
      </c>
      <c r="G64" s="2">
        <v>498016</v>
      </c>
      <c r="H64">
        <v>83</v>
      </c>
      <c r="I64" s="1">
        <v>42507</v>
      </c>
      <c r="J64" t="s">
        <v>6</v>
      </c>
      <c r="K64">
        <f>COUNTIFS(GESTIONES!$A:$A, BASE_CUENTAS!$A64, GESTIONES!$B:$B, BASE_CUENTAS!$C64)</f>
        <v>3</v>
      </c>
      <c r="L64">
        <f>COUNTIFS(GESTIONES!$A:$A, BASE_CUENTAS!$A64,GESTIONES!$B:$B, BASE_CUENTAS!$C64,GESTIONES!$E:$E, "S")</f>
        <v>1</v>
      </c>
      <c r="M64">
        <f>COUNTIFS(GESTIONES!$A:$A, BASE_CUENTAS!$A64,GESTIONES!$B:$B, BASE_CUENTAS!$C64,GESTIONES!$E:$E, "N")</f>
        <v>2</v>
      </c>
      <c r="N64">
        <f>COUNTIFS(GESTIONES!$A:$A, BASE_CUENTAS!$A64,GESTIONES!$B:$B, BASE_CUENTAS!$C64,GESTIONES!$D:$D, "SMS")</f>
        <v>1</v>
      </c>
      <c r="O64">
        <f>SUMIFS(PAGOS!$D:$D,PAGOS!$A:$A, BASE_CUENTAS!$A64,PAGOS!$B:$B, BASE_CUENTAS!$C64)</f>
        <v>0</v>
      </c>
      <c r="P64" t="str">
        <f>IF(
VLOOKUP($C64,BASE_CIERRE_MES!$C:$G,5,FALSE)=0,
"Normalización",
IF(
VLOOKUP($C64,BASE_CIERRE_MES!$C:$G,5,FALSE)&lt;$H64,
"Recuperación",
IF(
VLOOKUP($C64,BASE_CIERRE_MES!$C:$G,5,FALSE)=$H64,
"Contención",
"Rodamiento"
)))</f>
        <v>Rodamiento</v>
      </c>
      <c r="Q64">
        <f t="shared" si="0"/>
        <v>0</v>
      </c>
    </row>
    <row r="65" spans="1:17" x14ac:dyDescent="0.25">
      <c r="A65">
        <v>8123013</v>
      </c>
      <c r="B65" t="s">
        <v>18</v>
      </c>
      <c r="C65">
        <v>27748497</v>
      </c>
      <c r="D65" t="s">
        <v>7</v>
      </c>
      <c r="E65">
        <v>579616</v>
      </c>
      <c r="F65" s="2">
        <v>579616</v>
      </c>
      <c r="G65" s="2">
        <v>24259</v>
      </c>
      <c r="H65">
        <v>30</v>
      </c>
      <c r="I65" s="1">
        <v>42508</v>
      </c>
      <c r="J65" t="s">
        <v>6</v>
      </c>
      <c r="K65">
        <f>COUNTIFS(GESTIONES!$A:$A, BASE_CUENTAS!$A65, GESTIONES!$B:$B, BASE_CUENTAS!$C65)</f>
        <v>3</v>
      </c>
      <c r="L65">
        <f>COUNTIFS(GESTIONES!$A:$A, BASE_CUENTAS!$A65,GESTIONES!$B:$B, BASE_CUENTAS!$C65,GESTIONES!$E:$E, "S")</f>
        <v>2</v>
      </c>
      <c r="M65">
        <f>COUNTIFS(GESTIONES!$A:$A, BASE_CUENTAS!$A65,GESTIONES!$B:$B, BASE_CUENTAS!$C65,GESTIONES!$E:$E, "N")</f>
        <v>1</v>
      </c>
      <c r="N65">
        <f>COUNTIFS(GESTIONES!$A:$A, BASE_CUENTAS!$A65,GESTIONES!$B:$B, BASE_CUENTAS!$C65,GESTIONES!$D:$D, "SMS")</f>
        <v>0</v>
      </c>
      <c r="O65">
        <f>SUMIFS(PAGOS!$D:$D,PAGOS!$A:$A, BASE_CUENTAS!$A65,PAGOS!$B:$B, BASE_CUENTAS!$C65)</f>
        <v>0</v>
      </c>
      <c r="P65" t="str">
        <f>IF(
VLOOKUP($C65,BASE_CIERRE_MES!$C:$G,5,FALSE)=0,
"Normalización",
IF(
VLOOKUP($C65,BASE_CIERRE_MES!$C:$G,5,FALSE)&lt;$H65,
"Recuperación",
IF(
VLOOKUP($C65,BASE_CIERRE_MES!$C:$G,5,FALSE)=$H65,
"Contención",
"Rodamiento"
)))</f>
        <v>Rodamiento</v>
      </c>
      <c r="Q65">
        <f t="shared" si="0"/>
        <v>0</v>
      </c>
    </row>
    <row r="66" spans="1:17" x14ac:dyDescent="0.25">
      <c r="A66">
        <v>8140803</v>
      </c>
      <c r="B66" t="s">
        <v>18</v>
      </c>
      <c r="C66">
        <v>16471105</v>
      </c>
      <c r="D66" t="s">
        <v>7</v>
      </c>
      <c r="E66">
        <v>1779003</v>
      </c>
      <c r="F66" s="2">
        <v>1779003</v>
      </c>
      <c r="G66" s="2">
        <v>253535</v>
      </c>
      <c r="H66">
        <v>30</v>
      </c>
      <c r="I66" s="1">
        <v>42508</v>
      </c>
      <c r="J66" t="s">
        <v>6</v>
      </c>
      <c r="K66">
        <f>COUNTIFS(GESTIONES!$A:$A, BASE_CUENTAS!$A66, GESTIONES!$B:$B, BASE_CUENTAS!$C66)</f>
        <v>3</v>
      </c>
      <c r="L66">
        <f>COUNTIFS(GESTIONES!$A:$A, BASE_CUENTAS!$A66,GESTIONES!$B:$B, BASE_CUENTAS!$C66,GESTIONES!$E:$E, "S")</f>
        <v>1</v>
      </c>
      <c r="M66">
        <f>COUNTIFS(GESTIONES!$A:$A, BASE_CUENTAS!$A66,GESTIONES!$B:$B, BASE_CUENTAS!$C66,GESTIONES!$E:$E, "N")</f>
        <v>2</v>
      </c>
      <c r="N66">
        <f>COUNTIFS(GESTIONES!$A:$A, BASE_CUENTAS!$A66,GESTIONES!$B:$B, BASE_CUENTAS!$C66,GESTIONES!$D:$D, "SMS")</f>
        <v>0</v>
      </c>
      <c r="O66">
        <f>SUMIFS(PAGOS!$D:$D,PAGOS!$A:$A, BASE_CUENTAS!$A66,PAGOS!$B:$B, BASE_CUENTAS!$C66)</f>
        <v>0</v>
      </c>
      <c r="P66" t="str">
        <f>IF(
VLOOKUP($C66,BASE_CIERRE_MES!$C:$G,5,FALSE)=0,
"Normalización",
IF(
VLOOKUP($C66,BASE_CIERRE_MES!$C:$G,5,FALSE)&lt;$H66,
"Recuperación",
IF(
VLOOKUP($C66,BASE_CIERRE_MES!$C:$G,5,FALSE)=$H66,
"Contención",
"Rodamiento"
)))</f>
        <v>Rodamiento</v>
      </c>
      <c r="Q66">
        <f t="shared" si="0"/>
        <v>0</v>
      </c>
    </row>
    <row r="67" spans="1:17" x14ac:dyDescent="0.25">
      <c r="A67">
        <v>8140967</v>
      </c>
      <c r="B67" t="s">
        <v>17</v>
      </c>
      <c r="C67">
        <v>1261260</v>
      </c>
      <c r="D67" t="s">
        <v>7</v>
      </c>
      <c r="E67">
        <v>2905211</v>
      </c>
      <c r="F67" s="2">
        <v>1459649</v>
      </c>
      <c r="G67" s="2">
        <v>39390</v>
      </c>
      <c r="H67">
        <v>30</v>
      </c>
      <c r="I67" s="1">
        <v>42509</v>
      </c>
      <c r="J67" t="s">
        <v>6</v>
      </c>
      <c r="K67">
        <f>COUNTIFS(GESTIONES!$A:$A, BASE_CUENTAS!$A67, GESTIONES!$B:$B, BASE_CUENTAS!$C67)</f>
        <v>3</v>
      </c>
      <c r="L67">
        <f>COUNTIFS(GESTIONES!$A:$A, BASE_CUENTAS!$A67,GESTIONES!$B:$B, BASE_CUENTAS!$C67,GESTIONES!$E:$E, "S")</f>
        <v>0</v>
      </c>
      <c r="M67">
        <f>COUNTIFS(GESTIONES!$A:$A, BASE_CUENTAS!$A67,GESTIONES!$B:$B, BASE_CUENTAS!$C67,GESTIONES!$E:$E, "N")</f>
        <v>3</v>
      </c>
      <c r="N67">
        <f>COUNTIFS(GESTIONES!$A:$A, BASE_CUENTAS!$A67,GESTIONES!$B:$B, BASE_CUENTAS!$C67,GESTIONES!$D:$D, "SMS")</f>
        <v>2</v>
      </c>
      <c r="O67">
        <f>SUMIFS(PAGOS!$D:$D,PAGOS!$A:$A, BASE_CUENTAS!$A67,PAGOS!$B:$B, BASE_CUENTAS!$C67)</f>
        <v>0</v>
      </c>
      <c r="P67" t="str">
        <f>IF(
VLOOKUP($C67,BASE_CIERRE_MES!$C:$G,5,FALSE)=0,
"Normalización",
IF(
VLOOKUP($C67,BASE_CIERRE_MES!$C:$G,5,FALSE)&lt;$H67,
"Recuperación",
IF(
VLOOKUP($C67,BASE_CIERRE_MES!$C:$G,5,FALSE)=$H67,
"Contención",
"Rodamiento"
)))</f>
        <v>Rodamiento</v>
      </c>
      <c r="Q67">
        <f t="shared" ref="Q67:Q130" si="1">IF(F67=0,0,VALUE(O67)/VALUE(F67))</f>
        <v>0</v>
      </c>
    </row>
    <row r="68" spans="1:17" x14ac:dyDescent="0.25">
      <c r="A68">
        <v>8140967</v>
      </c>
      <c r="B68" t="s">
        <v>17</v>
      </c>
      <c r="C68">
        <v>1261261</v>
      </c>
      <c r="D68" t="s">
        <v>7</v>
      </c>
      <c r="E68">
        <v>2905211</v>
      </c>
      <c r="F68" s="2">
        <v>1445561</v>
      </c>
      <c r="G68" s="2">
        <v>36913</v>
      </c>
      <c r="H68">
        <v>30</v>
      </c>
      <c r="I68" s="1">
        <v>42518</v>
      </c>
      <c r="J68" t="s">
        <v>6</v>
      </c>
      <c r="K68">
        <f>COUNTIFS(GESTIONES!$A:$A, BASE_CUENTAS!$A68, GESTIONES!$B:$B, BASE_CUENTAS!$C68)</f>
        <v>3</v>
      </c>
      <c r="L68">
        <f>COUNTIFS(GESTIONES!$A:$A, BASE_CUENTAS!$A68,GESTIONES!$B:$B, BASE_CUENTAS!$C68,GESTIONES!$E:$E, "S")</f>
        <v>1</v>
      </c>
      <c r="M68">
        <f>COUNTIFS(GESTIONES!$A:$A, BASE_CUENTAS!$A68,GESTIONES!$B:$B, BASE_CUENTAS!$C68,GESTIONES!$E:$E, "N")</f>
        <v>2</v>
      </c>
      <c r="N68">
        <f>COUNTIFS(GESTIONES!$A:$A, BASE_CUENTAS!$A68,GESTIONES!$B:$B, BASE_CUENTAS!$C68,GESTIONES!$D:$D, "SMS")</f>
        <v>1</v>
      </c>
      <c r="O68">
        <f>SUMIFS(PAGOS!$D:$D,PAGOS!$A:$A, BASE_CUENTAS!$A68,PAGOS!$B:$B, BASE_CUENTAS!$C68)</f>
        <v>0</v>
      </c>
      <c r="P68" t="str">
        <f>IF(
VLOOKUP($C68,BASE_CIERRE_MES!$C:$G,5,FALSE)=0,
"Normalización",
IF(
VLOOKUP($C68,BASE_CIERRE_MES!$C:$G,5,FALSE)&lt;$H68,
"Recuperación",
IF(
VLOOKUP($C68,BASE_CIERRE_MES!$C:$G,5,FALSE)=$H68,
"Contención",
"Rodamiento"
)))</f>
        <v>Rodamiento</v>
      </c>
      <c r="Q68">
        <f t="shared" si="1"/>
        <v>0</v>
      </c>
    </row>
    <row r="69" spans="1:17" x14ac:dyDescent="0.25">
      <c r="A69">
        <v>8141368</v>
      </c>
      <c r="B69" t="s">
        <v>18</v>
      </c>
      <c r="C69">
        <v>21108707</v>
      </c>
      <c r="D69" t="s">
        <v>7</v>
      </c>
      <c r="E69">
        <v>638651</v>
      </c>
      <c r="F69" s="2">
        <v>432742</v>
      </c>
      <c r="G69" s="2">
        <v>432742</v>
      </c>
      <c r="H69">
        <v>180</v>
      </c>
      <c r="I69" s="1">
        <v>42480</v>
      </c>
      <c r="J69" t="s">
        <v>5</v>
      </c>
      <c r="K69">
        <f>COUNTIFS(GESTIONES!$A:$A, BASE_CUENTAS!$A69, GESTIONES!$B:$B, BASE_CUENTAS!$C69)</f>
        <v>3</v>
      </c>
      <c r="L69">
        <f>COUNTIFS(GESTIONES!$A:$A, BASE_CUENTAS!$A69,GESTIONES!$B:$B, BASE_CUENTAS!$C69,GESTIONES!$E:$E, "S")</f>
        <v>1</v>
      </c>
      <c r="M69">
        <f>COUNTIFS(GESTIONES!$A:$A, BASE_CUENTAS!$A69,GESTIONES!$B:$B, BASE_CUENTAS!$C69,GESTIONES!$E:$E, "N")</f>
        <v>2</v>
      </c>
      <c r="N69">
        <f>COUNTIFS(GESTIONES!$A:$A, BASE_CUENTAS!$A69,GESTIONES!$B:$B, BASE_CUENTAS!$C69,GESTIONES!$D:$D, "SMS")</f>
        <v>1</v>
      </c>
      <c r="O69">
        <f>SUMIFS(PAGOS!$D:$D,PAGOS!$A:$A, BASE_CUENTAS!$A69,PAGOS!$B:$B, BASE_CUENTAS!$C69)</f>
        <v>0</v>
      </c>
      <c r="P69" t="str">
        <f>IF(
VLOOKUP($C69,BASE_CIERRE_MES!$C:$G,5,FALSE)=0,
"Normalización",
IF(
VLOOKUP($C69,BASE_CIERRE_MES!$C:$G,5,FALSE)&lt;$H69,
"Recuperación",
IF(
VLOOKUP($C69,BASE_CIERRE_MES!$C:$G,5,FALSE)=$H69,
"Contención",
"Rodamiento"
)))</f>
        <v>Rodamiento</v>
      </c>
      <c r="Q69">
        <f t="shared" si="1"/>
        <v>0</v>
      </c>
    </row>
    <row r="70" spans="1:17" x14ac:dyDescent="0.25">
      <c r="A70">
        <v>8141661</v>
      </c>
      <c r="B70" t="s">
        <v>18</v>
      </c>
      <c r="C70">
        <v>26211389</v>
      </c>
      <c r="D70" t="s">
        <v>7</v>
      </c>
      <c r="E70">
        <v>579279</v>
      </c>
      <c r="F70" s="2">
        <v>579279</v>
      </c>
      <c r="G70" s="2">
        <v>579279</v>
      </c>
      <c r="H70">
        <v>180</v>
      </c>
      <c r="I70" s="1">
        <v>42491</v>
      </c>
      <c r="J70" t="s">
        <v>5</v>
      </c>
      <c r="K70">
        <f>COUNTIFS(GESTIONES!$A:$A, BASE_CUENTAS!$A70, GESTIONES!$B:$B, BASE_CUENTAS!$C70)</f>
        <v>3</v>
      </c>
      <c r="L70">
        <f>COUNTIFS(GESTIONES!$A:$A, BASE_CUENTAS!$A70,GESTIONES!$B:$B, BASE_CUENTAS!$C70,GESTIONES!$E:$E, "S")</f>
        <v>1</v>
      </c>
      <c r="M70">
        <f>COUNTIFS(GESTIONES!$A:$A, BASE_CUENTAS!$A70,GESTIONES!$B:$B, BASE_CUENTAS!$C70,GESTIONES!$E:$E, "N")</f>
        <v>2</v>
      </c>
      <c r="N70">
        <f>COUNTIFS(GESTIONES!$A:$A, BASE_CUENTAS!$A70,GESTIONES!$B:$B, BASE_CUENTAS!$C70,GESTIONES!$D:$D, "SMS")</f>
        <v>0</v>
      </c>
      <c r="O70">
        <f>SUMIFS(PAGOS!$D:$D,PAGOS!$A:$A, BASE_CUENTAS!$A70,PAGOS!$B:$B, BASE_CUENTAS!$C70)</f>
        <v>579279</v>
      </c>
      <c r="P70" t="str">
        <f>IF(
VLOOKUP($C70,BASE_CIERRE_MES!$C:$G,5,FALSE)=0,
"Normalización",
IF(
VLOOKUP($C70,BASE_CIERRE_MES!$C:$G,5,FALSE)&lt;$H70,
"Recuperación",
IF(
VLOOKUP($C70,BASE_CIERRE_MES!$C:$G,5,FALSE)=$H70,
"Contención",
"Rodamiento"
)))</f>
        <v>Normalización</v>
      </c>
      <c r="Q70">
        <f t="shared" si="1"/>
        <v>1</v>
      </c>
    </row>
    <row r="71" spans="1:17" x14ac:dyDescent="0.25">
      <c r="A71">
        <v>8142131</v>
      </c>
      <c r="B71" t="s">
        <v>18</v>
      </c>
      <c r="C71">
        <v>23230686</v>
      </c>
      <c r="D71" t="s">
        <v>7</v>
      </c>
      <c r="E71">
        <v>1727978</v>
      </c>
      <c r="F71" s="2">
        <v>1727978</v>
      </c>
      <c r="G71" s="2">
        <v>289619</v>
      </c>
      <c r="H71">
        <v>30</v>
      </c>
      <c r="I71" s="1">
        <v>42522</v>
      </c>
      <c r="J71" t="s">
        <v>6</v>
      </c>
      <c r="K71">
        <f>COUNTIFS(GESTIONES!$A:$A, BASE_CUENTAS!$A71, GESTIONES!$B:$B, BASE_CUENTAS!$C71)</f>
        <v>3</v>
      </c>
      <c r="L71">
        <f>COUNTIFS(GESTIONES!$A:$A, BASE_CUENTAS!$A71,GESTIONES!$B:$B, BASE_CUENTAS!$C71,GESTIONES!$E:$E, "S")</f>
        <v>1</v>
      </c>
      <c r="M71">
        <f>COUNTIFS(GESTIONES!$A:$A, BASE_CUENTAS!$A71,GESTIONES!$B:$B, BASE_CUENTAS!$C71,GESTIONES!$E:$E, "N")</f>
        <v>2</v>
      </c>
      <c r="N71">
        <f>COUNTIFS(GESTIONES!$A:$A, BASE_CUENTAS!$A71,GESTIONES!$B:$B, BASE_CUENTAS!$C71,GESTIONES!$D:$D, "SMS")</f>
        <v>0</v>
      </c>
      <c r="O71">
        <f>SUMIFS(PAGOS!$D:$D,PAGOS!$A:$A, BASE_CUENTAS!$A71,PAGOS!$B:$B, BASE_CUENTAS!$C71)</f>
        <v>0</v>
      </c>
      <c r="P71" t="str">
        <f>IF(
VLOOKUP($C71,BASE_CIERRE_MES!$C:$G,5,FALSE)=0,
"Normalización",
IF(
VLOOKUP($C71,BASE_CIERRE_MES!$C:$G,5,FALSE)&lt;$H71,
"Recuperación",
IF(
VLOOKUP($C71,BASE_CIERRE_MES!$C:$G,5,FALSE)=$H71,
"Contención",
"Rodamiento"
)))</f>
        <v>Rodamiento</v>
      </c>
      <c r="Q71">
        <f t="shared" si="1"/>
        <v>0</v>
      </c>
    </row>
    <row r="72" spans="1:17" x14ac:dyDescent="0.25">
      <c r="A72">
        <v>8142840</v>
      </c>
      <c r="B72" t="s">
        <v>18</v>
      </c>
      <c r="C72">
        <v>28584067</v>
      </c>
      <c r="D72" t="s">
        <v>7</v>
      </c>
      <c r="E72">
        <v>2838169</v>
      </c>
      <c r="F72" s="2">
        <v>2838169</v>
      </c>
      <c r="G72" s="2">
        <v>387037</v>
      </c>
      <c r="H72">
        <v>30</v>
      </c>
      <c r="I72" s="1">
        <v>42524</v>
      </c>
      <c r="J72" t="s">
        <v>6</v>
      </c>
      <c r="K72">
        <f>COUNTIFS(GESTIONES!$A:$A, BASE_CUENTAS!$A72, GESTIONES!$B:$B, BASE_CUENTAS!$C72)</f>
        <v>3</v>
      </c>
      <c r="L72">
        <f>COUNTIFS(GESTIONES!$A:$A, BASE_CUENTAS!$A72,GESTIONES!$B:$B, BASE_CUENTAS!$C72,GESTIONES!$E:$E, "S")</f>
        <v>0</v>
      </c>
      <c r="M72">
        <f>COUNTIFS(GESTIONES!$A:$A, BASE_CUENTAS!$A72,GESTIONES!$B:$B, BASE_CUENTAS!$C72,GESTIONES!$E:$E, "N")</f>
        <v>3</v>
      </c>
      <c r="N72">
        <f>COUNTIFS(GESTIONES!$A:$A, BASE_CUENTAS!$A72,GESTIONES!$B:$B, BASE_CUENTAS!$C72,GESTIONES!$D:$D, "SMS")</f>
        <v>2</v>
      </c>
      <c r="O72">
        <f>SUMIFS(PAGOS!$D:$D,PAGOS!$A:$A, BASE_CUENTAS!$A72,PAGOS!$B:$B, BASE_CUENTAS!$C72)</f>
        <v>0</v>
      </c>
      <c r="P72" t="str">
        <f>IF(
VLOOKUP($C72,BASE_CIERRE_MES!$C:$G,5,FALSE)=0,
"Normalización",
IF(
VLOOKUP($C72,BASE_CIERRE_MES!$C:$G,5,FALSE)&lt;$H72,
"Recuperación",
IF(
VLOOKUP($C72,BASE_CIERRE_MES!$C:$G,5,FALSE)=$H72,
"Contención",
"Rodamiento"
)))</f>
        <v>Rodamiento</v>
      </c>
      <c r="Q72">
        <f t="shared" si="1"/>
        <v>0</v>
      </c>
    </row>
    <row r="73" spans="1:17" x14ac:dyDescent="0.25">
      <c r="A73">
        <v>8142913</v>
      </c>
      <c r="B73" t="s">
        <v>18</v>
      </c>
      <c r="C73">
        <v>15150108</v>
      </c>
      <c r="D73" t="s">
        <v>7</v>
      </c>
      <c r="E73">
        <v>514449</v>
      </c>
      <c r="F73" s="2">
        <v>514449</v>
      </c>
      <c r="G73" s="2">
        <v>141909</v>
      </c>
      <c r="H73">
        <v>30</v>
      </c>
      <c r="I73" s="1">
        <v>42508</v>
      </c>
      <c r="J73" t="s">
        <v>6</v>
      </c>
      <c r="K73">
        <f>COUNTIFS(GESTIONES!$A:$A, BASE_CUENTAS!$A73, GESTIONES!$B:$B, BASE_CUENTAS!$C73)</f>
        <v>3</v>
      </c>
      <c r="L73">
        <f>COUNTIFS(GESTIONES!$A:$A, BASE_CUENTAS!$A73,GESTIONES!$B:$B, BASE_CUENTAS!$C73,GESTIONES!$E:$E, "S")</f>
        <v>1</v>
      </c>
      <c r="M73">
        <f>COUNTIFS(GESTIONES!$A:$A, BASE_CUENTAS!$A73,GESTIONES!$B:$B, BASE_CUENTAS!$C73,GESTIONES!$E:$E, "N")</f>
        <v>2</v>
      </c>
      <c r="N73">
        <f>COUNTIFS(GESTIONES!$A:$A, BASE_CUENTAS!$A73,GESTIONES!$B:$B, BASE_CUENTAS!$C73,GESTIONES!$D:$D, "SMS")</f>
        <v>1</v>
      </c>
      <c r="O73">
        <f>SUMIFS(PAGOS!$D:$D,PAGOS!$A:$A, BASE_CUENTAS!$A73,PAGOS!$B:$B, BASE_CUENTAS!$C73)</f>
        <v>70955</v>
      </c>
      <c r="P73" t="str">
        <f>IF(
VLOOKUP($C73,BASE_CIERRE_MES!$C:$G,5,FALSE)=0,
"Normalización",
IF(
VLOOKUP($C73,BASE_CIERRE_MES!$C:$G,5,FALSE)&lt;$H73,
"Recuperación",
IF(
VLOOKUP($C73,BASE_CIERRE_MES!$C:$G,5,FALSE)=$H73,
"Contención",
"Rodamiento"
)))</f>
        <v>Recuperación</v>
      </c>
      <c r="Q73">
        <f t="shared" si="1"/>
        <v>0.13792426460154456</v>
      </c>
    </row>
    <row r="74" spans="1:17" x14ac:dyDescent="0.25">
      <c r="A74">
        <v>8143445</v>
      </c>
      <c r="B74" t="s">
        <v>18</v>
      </c>
      <c r="C74">
        <v>27500623</v>
      </c>
      <c r="D74" t="s">
        <v>7</v>
      </c>
      <c r="E74">
        <v>584548</v>
      </c>
      <c r="F74" s="2">
        <v>584548</v>
      </c>
      <c r="G74" s="2">
        <v>62095</v>
      </c>
      <c r="H74">
        <v>30</v>
      </c>
      <c r="I74" s="1">
        <v>42509</v>
      </c>
      <c r="J74" t="s">
        <v>6</v>
      </c>
      <c r="K74">
        <f>COUNTIFS(GESTIONES!$A:$A, BASE_CUENTAS!$A74, GESTIONES!$B:$B, BASE_CUENTAS!$C74)</f>
        <v>3</v>
      </c>
      <c r="L74">
        <f>COUNTIFS(GESTIONES!$A:$A, BASE_CUENTAS!$A74,GESTIONES!$B:$B, BASE_CUENTAS!$C74,GESTIONES!$E:$E, "S")</f>
        <v>1</v>
      </c>
      <c r="M74">
        <f>COUNTIFS(GESTIONES!$A:$A, BASE_CUENTAS!$A74,GESTIONES!$B:$B, BASE_CUENTAS!$C74,GESTIONES!$E:$E, "N")</f>
        <v>2</v>
      </c>
      <c r="N74">
        <f>COUNTIFS(GESTIONES!$A:$A, BASE_CUENTAS!$A74,GESTIONES!$B:$B, BASE_CUENTAS!$C74,GESTIONES!$D:$D, "SMS")</f>
        <v>1</v>
      </c>
      <c r="O74">
        <f>SUMIFS(PAGOS!$D:$D,PAGOS!$A:$A, BASE_CUENTAS!$A74,PAGOS!$B:$B, BASE_CUENTAS!$C74)</f>
        <v>0</v>
      </c>
      <c r="P74" t="str">
        <f>IF(
VLOOKUP($C74,BASE_CIERRE_MES!$C:$G,5,FALSE)=0,
"Normalización",
IF(
VLOOKUP($C74,BASE_CIERRE_MES!$C:$G,5,FALSE)&lt;$H74,
"Recuperación",
IF(
VLOOKUP($C74,BASE_CIERRE_MES!$C:$G,5,FALSE)=$H74,
"Contención",
"Rodamiento"
)))</f>
        <v>Rodamiento</v>
      </c>
      <c r="Q74">
        <f t="shared" si="1"/>
        <v>0</v>
      </c>
    </row>
    <row r="75" spans="1:17" x14ac:dyDescent="0.25">
      <c r="A75">
        <v>8143616</v>
      </c>
      <c r="B75" t="s">
        <v>18</v>
      </c>
      <c r="C75">
        <v>28579108</v>
      </c>
      <c r="D75" t="s">
        <v>7</v>
      </c>
      <c r="E75">
        <v>714564</v>
      </c>
      <c r="F75" s="2">
        <v>714564</v>
      </c>
      <c r="G75" s="2">
        <v>58271</v>
      </c>
      <c r="H75">
        <v>30</v>
      </c>
      <c r="I75" s="1">
        <v>42524</v>
      </c>
      <c r="J75" t="s">
        <v>5</v>
      </c>
      <c r="K75">
        <f>COUNTIFS(GESTIONES!$A:$A, BASE_CUENTAS!$A75, GESTIONES!$B:$B, BASE_CUENTAS!$C75)</f>
        <v>3</v>
      </c>
      <c r="L75">
        <f>COUNTIFS(GESTIONES!$A:$A, BASE_CUENTAS!$A75,GESTIONES!$B:$B, BASE_CUENTAS!$C75,GESTIONES!$E:$E, "S")</f>
        <v>1</v>
      </c>
      <c r="M75">
        <f>COUNTIFS(GESTIONES!$A:$A, BASE_CUENTAS!$A75,GESTIONES!$B:$B, BASE_CUENTAS!$C75,GESTIONES!$E:$E, "N")</f>
        <v>2</v>
      </c>
      <c r="N75">
        <f>COUNTIFS(GESTIONES!$A:$A, BASE_CUENTAS!$A75,GESTIONES!$B:$B, BASE_CUENTAS!$C75,GESTIONES!$D:$D, "SMS")</f>
        <v>0</v>
      </c>
      <c r="O75">
        <f>SUMIFS(PAGOS!$D:$D,PAGOS!$A:$A, BASE_CUENTAS!$A75,PAGOS!$B:$B, BASE_CUENTAS!$C75)</f>
        <v>0</v>
      </c>
      <c r="P75" t="str">
        <f>IF(
VLOOKUP($C75,BASE_CIERRE_MES!$C:$G,5,FALSE)=0,
"Normalización",
IF(
VLOOKUP($C75,BASE_CIERRE_MES!$C:$G,5,FALSE)&lt;$H75,
"Recuperación",
IF(
VLOOKUP($C75,BASE_CIERRE_MES!$C:$G,5,FALSE)=$H75,
"Contención",
"Rodamiento"
)))</f>
        <v>Rodamiento</v>
      </c>
      <c r="Q75">
        <f t="shared" si="1"/>
        <v>0</v>
      </c>
    </row>
    <row r="76" spans="1:17" x14ac:dyDescent="0.25">
      <c r="A76">
        <v>8143620</v>
      </c>
      <c r="B76" t="s">
        <v>18</v>
      </c>
      <c r="C76">
        <v>26382097</v>
      </c>
      <c r="D76" t="s">
        <v>7</v>
      </c>
      <c r="E76">
        <v>3622598</v>
      </c>
      <c r="F76" s="2">
        <v>3622598</v>
      </c>
      <c r="G76" s="2">
        <v>344400</v>
      </c>
      <c r="H76">
        <v>30</v>
      </c>
      <c r="I76" s="1">
        <v>42522</v>
      </c>
      <c r="J76" t="s">
        <v>6</v>
      </c>
      <c r="K76">
        <f>COUNTIFS(GESTIONES!$A:$A, BASE_CUENTAS!$A76, GESTIONES!$B:$B, BASE_CUENTAS!$C76)</f>
        <v>3</v>
      </c>
      <c r="L76">
        <f>COUNTIFS(GESTIONES!$A:$A, BASE_CUENTAS!$A76,GESTIONES!$B:$B, BASE_CUENTAS!$C76,GESTIONES!$E:$E, "S")</f>
        <v>1</v>
      </c>
      <c r="M76">
        <f>COUNTIFS(GESTIONES!$A:$A, BASE_CUENTAS!$A76,GESTIONES!$B:$B, BASE_CUENTAS!$C76,GESTIONES!$E:$E, "N")</f>
        <v>2</v>
      </c>
      <c r="N76">
        <f>COUNTIFS(GESTIONES!$A:$A, BASE_CUENTAS!$A76,GESTIONES!$B:$B, BASE_CUENTAS!$C76,GESTIONES!$D:$D, "SMS")</f>
        <v>0</v>
      </c>
      <c r="O76">
        <f>SUMIFS(PAGOS!$D:$D,PAGOS!$A:$A, BASE_CUENTAS!$A76,PAGOS!$B:$B, BASE_CUENTAS!$C76)</f>
        <v>0</v>
      </c>
      <c r="P76" t="str">
        <f>IF(
VLOOKUP($C76,BASE_CIERRE_MES!$C:$G,5,FALSE)=0,
"Normalización",
IF(
VLOOKUP($C76,BASE_CIERRE_MES!$C:$G,5,FALSE)&lt;$H76,
"Recuperación",
IF(
VLOOKUP($C76,BASE_CIERRE_MES!$C:$G,5,FALSE)=$H76,
"Contención",
"Rodamiento"
)))</f>
        <v>Rodamiento</v>
      </c>
      <c r="Q76">
        <f t="shared" si="1"/>
        <v>0</v>
      </c>
    </row>
    <row r="77" spans="1:17" x14ac:dyDescent="0.25">
      <c r="A77">
        <v>8143701</v>
      </c>
      <c r="B77" t="s">
        <v>18</v>
      </c>
      <c r="C77">
        <v>21781337</v>
      </c>
      <c r="D77" t="s">
        <v>7</v>
      </c>
      <c r="E77">
        <v>3167451</v>
      </c>
      <c r="F77" s="2">
        <v>2711222</v>
      </c>
      <c r="G77" s="2">
        <v>558354</v>
      </c>
      <c r="H77">
        <v>30</v>
      </c>
      <c r="I77" s="1">
        <v>42521</v>
      </c>
      <c r="J77" t="s">
        <v>4</v>
      </c>
      <c r="K77">
        <f>COUNTIFS(GESTIONES!$A:$A, BASE_CUENTAS!$A77, GESTIONES!$B:$B, BASE_CUENTAS!$C77)</f>
        <v>3</v>
      </c>
      <c r="L77">
        <f>COUNTIFS(GESTIONES!$A:$A, BASE_CUENTAS!$A77,GESTIONES!$B:$B, BASE_CUENTAS!$C77,GESTIONES!$E:$E, "S")</f>
        <v>0</v>
      </c>
      <c r="M77">
        <f>COUNTIFS(GESTIONES!$A:$A, BASE_CUENTAS!$A77,GESTIONES!$B:$B, BASE_CUENTAS!$C77,GESTIONES!$E:$E, "N")</f>
        <v>3</v>
      </c>
      <c r="N77">
        <f>COUNTIFS(GESTIONES!$A:$A, BASE_CUENTAS!$A77,GESTIONES!$B:$B, BASE_CUENTAS!$C77,GESTIONES!$D:$D, "SMS")</f>
        <v>2</v>
      </c>
      <c r="O77">
        <f>SUMIFS(PAGOS!$D:$D,PAGOS!$A:$A, BASE_CUENTAS!$A77,PAGOS!$B:$B, BASE_CUENTAS!$C77)</f>
        <v>186118</v>
      </c>
      <c r="P77" t="str">
        <f>IF(
VLOOKUP($C77,BASE_CIERRE_MES!$C:$G,5,FALSE)=0,
"Normalización",
IF(
VLOOKUP($C77,BASE_CIERRE_MES!$C:$G,5,FALSE)&lt;$H77,
"Recuperación",
IF(
VLOOKUP($C77,BASE_CIERRE_MES!$C:$G,5,FALSE)=$H77,
"Contención",
"Rodamiento"
)))</f>
        <v>Contención</v>
      </c>
      <c r="Q77">
        <f t="shared" si="1"/>
        <v>6.8647274181162593E-2</v>
      </c>
    </row>
    <row r="78" spans="1:17" x14ac:dyDescent="0.25">
      <c r="A78">
        <v>8143941</v>
      </c>
      <c r="B78" t="s">
        <v>17</v>
      </c>
      <c r="C78">
        <v>28177048</v>
      </c>
      <c r="D78" t="s">
        <v>7</v>
      </c>
      <c r="E78">
        <v>9371478</v>
      </c>
      <c r="F78" s="2">
        <v>611921</v>
      </c>
      <c r="G78" s="2">
        <v>208</v>
      </c>
      <c r="H78">
        <v>30</v>
      </c>
      <c r="I78" s="1">
        <v>42509</v>
      </c>
      <c r="J78" t="s">
        <v>6</v>
      </c>
      <c r="K78">
        <f>COUNTIFS(GESTIONES!$A:$A, BASE_CUENTAS!$A78, GESTIONES!$B:$B, BASE_CUENTAS!$C78)</f>
        <v>3</v>
      </c>
      <c r="L78">
        <f>COUNTIFS(GESTIONES!$A:$A, BASE_CUENTAS!$A78,GESTIONES!$B:$B, BASE_CUENTAS!$C78,GESTIONES!$E:$E, "S")</f>
        <v>1</v>
      </c>
      <c r="M78">
        <f>COUNTIFS(GESTIONES!$A:$A, BASE_CUENTAS!$A78,GESTIONES!$B:$B, BASE_CUENTAS!$C78,GESTIONES!$E:$E, "N")</f>
        <v>2</v>
      </c>
      <c r="N78">
        <f>COUNTIFS(GESTIONES!$A:$A, BASE_CUENTAS!$A78,GESTIONES!$B:$B, BASE_CUENTAS!$C78,GESTIONES!$D:$D, "SMS")</f>
        <v>1</v>
      </c>
      <c r="O78">
        <f>SUMIFS(PAGOS!$D:$D,PAGOS!$A:$A, BASE_CUENTAS!$A78,PAGOS!$B:$B, BASE_CUENTAS!$C78)</f>
        <v>208</v>
      </c>
      <c r="P78" t="str">
        <f>IF(
VLOOKUP($C78,BASE_CIERRE_MES!$C:$G,5,FALSE)=0,
"Normalización",
IF(
VLOOKUP($C78,BASE_CIERRE_MES!$C:$G,5,FALSE)&lt;$H78,
"Recuperación",
IF(
VLOOKUP($C78,BASE_CIERRE_MES!$C:$G,5,FALSE)=$H78,
"Contención",
"Rodamiento"
)))</f>
        <v>Normalización</v>
      </c>
      <c r="Q78">
        <f t="shared" si="1"/>
        <v>3.3991315872473736E-4</v>
      </c>
    </row>
    <row r="79" spans="1:17" x14ac:dyDescent="0.25">
      <c r="A79">
        <v>8144093</v>
      </c>
      <c r="B79" t="s">
        <v>16</v>
      </c>
      <c r="C79">
        <v>24256962</v>
      </c>
      <c r="D79" t="s">
        <v>7</v>
      </c>
      <c r="E79">
        <v>13727354</v>
      </c>
      <c r="F79" s="2">
        <v>2617487</v>
      </c>
      <c r="G79" s="2">
        <v>783085</v>
      </c>
      <c r="H79">
        <v>90</v>
      </c>
      <c r="I79" s="1">
        <v>42511</v>
      </c>
      <c r="J79" t="s">
        <v>5</v>
      </c>
      <c r="K79">
        <f>COUNTIFS(GESTIONES!$A:$A, BASE_CUENTAS!$A79, GESTIONES!$B:$B, BASE_CUENTAS!$C79)</f>
        <v>3</v>
      </c>
      <c r="L79">
        <f>COUNTIFS(GESTIONES!$A:$A, BASE_CUENTAS!$A79,GESTIONES!$B:$B, BASE_CUENTAS!$C79,GESTIONES!$E:$E, "S")</f>
        <v>1</v>
      </c>
      <c r="M79">
        <f>COUNTIFS(GESTIONES!$A:$A, BASE_CUENTAS!$A79,GESTIONES!$B:$B, BASE_CUENTAS!$C79,GESTIONES!$E:$E, "N")</f>
        <v>2</v>
      </c>
      <c r="N79">
        <f>COUNTIFS(GESTIONES!$A:$A, BASE_CUENTAS!$A79,GESTIONES!$B:$B, BASE_CUENTAS!$C79,GESTIONES!$D:$D, "SMS")</f>
        <v>1</v>
      </c>
      <c r="O79">
        <f>SUMIFS(PAGOS!$D:$D,PAGOS!$A:$A, BASE_CUENTAS!$A79,PAGOS!$B:$B, BASE_CUENTAS!$C79)</f>
        <v>0</v>
      </c>
      <c r="P79" t="str">
        <f>IF(
VLOOKUP($C79,BASE_CIERRE_MES!$C:$G,5,FALSE)=0,
"Normalización",
IF(
VLOOKUP($C79,BASE_CIERRE_MES!$C:$G,5,FALSE)&lt;$H79,
"Recuperación",
IF(
VLOOKUP($C79,BASE_CIERRE_MES!$C:$G,5,FALSE)=$H79,
"Contención",
"Rodamiento"
)))</f>
        <v>Rodamiento</v>
      </c>
      <c r="Q79">
        <f t="shared" si="1"/>
        <v>0</v>
      </c>
    </row>
    <row r="80" spans="1:17" x14ac:dyDescent="0.25">
      <c r="A80">
        <v>8144093</v>
      </c>
      <c r="B80" t="s">
        <v>16</v>
      </c>
      <c r="C80">
        <v>24257547</v>
      </c>
      <c r="D80" t="s">
        <v>7</v>
      </c>
      <c r="E80">
        <v>13727354</v>
      </c>
      <c r="F80" s="2">
        <v>2791503</v>
      </c>
      <c r="G80" s="2">
        <v>584222</v>
      </c>
      <c r="H80">
        <v>90</v>
      </c>
      <c r="I80" s="1">
        <v>42511</v>
      </c>
      <c r="J80" t="s">
        <v>5</v>
      </c>
      <c r="K80">
        <f>COUNTIFS(GESTIONES!$A:$A, BASE_CUENTAS!$A80, GESTIONES!$B:$B, BASE_CUENTAS!$C80)</f>
        <v>3</v>
      </c>
      <c r="L80">
        <f>COUNTIFS(GESTIONES!$A:$A, BASE_CUENTAS!$A80,GESTIONES!$B:$B, BASE_CUENTAS!$C80,GESTIONES!$E:$E, "S")</f>
        <v>1</v>
      </c>
      <c r="M80">
        <f>COUNTIFS(GESTIONES!$A:$A, BASE_CUENTAS!$A80,GESTIONES!$B:$B, BASE_CUENTAS!$C80,GESTIONES!$E:$E, "N")</f>
        <v>2</v>
      </c>
      <c r="N80">
        <f>COUNTIFS(GESTIONES!$A:$A, BASE_CUENTAS!$A80,GESTIONES!$B:$B, BASE_CUENTAS!$C80,GESTIONES!$D:$D, "SMS")</f>
        <v>0</v>
      </c>
      <c r="O80">
        <f>SUMIFS(PAGOS!$D:$D,PAGOS!$A:$A, BASE_CUENTAS!$A80,PAGOS!$B:$B, BASE_CUENTAS!$C80)</f>
        <v>0</v>
      </c>
      <c r="P80" t="str">
        <f>IF(
VLOOKUP($C80,BASE_CIERRE_MES!$C:$G,5,FALSE)=0,
"Normalización",
IF(
VLOOKUP($C80,BASE_CIERRE_MES!$C:$G,5,FALSE)&lt;$H80,
"Recuperación",
IF(
VLOOKUP($C80,BASE_CIERRE_MES!$C:$G,5,FALSE)=$H80,
"Contención",
"Rodamiento"
)))</f>
        <v>Rodamiento</v>
      </c>
      <c r="Q80">
        <f t="shared" si="1"/>
        <v>0</v>
      </c>
    </row>
    <row r="81" spans="1:17" x14ac:dyDescent="0.25">
      <c r="A81">
        <v>8144093</v>
      </c>
      <c r="B81" t="s">
        <v>16</v>
      </c>
      <c r="C81">
        <v>25328215</v>
      </c>
      <c r="D81" t="s">
        <v>9</v>
      </c>
      <c r="E81">
        <v>13727354</v>
      </c>
      <c r="F81" s="2">
        <v>8318363</v>
      </c>
      <c r="G81" s="2">
        <v>1248521</v>
      </c>
      <c r="H81">
        <v>108</v>
      </c>
      <c r="I81" s="1">
        <v>42511</v>
      </c>
      <c r="J81" t="s">
        <v>5</v>
      </c>
      <c r="K81">
        <f>COUNTIFS(GESTIONES!$A:$A, BASE_CUENTAS!$A81, GESTIONES!$B:$B, BASE_CUENTAS!$C81)</f>
        <v>3</v>
      </c>
      <c r="L81">
        <f>COUNTIFS(GESTIONES!$A:$A, BASE_CUENTAS!$A81,GESTIONES!$B:$B, BASE_CUENTAS!$C81,GESTIONES!$E:$E, "S")</f>
        <v>2</v>
      </c>
      <c r="M81">
        <f>COUNTIFS(GESTIONES!$A:$A, BASE_CUENTAS!$A81,GESTIONES!$B:$B, BASE_CUENTAS!$C81,GESTIONES!$E:$E, "N")</f>
        <v>1</v>
      </c>
      <c r="N81">
        <f>COUNTIFS(GESTIONES!$A:$A, BASE_CUENTAS!$A81,GESTIONES!$B:$B, BASE_CUENTAS!$C81,GESTIONES!$D:$D, "SMS")</f>
        <v>0</v>
      </c>
      <c r="O81">
        <f>SUMIFS(PAGOS!$D:$D,PAGOS!$A:$A, BASE_CUENTAS!$A81,PAGOS!$B:$B, BASE_CUENTAS!$C81)</f>
        <v>1248521</v>
      </c>
      <c r="P81" t="str">
        <f>IF(
VLOOKUP($C81,BASE_CIERRE_MES!$C:$G,5,FALSE)=0,
"Normalización",
IF(
VLOOKUP($C81,BASE_CIERRE_MES!$C:$G,5,FALSE)&lt;$H81,
"Recuperación",
IF(
VLOOKUP($C81,BASE_CIERRE_MES!$C:$G,5,FALSE)=$H81,
"Contención",
"Rodamiento"
)))</f>
        <v>Normalización</v>
      </c>
      <c r="Q81">
        <f t="shared" si="1"/>
        <v>0.150092151544721</v>
      </c>
    </row>
    <row r="82" spans="1:17" x14ac:dyDescent="0.25">
      <c r="A82">
        <v>8144982</v>
      </c>
      <c r="B82" t="s">
        <v>17</v>
      </c>
      <c r="C82">
        <v>26085369</v>
      </c>
      <c r="D82" t="s">
        <v>7</v>
      </c>
      <c r="E82">
        <v>10012836</v>
      </c>
      <c r="F82" s="2">
        <v>4137778</v>
      </c>
      <c r="G82" s="2">
        <v>150503</v>
      </c>
      <c r="H82">
        <v>30</v>
      </c>
      <c r="I82" s="1">
        <v>42521</v>
      </c>
      <c r="J82" t="s">
        <v>4</v>
      </c>
      <c r="K82">
        <f>COUNTIFS(GESTIONES!$A:$A, BASE_CUENTAS!$A82, GESTIONES!$B:$B, BASE_CUENTAS!$C82)</f>
        <v>3</v>
      </c>
      <c r="L82">
        <f>COUNTIFS(GESTIONES!$A:$A, BASE_CUENTAS!$A82,GESTIONES!$B:$B, BASE_CUENTAS!$C82,GESTIONES!$E:$E, "S")</f>
        <v>1</v>
      </c>
      <c r="M82">
        <f>COUNTIFS(GESTIONES!$A:$A, BASE_CUENTAS!$A82,GESTIONES!$B:$B, BASE_CUENTAS!$C82,GESTIONES!$E:$E, "N")</f>
        <v>2</v>
      </c>
      <c r="N82">
        <f>COUNTIFS(GESTIONES!$A:$A, BASE_CUENTAS!$A82,GESTIONES!$B:$B, BASE_CUENTAS!$C82,GESTIONES!$D:$D, "SMS")</f>
        <v>1</v>
      </c>
      <c r="O82">
        <f>SUMIFS(PAGOS!$D:$D,PAGOS!$A:$A, BASE_CUENTAS!$A82,PAGOS!$B:$B, BASE_CUENTAS!$C82)</f>
        <v>0</v>
      </c>
      <c r="P82" t="str">
        <f>IF(
VLOOKUP($C82,BASE_CIERRE_MES!$C:$G,5,FALSE)=0,
"Normalización",
IF(
VLOOKUP($C82,BASE_CIERRE_MES!$C:$G,5,FALSE)&lt;$H82,
"Recuperación",
IF(
VLOOKUP($C82,BASE_CIERRE_MES!$C:$G,5,FALSE)=$H82,
"Contención",
"Rodamiento"
)))</f>
        <v>Rodamiento</v>
      </c>
      <c r="Q82">
        <f t="shared" si="1"/>
        <v>0</v>
      </c>
    </row>
    <row r="83" spans="1:17" x14ac:dyDescent="0.25">
      <c r="A83">
        <v>8145532</v>
      </c>
      <c r="B83" t="s">
        <v>17</v>
      </c>
      <c r="C83">
        <v>27443036</v>
      </c>
      <c r="D83" t="s">
        <v>7</v>
      </c>
      <c r="E83">
        <v>2978859</v>
      </c>
      <c r="F83" s="2">
        <v>1352333</v>
      </c>
      <c r="G83" s="2">
        <v>92233</v>
      </c>
      <c r="H83">
        <v>30</v>
      </c>
      <c r="I83" s="1">
        <v>42508</v>
      </c>
      <c r="J83" t="s">
        <v>6</v>
      </c>
      <c r="K83">
        <f>COUNTIFS(GESTIONES!$A:$A, BASE_CUENTAS!$A83, GESTIONES!$B:$B, BASE_CUENTAS!$C83)</f>
        <v>3</v>
      </c>
      <c r="L83">
        <f>COUNTIFS(GESTIONES!$A:$A, BASE_CUENTAS!$A83,GESTIONES!$B:$B, BASE_CUENTAS!$C83,GESTIONES!$E:$E, "S")</f>
        <v>0</v>
      </c>
      <c r="M83">
        <f>COUNTIFS(GESTIONES!$A:$A, BASE_CUENTAS!$A83,GESTIONES!$B:$B, BASE_CUENTAS!$C83,GESTIONES!$E:$E, "N")</f>
        <v>3</v>
      </c>
      <c r="N83">
        <f>COUNTIFS(GESTIONES!$A:$A, BASE_CUENTAS!$A83,GESTIONES!$B:$B, BASE_CUENTAS!$C83,GESTIONES!$D:$D, "SMS")</f>
        <v>1</v>
      </c>
      <c r="O83">
        <f>SUMIFS(PAGOS!$D:$D,PAGOS!$A:$A, BASE_CUENTAS!$A83,PAGOS!$B:$B, BASE_CUENTAS!$C83)</f>
        <v>92233</v>
      </c>
      <c r="P83" t="str">
        <f>IF(
VLOOKUP($C83,BASE_CIERRE_MES!$C:$G,5,FALSE)=0,
"Normalización",
IF(
VLOOKUP($C83,BASE_CIERRE_MES!$C:$G,5,FALSE)&lt;$H83,
"Recuperación",
IF(
VLOOKUP($C83,BASE_CIERRE_MES!$C:$G,5,FALSE)=$H83,
"Contención",
"Rodamiento"
)))</f>
        <v>Normalización</v>
      </c>
      <c r="Q83">
        <f t="shared" si="1"/>
        <v>6.8202876066767573E-2</v>
      </c>
    </row>
    <row r="84" spans="1:17" x14ac:dyDescent="0.25">
      <c r="A84">
        <v>8145532</v>
      </c>
      <c r="B84" t="s">
        <v>17</v>
      </c>
      <c r="C84">
        <v>27445813</v>
      </c>
      <c r="D84" t="s">
        <v>7</v>
      </c>
      <c r="E84">
        <v>2978859</v>
      </c>
      <c r="F84" s="2">
        <v>1626526</v>
      </c>
      <c r="G84" s="2">
        <v>26195</v>
      </c>
      <c r="H84">
        <v>30</v>
      </c>
      <c r="I84" s="1">
        <v>42509</v>
      </c>
      <c r="J84" t="s">
        <v>6</v>
      </c>
      <c r="K84">
        <f>COUNTIFS(GESTIONES!$A:$A, BASE_CUENTAS!$A84, GESTIONES!$B:$B, BASE_CUENTAS!$C84)</f>
        <v>3</v>
      </c>
      <c r="L84">
        <f>COUNTIFS(GESTIONES!$A:$A, BASE_CUENTAS!$A84,GESTIONES!$B:$B, BASE_CUENTAS!$C84,GESTIONES!$E:$E, "S")</f>
        <v>1</v>
      </c>
      <c r="M84">
        <f>COUNTIFS(GESTIONES!$A:$A, BASE_CUENTAS!$A84,GESTIONES!$B:$B, BASE_CUENTAS!$C84,GESTIONES!$E:$E, "N")</f>
        <v>2</v>
      </c>
      <c r="N84">
        <f>COUNTIFS(GESTIONES!$A:$A, BASE_CUENTAS!$A84,GESTIONES!$B:$B, BASE_CUENTAS!$C84,GESTIONES!$D:$D, "SMS")</f>
        <v>2</v>
      </c>
      <c r="O84">
        <f>SUMIFS(PAGOS!$D:$D,PAGOS!$A:$A, BASE_CUENTAS!$A84,PAGOS!$B:$B, BASE_CUENTAS!$C84)</f>
        <v>1626526</v>
      </c>
      <c r="P84" t="str">
        <f>IF(
VLOOKUP($C84,BASE_CIERRE_MES!$C:$G,5,FALSE)=0,
"Normalización",
IF(
VLOOKUP($C84,BASE_CIERRE_MES!$C:$G,5,FALSE)&lt;$H84,
"Recuperación",
IF(
VLOOKUP($C84,BASE_CIERRE_MES!$C:$G,5,FALSE)=$H84,
"Contención",
"Rodamiento"
)))</f>
        <v>Normalización</v>
      </c>
      <c r="Q84">
        <f t="shared" si="1"/>
        <v>1</v>
      </c>
    </row>
    <row r="85" spans="1:17" x14ac:dyDescent="0.25">
      <c r="A85">
        <v>8145600</v>
      </c>
      <c r="B85" t="s">
        <v>18</v>
      </c>
      <c r="C85">
        <v>21147053</v>
      </c>
      <c r="D85" t="s">
        <v>7</v>
      </c>
      <c r="E85">
        <v>971495</v>
      </c>
      <c r="F85" s="2">
        <v>971495</v>
      </c>
      <c r="G85" s="2">
        <v>788769</v>
      </c>
      <c r="H85">
        <v>30</v>
      </c>
      <c r="I85" s="1">
        <v>42508</v>
      </c>
      <c r="J85" t="s">
        <v>6</v>
      </c>
      <c r="K85">
        <f>COUNTIFS(GESTIONES!$A:$A, BASE_CUENTAS!$A85, GESTIONES!$B:$B, BASE_CUENTAS!$C85)</f>
        <v>3</v>
      </c>
      <c r="L85">
        <f>COUNTIFS(GESTIONES!$A:$A, BASE_CUENTAS!$A85,GESTIONES!$B:$B, BASE_CUENTAS!$C85,GESTIONES!$E:$E, "S")</f>
        <v>1</v>
      </c>
      <c r="M85">
        <f>COUNTIFS(GESTIONES!$A:$A, BASE_CUENTAS!$A85,GESTIONES!$B:$B, BASE_CUENTAS!$C85,GESTIONES!$E:$E, "N")</f>
        <v>2</v>
      </c>
      <c r="N85">
        <f>COUNTIFS(GESTIONES!$A:$A, BASE_CUENTAS!$A85,GESTIONES!$B:$B, BASE_CUENTAS!$C85,GESTIONES!$D:$D, "SMS")</f>
        <v>0</v>
      </c>
      <c r="O85">
        <f>SUMIFS(PAGOS!$D:$D,PAGOS!$A:$A, BASE_CUENTAS!$A85,PAGOS!$B:$B, BASE_CUENTAS!$C85)</f>
        <v>0</v>
      </c>
      <c r="P85" t="str">
        <f>IF(
VLOOKUP($C85,BASE_CIERRE_MES!$C:$G,5,FALSE)=0,
"Normalización",
IF(
VLOOKUP($C85,BASE_CIERRE_MES!$C:$G,5,FALSE)&lt;$H85,
"Recuperación",
IF(
VLOOKUP($C85,BASE_CIERRE_MES!$C:$G,5,FALSE)=$H85,
"Contención",
"Rodamiento"
)))</f>
        <v>Rodamiento</v>
      </c>
      <c r="Q85">
        <f t="shared" si="1"/>
        <v>0</v>
      </c>
    </row>
    <row r="86" spans="1:17" x14ac:dyDescent="0.25">
      <c r="A86">
        <v>8145696</v>
      </c>
      <c r="B86" t="s">
        <v>17</v>
      </c>
      <c r="C86">
        <v>1487545</v>
      </c>
      <c r="D86" t="s">
        <v>7</v>
      </c>
      <c r="E86">
        <v>5904001</v>
      </c>
      <c r="F86" s="2">
        <v>3328094</v>
      </c>
      <c r="G86" s="2">
        <v>108367</v>
      </c>
      <c r="H86">
        <v>30</v>
      </c>
      <c r="I86" s="1">
        <v>42521</v>
      </c>
      <c r="J86" t="s">
        <v>4</v>
      </c>
      <c r="K86">
        <f>COUNTIFS(GESTIONES!$A:$A, BASE_CUENTAS!$A86, GESTIONES!$B:$B, BASE_CUENTAS!$C86)</f>
        <v>3</v>
      </c>
      <c r="L86">
        <f>COUNTIFS(GESTIONES!$A:$A, BASE_CUENTAS!$A86,GESTIONES!$B:$B, BASE_CUENTAS!$C86,GESTIONES!$E:$E, "S")</f>
        <v>1</v>
      </c>
      <c r="M86">
        <f>COUNTIFS(GESTIONES!$A:$A, BASE_CUENTAS!$A86,GESTIONES!$B:$B, BASE_CUENTAS!$C86,GESTIONES!$E:$E, "N")</f>
        <v>2</v>
      </c>
      <c r="N86">
        <f>COUNTIFS(GESTIONES!$A:$A, BASE_CUENTAS!$A86,GESTIONES!$B:$B, BASE_CUENTAS!$C86,GESTIONES!$D:$D, "SMS")</f>
        <v>0</v>
      </c>
      <c r="O86">
        <f>SUMIFS(PAGOS!$D:$D,PAGOS!$A:$A, BASE_CUENTAS!$A86,PAGOS!$B:$B, BASE_CUENTAS!$C86)</f>
        <v>0</v>
      </c>
      <c r="P86" t="str">
        <f>IF(
VLOOKUP($C86,BASE_CIERRE_MES!$C:$G,5,FALSE)=0,
"Normalización",
IF(
VLOOKUP($C86,BASE_CIERRE_MES!$C:$G,5,FALSE)&lt;$H86,
"Recuperación",
IF(
VLOOKUP($C86,BASE_CIERRE_MES!$C:$G,5,FALSE)=$H86,
"Contención",
"Rodamiento"
)))</f>
        <v>Rodamiento</v>
      </c>
      <c r="Q86">
        <f t="shared" si="1"/>
        <v>0</v>
      </c>
    </row>
    <row r="87" spans="1:17" x14ac:dyDescent="0.25">
      <c r="A87">
        <v>8146040</v>
      </c>
      <c r="B87" t="s">
        <v>18</v>
      </c>
      <c r="C87">
        <v>27997103</v>
      </c>
      <c r="D87" t="s">
        <v>7</v>
      </c>
      <c r="E87">
        <v>1695036</v>
      </c>
      <c r="F87" s="2">
        <v>1695036</v>
      </c>
      <c r="G87" s="2">
        <v>91245</v>
      </c>
      <c r="H87">
        <v>30</v>
      </c>
      <c r="I87" s="1">
        <v>42522</v>
      </c>
      <c r="J87" t="s">
        <v>6</v>
      </c>
      <c r="K87">
        <f>COUNTIFS(GESTIONES!$A:$A, BASE_CUENTAS!$A87, GESTIONES!$B:$B, BASE_CUENTAS!$C87)</f>
        <v>3</v>
      </c>
      <c r="L87">
        <f>COUNTIFS(GESTIONES!$A:$A, BASE_CUENTAS!$A87,GESTIONES!$B:$B, BASE_CUENTAS!$C87,GESTIONES!$E:$E, "S")</f>
        <v>1</v>
      </c>
      <c r="M87">
        <f>COUNTIFS(GESTIONES!$A:$A, BASE_CUENTAS!$A87,GESTIONES!$B:$B, BASE_CUENTAS!$C87,GESTIONES!$E:$E, "N")</f>
        <v>2</v>
      </c>
      <c r="N87">
        <f>COUNTIFS(GESTIONES!$A:$A, BASE_CUENTAS!$A87,GESTIONES!$B:$B, BASE_CUENTAS!$C87,GESTIONES!$D:$D, "SMS")</f>
        <v>1</v>
      </c>
      <c r="O87">
        <f>SUMIFS(PAGOS!$D:$D,PAGOS!$A:$A, BASE_CUENTAS!$A87,PAGOS!$B:$B, BASE_CUENTAS!$C87)</f>
        <v>0</v>
      </c>
      <c r="P87" t="str">
        <f>IF(
VLOOKUP($C87,BASE_CIERRE_MES!$C:$G,5,FALSE)=0,
"Normalización",
IF(
VLOOKUP($C87,BASE_CIERRE_MES!$C:$G,5,FALSE)&lt;$H87,
"Recuperación",
IF(
VLOOKUP($C87,BASE_CIERRE_MES!$C:$G,5,FALSE)=$H87,
"Contención",
"Rodamiento"
)))</f>
        <v>Rodamiento</v>
      </c>
      <c r="Q87">
        <f t="shared" si="1"/>
        <v>0</v>
      </c>
    </row>
    <row r="88" spans="1:17" x14ac:dyDescent="0.25">
      <c r="A88">
        <v>8146127</v>
      </c>
      <c r="B88" t="s">
        <v>17</v>
      </c>
      <c r="C88">
        <v>20815640</v>
      </c>
      <c r="D88" t="s">
        <v>7</v>
      </c>
      <c r="E88">
        <v>12776920</v>
      </c>
      <c r="F88" s="2">
        <v>3251858</v>
      </c>
      <c r="G88" s="2">
        <v>296607</v>
      </c>
      <c r="H88">
        <v>30</v>
      </c>
      <c r="I88" s="1">
        <v>42508</v>
      </c>
      <c r="J88" t="s">
        <v>6</v>
      </c>
      <c r="K88">
        <f>COUNTIFS(GESTIONES!$A:$A, BASE_CUENTAS!$A88, GESTIONES!$B:$B, BASE_CUENTAS!$C88)</f>
        <v>3</v>
      </c>
      <c r="L88">
        <f>COUNTIFS(GESTIONES!$A:$A, BASE_CUENTAS!$A88,GESTIONES!$B:$B, BASE_CUENTAS!$C88,GESTIONES!$E:$E, "S")</f>
        <v>0</v>
      </c>
      <c r="M88">
        <f>COUNTIFS(GESTIONES!$A:$A, BASE_CUENTAS!$A88,GESTIONES!$B:$B, BASE_CUENTAS!$C88,GESTIONES!$E:$E, "N")</f>
        <v>3</v>
      </c>
      <c r="N88">
        <f>COUNTIFS(GESTIONES!$A:$A, BASE_CUENTAS!$A88,GESTIONES!$B:$B, BASE_CUENTAS!$C88,GESTIONES!$D:$D, "SMS")</f>
        <v>1</v>
      </c>
      <c r="O88">
        <f>SUMIFS(PAGOS!$D:$D,PAGOS!$A:$A, BASE_CUENTAS!$A88,PAGOS!$B:$B, BASE_CUENTAS!$C88)</f>
        <v>0</v>
      </c>
      <c r="P88" t="str">
        <f>IF(
VLOOKUP($C88,BASE_CIERRE_MES!$C:$G,5,FALSE)=0,
"Normalización",
IF(
VLOOKUP($C88,BASE_CIERRE_MES!$C:$G,5,FALSE)&lt;$H88,
"Recuperación",
IF(
VLOOKUP($C88,BASE_CIERRE_MES!$C:$G,5,FALSE)=$H88,
"Contención",
"Rodamiento"
)))</f>
        <v>Rodamiento</v>
      </c>
      <c r="Q88">
        <f t="shared" si="1"/>
        <v>0</v>
      </c>
    </row>
    <row r="89" spans="1:17" x14ac:dyDescent="0.25">
      <c r="A89">
        <v>8146254</v>
      </c>
      <c r="B89" t="s">
        <v>18</v>
      </c>
      <c r="C89">
        <v>25426056</v>
      </c>
      <c r="D89" t="s">
        <v>7</v>
      </c>
      <c r="E89">
        <v>448560</v>
      </c>
      <c r="F89" s="2">
        <v>448560</v>
      </c>
      <c r="G89" s="2">
        <v>62487</v>
      </c>
      <c r="H89">
        <v>30</v>
      </c>
      <c r="I89" s="1">
        <v>42509</v>
      </c>
      <c r="J89" t="s">
        <v>6</v>
      </c>
      <c r="K89">
        <f>COUNTIFS(GESTIONES!$A:$A, BASE_CUENTAS!$A89, GESTIONES!$B:$B, BASE_CUENTAS!$C89)</f>
        <v>3</v>
      </c>
      <c r="L89">
        <f>COUNTIFS(GESTIONES!$A:$A, BASE_CUENTAS!$A89,GESTIONES!$B:$B, BASE_CUENTAS!$C89,GESTIONES!$E:$E, "S")</f>
        <v>1</v>
      </c>
      <c r="M89">
        <f>COUNTIFS(GESTIONES!$A:$A, BASE_CUENTAS!$A89,GESTIONES!$B:$B, BASE_CUENTAS!$C89,GESTIONES!$E:$E, "N")</f>
        <v>2</v>
      </c>
      <c r="N89">
        <f>COUNTIFS(GESTIONES!$A:$A, BASE_CUENTAS!$A89,GESTIONES!$B:$B, BASE_CUENTAS!$C89,GESTIONES!$D:$D, "SMS")</f>
        <v>2</v>
      </c>
      <c r="O89">
        <f>SUMIFS(PAGOS!$D:$D,PAGOS!$A:$A, BASE_CUENTAS!$A89,PAGOS!$B:$B, BASE_CUENTAS!$C89)</f>
        <v>20829</v>
      </c>
      <c r="P89" t="str">
        <f>IF(
VLOOKUP($C89,BASE_CIERRE_MES!$C:$G,5,FALSE)=0,
"Normalización",
IF(
VLOOKUP($C89,BASE_CIERRE_MES!$C:$G,5,FALSE)&lt;$H89,
"Recuperación",
IF(
VLOOKUP($C89,BASE_CIERRE_MES!$C:$G,5,FALSE)=$H89,
"Contención",
"Rodamiento"
)))</f>
        <v>Contención</v>
      </c>
      <c r="Q89">
        <f t="shared" si="1"/>
        <v>4.6435259497057249E-2</v>
      </c>
    </row>
    <row r="90" spans="1:17" x14ac:dyDescent="0.25">
      <c r="A90">
        <v>8146294</v>
      </c>
      <c r="B90" t="s">
        <v>18</v>
      </c>
      <c r="C90">
        <v>26813743</v>
      </c>
      <c r="D90" t="s">
        <v>7</v>
      </c>
      <c r="E90">
        <v>1141094</v>
      </c>
      <c r="F90" s="2">
        <v>1141094</v>
      </c>
      <c r="G90" s="2">
        <v>1141094</v>
      </c>
      <c r="H90">
        <v>120</v>
      </c>
      <c r="I90" s="1">
        <v>42509</v>
      </c>
      <c r="J90" t="s">
        <v>5</v>
      </c>
      <c r="K90">
        <f>COUNTIFS(GESTIONES!$A:$A, BASE_CUENTAS!$A90, GESTIONES!$B:$B, BASE_CUENTAS!$C90)</f>
        <v>3</v>
      </c>
      <c r="L90">
        <f>COUNTIFS(GESTIONES!$A:$A, BASE_CUENTAS!$A90,GESTIONES!$B:$B, BASE_CUENTAS!$C90,GESTIONES!$E:$E, "S")</f>
        <v>1</v>
      </c>
      <c r="M90">
        <f>COUNTIFS(GESTIONES!$A:$A, BASE_CUENTAS!$A90,GESTIONES!$B:$B, BASE_CUENTAS!$C90,GESTIONES!$E:$E, "N")</f>
        <v>2</v>
      </c>
      <c r="N90">
        <f>COUNTIFS(GESTIONES!$A:$A, BASE_CUENTAS!$A90,GESTIONES!$B:$B, BASE_CUENTAS!$C90,GESTIONES!$D:$D, "SMS")</f>
        <v>0</v>
      </c>
      <c r="O90">
        <f>SUMIFS(PAGOS!$D:$D,PAGOS!$A:$A, BASE_CUENTAS!$A90,PAGOS!$B:$B, BASE_CUENTAS!$C90)</f>
        <v>0</v>
      </c>
      <c r="P90" t="str">
        <f>IF(
VLOOKUP($C90,BASE_CIERRE_MES!$C:$G,5,FALSE)=0,
"Normalización",
IF(
VLOOKUP($C90,BASE_CIERRE_MES!$C:$G,5,FALSE)&lt;$H90,
"Recuperación",
IF(
VLOOKUP($C90,BASE_CIERRE_MES!$C:$G,5,FALSE)=$H90,
"Contención",
"Rodamiento"
)))</f>
        <v>Rodamiento</v>
      </c>
      <c r="Q90">
        <f t="shared" si="1"/>
        <v>0</v>
      </c>
    </row>
    <row r="91" spans="1:17" x14ac:dyDescent="0.25">
      <c r="A91">
        <v>8146356</v>
      </c>
      <c r="B91" t="s">
        <v>16</v>
      </c>
      <c r="C91">
        <v>15560223</v>
      </c>
      <c r="D91" t="s">
        <v>7</v>
      </c>
      <c r="E91">
        <v>10256139</v>
      </c>
      <c r="F91" s="2">
        <v>3729360</v>
      </c>
      <c r="G91" s="2">
        <v>344074</v>
      </c>
      <c r="H91">
        <v>30</v>
      </c>
      <c r="I91" s="1">
        <v>42521</v>
      </c>
      <c r="J91" t="s">
        <v>4</v>
      </c>
      <c r="K91">
        <f>COUNTIFS(GESTIONES!$A:$A, BASE_CUENTAS!$A91, GESTIONES!$B:$B, BASE_CUENTAS!$C91)</f>
        <v>3</v>
      </c>
      <c r="L91">
        <f>COUNTIFS(GESTIONES!$A:$A, BASE_CUENTAS!$A91,GESTIONES!$B:$B, BASE_CUENTAS!$C91,GESTIONES!$E:$E, "S")</f>
        <v>1</v>
      </c>
      <c r="M91">
        <f>COUNTIFS(GESTIONES!$A:$A, BASE_CUENTAS!$A91,GESTIONES!$B:$B, BASE_CUENTAS!$C91,GESTIONES!$E:$E, "N")</f>
        <v>2</v>
      </c>
      <c r="N91">
        <f>COUNTIFS(GESTIONES!$A:$A, BASE_CUENTAS!$A91,GESTIONES!$B:$B, BASE_CUENTAS!$C91,GESTIONES!$D:$D, "SMS")</f>
        <v>0</v>
      </c>
      <c r="O91">
        <f>SUMIFS(PAGOS!$D:$D,PAGOS!$A:$A, BASE_CUENTAS!$A91,PAGOS!$B:$B, BASE_CUENTAS!$C91)</f>
        <v>344074</v>
      </c>
      <c r="P91" t="str">
        <f>IF(
VLOOKUP($C91,BASE_CIERRE_MES!$C:$G,5,FALSE)=0,
"Normalización",
IF(
VLOOKUP($C91,BASE_CIERRE_MES!$C:$G,5,FALSE)&lt;$H91,
"Recuperación",
IF(
VLOOKUP($C91,BASE_CIERRE_MES!$C:$G,5,FALSE)=$H91,
"Contención",
"Rodamiento"
)))</f>
        <v>Normalización</v>
      </c>
      <c r="Q91">
        <f t="shared" si="1"/>
        <v>9.2260870497887032E-2</v>
      </c>
    </row>
    <row r="92" spans="1:17" x14ac:dyDescent="0.25">
      <c r="A92">
        <v>8146356</v>
      </c>
      <c r="B92" t="s">
        <v>16</v>
      </c>
      <c r="C92">
        <v>15560641</v>
      </c>
      <c r="D92" t="s">
        <v>7</v>
      </c>
      <c r="E92">
        <v>10256139</v>
      </c>
      <c r="F92" s="2">
        <v>2786841</v>
      </c>
      <c r="G92" s="2">
        <v>210978</v>
      </c>
      <c r="H92">
        <v>30</v>
      </c>
      <c r="I92" s="1">
        <v>42521</v>
      </c>
      <c r="J92" t="s">
        <v>4</v>
      </c>
      <c r="K92">
        <f>COUNTIFS(GESTIONES!$A:$A, BASE_CUENTAS!$A92, GESTIONES!$B:$B, BASE_CUENTAS!$C92)</f>
        <v>3</v>
      </c>
      <c r="L92">
        <f>COUNTIFS(GESTIONES!$A:$A, BASE_CUENTAS!$A92,GESTIONES!$B:$B, BASE_CUENTAS!$C92,GESTIONES!$E:$E, "S")</f>
        <v>1</v>
      </c>
      <c r="M92">
        <f>COUNTIFS(GESTIONES!$A:$A, BASE_CUENTAS!$A92,GESTIONES!$B:$B, BASE_CUENTAS!$C92,GESTIONES!$E:$E, "N")</f>
        <v>2</v>
      </c>
      <c r="N92">
        <f>COUNTIFS(GESTIONES!$A:$A, BASE_CUENTAS!$A92,GESTIONES!$B:$B, BASE_CUENTAS!$C92,GESTIONES!$D:$D, "SMS")</f>
        <v>1</v>
      </c>
      <c r="O92">
        <f>SUMIFS(PAGOS!$D:$D,PAGOS!$A:$A, BASE_CUENTAS!$A92,PAGOS!$B:$B, BASE_CUENTAS!$C92)</f>
        <v>2786841</v>
      </c>
      <c r="P92" t="str">
        <f>IF(
VLOOKUP($C92,BASE_CIERRE_MES!$C:$G,5,FALSE)=0,
"Normalización",
IF(
VLOOKUP($C92,BASE_CIERRE_MES!$C:$G,5,FALSE)&lt;$H92,
"Recuperación",
IF(
VLOOKUP($C92,BASE_CIERRE_MES!$C:$G,5,FALSE)=$H92,
"Contención",
"Rodamiento"
)))</f>
        <v>Normalización</v>
      </c>
      <c r="Q92">
        <f t="shared" si="1"/>
        <v>1</v>
      </c>
    </row>
    <row r="93" spans="1:17" x14ac:dyDescent="0.25">
      <c r="A93">
        <v>8146356</v>
      </c>
      <c r="B93" t="s">
        <v>16</v>
      </c>
      <c r="C93">
        <v>15561187</v>
      </c>
      <c r="D93" t="s">
        <v>7</v>
      </c>
      <c r="E93">
        <v>10256139</v>
      </c>
      <c r="F93" s="2">
        <v>3739938</v>
      </c>
      <c r="G93" s="2">
        <v>313501</v>
      </c>
      <c r="H93">
        <v>30</v>
      </c>
      <c r="I93" s="1">
        <v>42521</v>
      </c>
      <c r="J93" t="s">
        <v>4</v>
      </c>
      <c r="K93">
        <f>COUNTIFS(GESTIONES!$A:$A, BASE_CUENTAS!$A93, GESTIONES!$B:$B, BASE_CUENTAS!$C93)</f>
        <v>3</v>
      </c>
      <c r="L93">
        <f>COUNTIFS(GESTIONES!$A:$A, BASE_CUENTAS!$A93,GESTIONES!$B:$B, BASE_CUENTAS!$C93,GESTIONES!$E:$E, "S")</f>
        <v>0</v>
      </c>
      <c r="M93">
        <f>COUNTIFS(GESTIONES!$A:$A, BASE_CUENTAS!$A93,GESTIONES!$B:$B, BASE_CUENTAS!$C93,GESTIONES!$E:$E, "N")</f>
        <v>3</v>
      </c>
      <c r="N93">
        <f>COUNTIFS(GESTIONES!$A:$A, BASE_CUENTAS!$A93,GESTIONES!$B:$B, BASE_CUENTAS!$C93,GESTIONES!$D:$D, "SMS")</f>
        <v>1</v>
      </c>
      <c r="O93">
        <f>SUMIFS(PAGOS!$D:$D,PAGOS!$A:$A, BASE_CUENTAS!$A93,PAGOS!$B:$B, BASE_CUENTAS!$C93)</f>
        <v>156751</v>
      </c>
      <c r="P93" t="str">
        <f>IF(
VLOOKUP($C93,BASE_CIERRE_MES!$C:$G,5,FALSE)=0,
"Normalización",
IF(
VLOOKUP($C93,BASE_CIERRE_MES!$C:$G,5,FALSE)&lt;$H93,
"Recuperación",
IF(
VLOOKUP($C93,BASE_CIERRE_MES!$C:$G,5,FALSE)=$H93,
"Contención",
"Rodamiento"
)))</f>
        <v>Recuperación</v>
      </c>
      <c r="Q93">
        <f t="shared" si="1"/>
        <v>4.1912726895472596E-2</v>
      </c>
    </row>
    <row r="94" spans="1:17" x14ac:dyDescent="0.25">
      <c r="A94">
        <v>8146680</v>
      </c>
      <c r="B94" t="s">
        <v>18</v>
      </c>
      <c r="C94">
        <v>10589807</v>
      </c>
      <c r="D94" t="s">
        <v>7</v>
      </c>
      <c r="E94">
        <v>663866</v>
      </c>
      <c r="F94" s="2">
        <v>663866</v>
      </c>
      <c r="G94" s="2">
        <v>7806</v>
      </c>
      <c r="H94">
        <v>30</v>
      </c>
      <c r="I94" s="1">
        <v>42521</v>
      </c>
      <c r="J94" t="s">
        <v>4</v>
      </c>
      <c r="K94">
        <f>COUNTIFS(GESTIONES!$A:$A, BASE_CUENTAS!$A94, GESTIONES!$B:$B, BASE_CUENTAS!$C94)</f>
        <v>3</v>
      </c>
      <c r="L94">
        <f>COUNTIFS(GESTIONES!$A:$A, BASE_CUENTAS!$A94,GESTIONES!$B:$B, BASE_CUENTAS!$C94,GESTIONES!$E:$E, "S")</f>
        <v>1</v>
      </c>
      <c r="M94">
        <f>COUNTIFS(GESTIONES!$A:$A, BASE_CUENTAS!$A94,GESTIONES!$B:$B, BASE_CUENTAS!$C94,GESTIONES!$E:$E, "N")</f>
        <v>2</v>
      </c>
      <c r="N94">
        <f>COUNTIFS(GESTIONES!$A:$A, BASE_CUENTAS!$A94,GESTIONES!$B:$B, BASE_CUENTAS!$C94,GESTIONES!$D:$D, "SMS")</f>
        <v>2</v>
      </c>
      <c r="O94">
        <f>SUMIFS(PAGOS!$D:$D,PAGOS!$A:$A, BASE_CUENTAS!$A94,PAGOS!$B:$B, BASE_CUENTAS!$C94)</f>
        <v>0</v>
      </c>
      <c r="P94" t="str">
        <f>IF(
VLOOKUP($C94,BASE_CIERRE_MES!$C:$G,5,FALSE)=0,
"Normalización",
IF(
VLOOKUP($C94,BASE_CIERRE_MES!$C:$G,5,FALSE)&lt;$H94,
"Recuperación",
IF(
VLOOKUP($C94,BASE_CIERRE_MES!$C:$G,5,FALSE)=$H94,
"Contención",
"Rodamiento"
)))</f>
        <v>Rodamiento</v>
      </c>
      <c r="Q94">
        <f t="shared" si="1"/>
        <v>0</v>
      </c>
    </row>
    <row r="95" spans="1:17" x14ac:dyDescent="0.25">
      <c r="A95">
        <v>8147134</v>
      </c>
      <c r="B95" t="s">
        <v>18</v>
      </c>
      <c r="C95">
        <v>27154443</v>
      </c>
      <c r="D95" t="s">
        <v>7</v>
      </c>
      <c r="E95">
        <v>4602159</v>
      </c>
      <c r="F95" s="2">
        <v>1478064</v>
      </c>
      <c r="G95" s="2">
        <v>54829</v>
      </c>
      <c r="H95">
        <v>30</v>
      </c>
      <c r="I95" s="1">
        <v>42521</v>
      </c>
      <c r="J95" t="s">
        <v>4</v>
      </c>
      <c r="K95">
        <f>COUNTIFS(GESTIONES!$A:$A, BASE_CUENTAS!$A95, GESTIONES!$B:$B, BASE_CUENTAS!$C95)</f>
        <v>3</v>
      </c>
      <c r="L95">
        <f>COUNTIFS(GESTIONES!$A:$A, BASE_CUENTAS!$A95,GESTIONES!$B:$B, BASE_CUENTAS!$C95,GESTIONES!$E:$E, "S")</f>
        <v>1</v>
      </c>
      <c r="M95">
        <f>COUNTIFS(GESTIONES!$A:$A, BASE_CUENTAS!$A95,GESTIONES!$B:$B, BASE_CUENTAS!$C95,GESTIONES!$E:$E, "N")</f>
        <v>2</v>
      </c>
      <c r="N95">
        <f>COUNTIFS(GESTIONES!$A:$A, BASE_CUENTAS!$A95,GESTIONES!$B:$B, BASE_CUENTAS!$C95,GESTIONES!$D:$D, "SMS")</f>
        <v>0</v>
      </c>
      <c r="O95">
        <f>SUMIFS(PAGOS!$D:$D,PAGOS!$A:$A, BASE_CUENTAS!$A95,PAGOS!$B:$B, BASE_CUENTAS!$C95)</f>
        <v>0</v>
      </c>
      <c r="P95" t="str">
        <f>IF(
VLOOKUP($C95,BASE_CIERRE_MES!$C:$G,5,FALSE)=0,
"Normalización",
IF(
VLOOKUP($C95,BASE_CIERRE_MES!$C:$G,5,FALSE)&lt;$H95,
"Recuperación",
IF(
VLOOKUP($C95,BASE_CIERRE_MES!$C:$G,5,FALSE)=$H95,
"Contención",
"Rodamiento"
)))</f>
        <v>Rodamiento</v>
      </c>
      <c r="Q95">
        <f t="shared" si="1"/>
        <v>0</v>
      </c>
    </row>
    <row r="96" spans="1:17" x14ac:dyDescent="0.25">
      <c r="A96">
        <v>8147204</v>
      </c>
      <c r="B96" t="s">
        <v>17</v>
      </c>
      <c r="C96">
        <v>27138725</v>
      </c>
      <c r="D96" t="s">
        <v>7</v>
      </c>
      <c r="E96">
        <v>11689191</v>
      </c>
      <c r="F96" s="2">
        <v>5087699</v>
      </c>
      <c r="G96" s="2">
        <v>143366</v>
      </c>
      <c r="H96">
        <v>30</v>
      </c>
      <c r="I96" s="1">
        <v>42509</v>
      </c>
      <c r="J96" t="s">
        <v>6</v>
      </c>
      <c r="K96">
        <f>COUNTIFS(GESTIONES!$A:$A, BASE_CUENTAS!$A96, GESTIONES!$B:$B, BASE_CUENTAS!$C96)</f>
        <v>3</v>
      </c>
      <c r="L96">
        <f>COUNTIFS(GESTIONES!$A:$A, BASE_CUENTAS!$A96,GESTIONES!$B:$B, BASE_CUENTAS!$C96,GESTIONES!$E:$E, "S")</f>
        <v>1</v>
      </c>
      <c r="M96">
        <f>COUNTIFS(GESTIONES!$A:$A, BASE_CUENTAS!$A96,GESTIONES!$B:$B, BASE_CUENTAS!$C96,GESTIONES!$E:$E, "N")</f>
        <v>2</v>
      </c>
      <c r="N96">
        <f>COUNTIFS(GESTIONES!$A:$A, BASE_CUENTAS!$A96,GESTIONES!$B:$B, BASE_CUENTAS!$C96,GESTIONES!$D:$D, "SMS")</f>
        <v>0</v>
      </c>
      <c r="O96">
        <f>SUMIFS(PAGOS!$D:$D,PAGOS!$A:$A, BASE_CUENTAS!$A96,PAGOS!$B:$B, BASE_CUENTAS!$C96)</f>
        <v>0</v>
      </c>
      <c r="P96" t="str">
        <f>IF(
VLOOKUP($C96,BASE_CIERRE_MES!$C:$G,5,FALSE)=0,
"Normalización",
IF(
VLOOKUP($C96,BASE_CIERRE_MES!$C:$G,5,FALSE)&lt;$H96,
"Recuperación",
IF(
VLOOKUP($C96,BASE_CIERRE_MES!$C:$G,5,FALSE)=$H96,
"Contención",
"Rodamiento"
)))</f>
        <v>Rodamiento</v>
      </c>
      <c r="Q96">
        <f t="shared" si="1"/>
        <v>0</v>
      </c>
    </row>
    <row r="97" spans="1:17" x14ac:dyDescent="0.25">
      <c r="A97">
        <v>8147976</v>
      </c>
      <c r="B97" t="s">
        <v>18</v>
      </c>
      <c r="C97">
        <v>22912840</v>
      </c>
      <c r="D97" t="s">
        <v>7</v>
      </c>
      <c r="E97">
        <v>526048</v>
      </c>
      <c r="F97" s="2">
        <v>526048</v>
      </c>
      <c r="G97" s="2">
        <v>184168</v>
      </c>
      <c r="H97">
        <v>60</v>
      </c>
      <c r="I97" s="1">
        <v>42491</v>
      </c>
      <c r="J97" t="s">
        <v>6</v>
      </c>
      <c r="K97">
        <f>COUNTIFS(GESTIONES!$A:$A, BASE_CUENTAS!$A97, GESTIONES!$B:$B, BASE_CUENTAS!$C97)</f>
        <v>3</v>
      </c>
      <c r="L97">
        <f>COUNTIFS(GESTIONES!$A:$A, BASE_CUENTAS!$A97,GESTIONES!$B:$B, BASE_CUENTAS!$C97,GESTIONES!$E:$E, "S")</f>
        <v>2</v>
      </c>
      <c r="M97">
        <f>COUNTIFS(GESTIONES!$A:$A, BASE_CUENTAS!$A97,GESTIONES!$B:$B, BASE_CUENTAS!$C97,GESTIONES!$E:$E, "N")</f>
        <v>1</v>
      </c>
      <c r="N97">
        <f>COUNTIFS(GESTIONES!$A:$A, BASE_CUENTAS!$A97,GESTIONES!$B:$B, BASE_CUENTAS!$C97,GESTIONES!$D:$D, "SMS")</f>
        <v>1</v>
      </c>
      <c r="O97">
        <f>SUMIFS(PAGOS!$D:$D,PAGOS!$A:$A, BASE_CUENTAS!$A97,PAGOS!$B:$B, BASE_CUENTAS!$C97)</f>
        <v>92084</v>
      </c>
      <c r="P97" t="str">
        <f>IF(
VLOOKUP($C97,BASE_CIERRE_MES!$C:$G,5,FALSE)=0,
"Normalización",
IF(
VLOOKUP($C97,BASE_CIERRE_MES!$C:$G,5,FALSE)&lt;$H97,
"Recuperación",
IF(
VLOOKUP($C97,BASE_CIERRE_MES!$C:$G,5,FALSE)=$H97,
"Contención",
"Rodamiento"
)))</f>
        <v>Recuperación</v>
      </c>
      <c r="Q97">
        <f t="shared" si="1"/>
        <v>0.17504866476063022</v>
      </c>
    </row>
    <row r="98" spans="1:17" x14ac:dyDescent="0.25">
      <c r="A98">
        <v>8148012</v>
      </c>
      <c r="B98" t="s">
        <v>18</v>
      </c>
      <c r="C98">
        <v>26918078</v>
      </c>
      <c r="D98" t="s">
        <v>7</v>
      </c>
      <c r="E98">
        <v>641684</v>
      </c>
      <c r="F98" s="2">
        <v>639699</v>
      </c>
      <c r="G98" s="2">
        <v>288051</v>
      </c>
      <c r="H98">
        <v>30</v>
      </c>
      <c r="I98" s="1">
        <v>42508</v>
      </c>
      <c r="J98" t="s">
        <v>6</v>
      </c>
      <c r="K98">
        <f>COUNTIFS(GESTIONES!$A:$A, BASE_CUENTAS!$A98, GESTIONES!$B:$B, BASE_CUENTAS!$C98)</f>
        <v>3</v>
      </c>
      <c r="L98">
        <f>COUNTIFS(GESTIONES!$A:$A, BASE_CUENTAS!$A98,GESTIONES!$B:$B, BASE_CUENTAS!$C98,GESTIONES!$E:$E, "S")</f>
        <v>1</v>
      </c>
      <c r="M98">
        <f>COUNTIFS(GESTIONES!$A:$A, BASE_CUENTAS!$A98,GESTIONES!$B:$B, BASE_CUENTAS!$C98,GESTIONES!$E:$E, "N")</f>
        <v>2</v>
      </c>
      <c r="N98">
        <f>COUNTIFS(GESTIONES!$A:$A, BASE_CUENTAS!$A98,GESTIONES!$B:$B, BASE_CUENTAS!$C98,GESTIONES!$D:$D, "SMS")</f>
        <v>0</v>
      </c>
      <c r="O98">
        <f>SUMIFS(PAGOS!$D:$D,PAGOS!$A:$A, BASE_CUENTAS!$A98,PAGOS!$B:$B, BASE_CUENTAS!$C98)</f>
        <v>288051</v>
      </c>
      <c r="P98" t="str">
        <f>IF(
VLOOKUP($C98,BASE_CIERRE_MES!$C:$G,5,FALSE)=0,
"Normalización",
IF(
VLOOKUP($C98,BASE_CIERRE_MES!$C:$G,5,FALSE)&lt;$H98,
"Recuperación",
IF(
VLOOKUP($C98,BASE_CIERRE_MES!$C:$G,5,FALSE)=$H98,
"Contención",
"Rodamiento"
)))</f>
        <v>Normalización</v>
      </c>
      <c r="Q98">
        <f t="shared" si="1"/>
        <v>0.45029146520472912</v>
      </c>
    </row>
    <row r="99" spans="1:17" x14ac:dyDescent="0.25">
      <c r="A99">
        <v>8148012</v>
      </c>
      <c r="B99" t="s">
        <v>18</v>
      </c>
      <c r="C99">
        <v>26918957</v>
      </c>
      <c r="D99" t="s">
        <v>7</v>
      </c>
      <c r="E99">
        <v>641684</v>
      </c>
      <c r="F99" s="2">
        <v>1985</v>
      </c>
      <c r="G99" s="2">
        <v>1985</v>
      </c>
      <c r="H99">
        <v>60</v>
      </c>
      <c r="I99" s="1">
        <v>42481</v>
      </c>
      <c r="J99" t="s">
        <v>6</v>
      </c>
      <c r="K99">
        <f>COUNTIFS(GESTIONES!$A:$A, BASE_CUENTAS!$A99, GESTIONES!$B:$B, BASE_CUENTAS!$C99)</f>
        <v>3</v>
      </c>
      <c r="L99">
        <f>COUNTIFS(GESTIONES!$A:$A, BASE_CUENTAS!$A99,GESTIONES!$B:$B, BASE_CUENTAS!$C99,GESTIONES!$E:$E, "S")</f>
        <v>0</v>
      </c>
      <c r="M99">
        <f>COUNTIFS(GESTIONES!$A:$A, BASE_CUENTAS!$A99,GESTIONES!$B:$B, BASE_CUENTAS!$C99,GESTIONES!$E:$E, "N")</f>
        <v>3</v>
      </c>
      <c r="N99">
        <f>COUNTIFS(GESTIONES!$A:$A, BASE_CUENTAS!$A99,GESTIONES!$B:$B, BASE_CUENTAS!$C99,GESTIONES!$D:$D, "SMS")</f>
        <v>2</v>
      </c>
      <c r="O99">
        <f>SUMIFS(PAGOS!$D:$D,PAGOS!$A:$A, BASE_CUENTAS!$A99,PAGOS!$B:$B, BASE_CUENTAS!$C99)</f>
        <v>993</v>
      </c>
      <c r="P99" t="str">
        <f>IF(
VLOOKUP($C99,BASE_CIERRE_MES!$C:$G,5,FALSE)=0,
"Normalización",
IF(
VLOOKUP($C99,BASE_CIERRE_MES!$C:$G,5,FALSE)&lt;$H99,
"Recuperación",
IF(
VLOOKUP($C99,BASE_CIERRE_MES!$C:$G,5,FALSE)=$H99,
"Contención",
"Rodamiento"
)))</f>
        <v>Recuperación</v>
      </c>
      <c r="Q99">
        <f t="shared" si="1"/>
        <v>0.50025188916876573</v>
      </c>
    </row>
    <row r="100" spans="1:17" x14ac:dyDescent="0.25">
      <c r="A100">
        <v>8148376</v>
      </c>
      <c r="B100" t="s">
        <v>18</v>
      </c>
      <c r="C100">
        <v>16869327</v>
      </c>
      <c r="D100" t="s">
        <v>7</v>
      </c>
      <c r="E100">
        <v>740827</v>
      </c>
      <c r="F100" s="2">
        <v>740827</v>
      </c>
      <c r="G100" s="2">
        <v>740778</v>
      </c>
      <c r="H100">
        <v>30</v>
      </c>
      <c r="I100" s="1">
        <v>42508</v>
      </c>
      <c r="J100" t="s">
        <v>6</v>
      </c>
      <c r="K100">
        <f>COUNTIFS(GESTIONES!$A:$A, BASE_CUENTAS!$A100, GESTIONES!$B:$B, BASE_CUENTAS!$C100)</f>
        <v>3</v>
      </c>
      <c r="L100">
        <f>COUNTIFS(GESTIONES!$A:$A, BASE_CUENTAS!$A100,GESTIONES!$B:$B, BASE_CUENTAS!$C100,GESTIONES!$E:$E, "S")</f>
        <v>1</v>
      </c>
      <c r="M100">
        <f>COUNTIFS(GESTIONES!$A:$A, BASE_CUENTAS!$A100,GESTIONES!$B:$B, BASE_CUENTAS!$C100,GESTIONES!$E:$E, "N")</f>
        <v>2</v>
      </c>
      <c r="N100">
        <f>COUNTIFS(GESTIONES!$A:$A, BASE_CUENTAS!$A100,GESTIONES!$B:$B, BASE_CUENTAS!$C100,GESTIONES!$D:$D, "SMS")</f>
        <v>1</v>
      </c>
      <c r="O100">
        <f>SUMIFS(PAGOS!$D:$D,PAGOS!$A:$A, BASE_CUENTAS!$A100,PAGOS!$B:$B, BASE_CUENTAS!$C100)</f>
        <v>246926</v>
      </c>
      <c r="P100" t="str">
        <f>IF(
VLOOKUP($C100,BASE_CIERRE_MES!$C:$G,5,FALSE)=0,
"Normalización",
IF(
VLOOKUP($C100,BASE_CIERRE_MES!$C:$G,5,FALSE)&lt;$H100,
"Recuperación",
IF(
VLOOKUP($C100,BASE_CIERRE_MES!$C:$G,5,FALSE)=$H100,
"Contención",
"Rodamiento"
)))</f>
        <v>Contención</v>
      </c>
      <c r="Q100">
        <f t="shared" si="1"/>
        <v>0.33331128590075687</v>
      </c>
    </row>
    <row r="101" spans="1:17" x14ac:dyDescent="0.25">
      <c r="A101">
        <v>8148804</v>
      </c>
      <c r="B101" t="s">
        <v>18</v>
      </c>
      <c r="C101">
        <v>24807483</v>
      </c>
      <c r="D101" t="s">
        <v>7</v>
      </c>
      <c r="E101">
        <v>1050906</v>
      </c>
      <c r="F101" s="2">
        <v>1050906</v>
      </c>
      <c r="G101" s="2">
        <v>79570</v>
      </c>
      <c r="H101">
        <v>30</v>
      </c>
      <c r="I101" s="1">
        <v>42521</v>
      </c>
      <c r="J101" t="s">
        <v>4</v>
      </c>
      <c r="K101">
        <f>COUNTIFS(GESTIONES!$A:$A, BASE_CUENTAS!$A101, GESTIONES!$B:$B, BASE_CUENTAS!$C101)</f>
        <v>3</v>
      </c>
      <c r="L101">
        <f>COUNTIFS(GESTIONES!$A:$A, BASE_CUENTAS!$A101,GESTIONES!$B:$B, BASE_CUENTAS!$C101,GESTIONES!$E:$E, "S")</f>
        <v>1</v>
      </c>
      <c r="M101">
        <f>COUNTIFS(GESTIONES!$A:$A, BASE_CUENTAS!$A101,GESTIONES!$B:$B, BASE_CUENTAS!$C101,GESTIONES!$E:$E, "N")</f>
        <v>2</v>
      </c>
      <c r="N101">
        <f>COUNTIFS(GESTIONES!$A:$A, BASE_CUENTAS!$A101,GESTIONES!$B:$B, BASE_CUENTAS!$C101,GESTIONES!$D:$D, "SMS")</f>
        <v>0</v>
      </c>
      <c r="O101">
        <f>SUMIFS(PAGOS!$D:$D,PAGOS!$A:$A, BASE_CUENTAS!$A101,PAGOS!$B:$B, BASE_CUENTAS!$C101)</f>
        <v>0</v>
      </c>
      <c r="P101" t="str">
        <f>IF(
VLOOKUP($C101,BASE_CIERRE_MES!$C:$G,5,FALSE)=0,
"Normalización",
IF(
VLOOKUP($C101,BASE_CIERRE_MES!$C:$G,5,FALSE)&lt;$H101,
"Recuperación",
IF(
VLOOKUP($C101,BASE_CIERRE_MES!$C:$G,5,FALSE)=$H101,
"Contención",
"Rodamiento"
)))</f>
        <v>Rodamiento</v>
      </c>
      <c r="Q101">
        <f t="shared" si="1"/>
        <v>0</v>
      </c>
    </row>
    <row r="102" spans="1:17" x14ac:dyDescent="0.25">
      <c r="A102">
        <v>8149563</v>
      </c>
      <c r="B102" t="s">
        <v>18</v>
      </c>
      <c r="C102">
        <v>22789135</v>
      </c>
      <c r="D102" t="s">
        <v>7</v>
      </c>
      <c r="E102">
        <v>2100422</v>
      </c>
      <c r="F102" s="2">
        <v>926330</v>
      </c>
      <c r="G102" s="2">
        <v>3902</v>
      </c>
      <c r="H102">
        <v>30</v>
      </c>
      <c r="I102" s="1">
        <v>42491</v>
      </c>
      <c r="J102" t="s">
        <v>6</v>
      </c>
      <c r="K102">
        <f>COUNTIFS(GESTIONES!$A:$A, BASE_CUENTAS!$A102, GESTIONES!$B:$B, BASE_CUENTAS!$C102)</f>
        <v>3</v>
      </c>
      <c r="L102">
        <f>COUNTIFS(GESTIONES!$A:$A, BASE_CUENTAS!$A102,GESTIONES!$B:$B, BASE_CUENTAS!$C102,GESTIONES!$E:$E, "S")</f>
        <v>1</v>
      </c>
      <c r="M102">
        <f>COUNTIFS(GESTIONES!$A:$A, BASE_CUENTAS!$A102,GESTIONES!$B:$B, BASE_CUENTAS!$C102,GESTIONES!$E:$E, "N")</f>
        <v>2</v>
      </c>
      <c r="N102">
        <f>COUNTIFS(GESTIONES!$A:$A, BASE_CUENTAS!$A102,GESTIONES!$B:$B, BASE_CUENTAS!$C102,GESTIONES!$D:$D, "SMS")</f>
        <v>1</v>
      </c>
      <c r="O102">
        <f>SUMIFS(PAGOS!$D:$D,PAGOS!$A:$A, BASE_CUENTAS!$A102,PAGOS!$B:$B, BASE_CUENTAS!$C102)</f>
        <v>0</v>
      </c>
      <c r="P102" t="str">
        <f>IF(
VLOOKUP($C102,BASE_CIERRE_MES!$C:$G,5,FALSE)=0,
"Normalización",
IF(
VLOOKUP($C102,BASE_CIERRE_MES!$C:$G,5,FALSE)&lt;$H102,
"Recuperación",
IF(
VLOOKUP($C102,BASE_CIERRE_MES!$C:$G,5,FALSE)=$H102,
"Contención",
"Rodamiento"
)))</f>
        <v>Rodamiento</v>
      </c>
      <c r="Q102">
        <f t="shared" si="1"/>
        <v>0</v>
      </c>
    </row>
    <row r="103" spans="1:17" x14ac:dyDescent="0.25">
      <c r="A103">
        <v>8149563</v>
      </c>
      <c r="B103" t="s">
        <v>18</v>
      </c>
      <c r="C103">
        <v>22789722</v>
      </c>
      <c r="D103" t="s">
        <v>7</v>
      </c>
      <c r="E103">
        <v>2100422</v>
      </c>
      <c r="F103" s="2">
        <v>1174092</v>
      </c>
      <c r="G103" s="2">
        <v>335006</v>
      </c>
      <c r="H103">
        <v>60</v>
      </c>
      <c r="I103" s="1">
        <v>42490</v>
      </c>
      <c r="J103" t="s">
        <v>6</v>
      </c>
      <c r="K103">
        <f>COUNTIFS(GESTIONES!$A:$A, BASE_CUENTAS!$A103, GESTIONES!$B:$B, BASE_CUENTAS!$C103)</f>
        <v>3</v>
      </c>
      <c r="L103">
        <f>COUNTIFS(GESTIONES!$A:$A, BASE_CUENTAS!$A103,GESTIONES!$B:$B, BASE_CUENTAS!$C103,GESTIONES!$E:$E, "S")</f>
        <v>1</v>
      </c>
      <c r="M103">
        <f>COUNTIFS(GESTIONES!$A:$A, BASE_CUENTAS!$A103,GESTIONES!$B:$B, BASE_CUENTAS!$C103,GESTIONES!$E:$E, "N")</f>
        <v>2</v>
      </c>
      <c r="N103">
        <f>COUNTIFS(GESTIONES!$A:$A, BASE_CUENTAS!$A103,GESTIONES!$B:$B, BASE_CUENTAS!$C103,GESTIONES!$D:$D, "SMS")</f>
        <v>0</v>
      </c>
      <c r="O103">
        <f>SUMIFS(PAGOS!$D:$D,PAGOS!$A:$A, BASE_CUENTAS!$A103,PAGOS!$B:$B, BASE_CUENTAS!$C103)</f>
        <v>0</v>
      </c>
      <c r="P103" t="str">
        <f>IF(
VLOOKUP($C103,BASE_CIERRE_MES!$C:$G,5,FALSE)=0,
"Normalización",
IF(
VLOOKUP($C103,BASE_CIERRE_MES!$C:$G,5,FALSE)&lt;$H103,
"Recuperación",
IF(
VLOOKUP($C103,BASE_CIERRE_MES!$C:$G,5,FALSE)=$H103,
"Contención",
"Rodamiento"
)))</f>
        <v>Rodamiento</v>
      </c>
      <c r="Q103">
        <f t="shared" si="1"/>
        <v>0</v>
      </c>
    </row>
    <row r="104" spans="1:17" x14ac:dyDescent="0.25">
      <c r="A104">
        <v>8149652</v>
      </c>
      <c r="B104" t="s">
        <v>16</v>
      </c>
      <c r="C104">
        <v>14265682</v>
      </c>
      <c r="D104" t="s">
        <v>7</v>
      </c>
      <c r="E104">
        <v>65246007</v>
      </c>
      <c r="F104" s="2">
        <v>939625</v>
      </c>
      <c r="G104" s="2">
        <v>81077</v>
      </c>
      <c r="H104">
        <v>30</v>
      </c>
      <c r="I104" s="1">
        <v>42509</v>
      </c>
      <c r="J104" t="s">
        <v>5</v>
      </c>
      <c r="K104">
        <f>COUNTIFS(GESTIONES!$A:$A, BASE_CUENTAS!$A104, GESTIONES!$B:$B, BASE_CUENTAS!$C104)</f>
        <v>3</v>
      </c>
      <c r="L104">
        <f>COUNTIFS(GESTIONES!$A:$A, BASE_CUENTAS!$A104,GESTIONES!$B:$B, BASE_CUENTAS!$C104,GESTIONES!$E:$E, "S")</f>
        <v>0</v>
      </c>
      <c r="M104">
        <f>COUNTIFS(GESTIONES!$A:$A, BASE_CUENTAS!$A104,GESTIONES!$B:$B, BASE_CUENTAS!$C104,GESTIONES!$E:$E, "N")</f>
        <v>3</v>
      </c>
      <c r="N104">
        <f>COUNTIFS(GESTIONES!$A:$A, BASE_CUENTAS!$A104,GESTIONES!$B:$B, BASE_CUENTAS!$C104,GESTIONES!$D:$D, "SMS")</f>
        <v>2</v>
      </c>
      <c r="O104">
        <f>SUMIFS(PAGOS!$D:$D,PAGOS!$A:$A, BASE_CUENTAS!$A104,PAGOS!$B:$B, BASE_CUENTAS!$C104)</f>
        <v>0</v>
      </c>
      <c r="P104" t="str">
        <f>IF(
VLOOKUP($C104,BASE_CIERRE_MES!$C:$G,5,FALSE)=0,
"Normalización",
IF(
VLOOKUP($C104,BASE_CIERRE_MES!$C:$G,5,FALSE)&lt;$H104,
"Recuperación",
IF(
VLOOKUP($C104,BASE_CIERRE_MES!$C:$G,5,FALSE)=$H104,
"Contención",
"Rodamiento"
)))</f>
        <v>Rodamiento</v>
      </c>
      <c r="Q104">
        <f t="shared" si="1"/>
        <v>0</v>
      </c>
    </row>
    <row r="105" spans="1:17" x14ac:dyDescent="0.25">
      <c r="A105">
        <v>8149652</v>
      </c>
      <c r="B105" t="s">
        <v>16</v>
      </c>
      <c r="C105">
        <v>16980898</v>
      </c>
      <c r="D105" t="s">
        <v>7</v>
      </c>
      <c r="E105">
        <v>65246007</v>
      </c>
      <c r="F105" s="2">
        <v>8058584</v>
      </c>
      <c r="G105" s="2">
        <v>473160</v>
      </c>
      <c r="H105">
        <v>30</v>
      </c>
      <c r="I105" s="1">
        <v>42508</v>
      </c>
      <c r="J105" t="s">
        <v>5</v>
      </c>
      <c r="K105">
        <f>COUNTIFS(GESTIONES!$A:$A, BASE_CUENTAS!$A105, GESTIONES!$B:$B, BASE_CUENTAS!$C105)</f>
        <v>3</v>
      </c>
      <c r="L105">
        <f>COUNTIFS(GESTIONES!$A:$A, BASE_CUENTAS!$A105,GESTIONES!$B:$B, BASE_CUENTAS!$C105,GESTIONES!$E:$E, "S")</f>
        <v>1</v>
      </c>
      <c r="M105">
        <f>COUNTIFS(GESTIONES!$A:$A, BASE_CUENTAS!$A105,GESTIONES!$B:$B, BASE_CUENTAS!$C105,GESTIONES!$E:$E, "N")</f>
        <v>2</v>
      </c>
      <c r="N105">
        <f>COUNTIFS(GESTIONES!$A:$A, BASE_CUENTAS!$A105,GESTIONES!$B:$B, BASE_CUENTAS!$C105,GESTIONES!$D:$D, "SMS")</f>
        <v>1</v>
      </c>
      <c r="O105">
        <f>SUMIFS(PAGOS!$D:$D,PAGOS!$A:$A, BASE_CUENTAS!$A105,PAGOS!$B:$B, BASE_CUENTAS!$C105)</f>
        <v>0</v>
      </c>
      <c r="P105" t="str">
        <f>IF(
VLOOKUP($C105,BASE_CIERRE_MES!$C:$G,5,FALSE)=0,
"Normalización",
IF(
VLOOKUP($C105,BASE_CIERRE_MES!$C:$G,5,FALSE)&lt;$H105,
"Recuperación",
IF(
VLOOKUP($C105,BASE_CIERRE_MES!$C:$G,5,FALSE)=$H105,
"Contención",
"Rodamiento"
)))</f>
        <v>Rodamiento</v>
      </c>
      <c r="Q105">
        <f t="shared" si="1"/>
        <v>0</v>
      </c>
    </row>
    <row r="106" spans="1:17" x14ac:dyDescent="0.25">
      <c r="A106">
        <v>8149652</v>
      </c>
      <c r="B106" t="s">
        <v>16</v>
      </c>
      <c r="C106">
        <v>23954312</v>
      </c>
      <c r="D106" t="s">
        <v>7</v>
      </c>
      <c r="E106">
        <v>65246007</v>
      </c>
      <c r="F106" s="2">
        <v>3794184</v>
      </c>
      <c r="G106" s="2">
        <v>568806</v>
      </c>
      <c r="H106">
        <v>60</v>
      </c>
      <c r="I106" s="1">
        <v>42490</v>
      </c>
      <c r="J106" t="s">
        <v>5</v>
      </c>
      <c r="K106">
        <f>COUNTIFS(GESTIONES!$A:$A, BASE_CUENTAS!$A106, GESTIONES!$B:$B, BASE_CUENTAS!$C106)</f>
        <v>3</v>
      </c>
      <c r="L106">
        <f>COUNTIFS(GESTIONES!$A:$A, BASE_CUENTAS!$A106,GESTIONES!$B:$B, BASE_CUENTAS!$C106,GESTIONES!$E:$E, "S")</f>
        <v>1</v>
      </c>
      <c r="M106">
        <f>COUNTIFS(GESTIONES!$A:$A, BASE_CUENTAS!$A106,GESTIONES!$B:$B, BASE_CUENTAS!$C106,GESTIONES!$E:$E, "N")</f>
        <v>2</v>
      </c>
      <c r="N106">
        <f>COUNTIFS(GESTIONES!$A:$A, BASE_CUENTAS!$A106,GESTIONES!$B:$B, BASE_CUENTAS!$C106,GESTIONES!$D:$D, "SMS")</f>
        <v>0</v>
      </c>
      <c r="O106">
        <f>SUMIFS(PAGOS!$D:$D,PAGOS!$A:$A, BASE_CUENTAS!$A106,PAGOS!$B:$B, BASE_CUENTAS!$C106)</f>
        <v>0</v>
      </c>
      <c r="P106" t="str">
        <f>IF(
VLOOKUP($C106,BASE_CIERRE_MES!$C:$G,5,FALSE)=0,
"Normalización",
IF(
VLOOKUP($C106,BASE_CIERRE_MES!$C:$G,5,FALSE)&lt;$H106,
"Recuperación",
IF(
VLOOKUP($C106,BASE_CIERRE_MES!$C:$G,5,FALSE)=$H106,
"Contención",
"Rodamiento"
)))</f>
        <v>Rodamiento</v>
      </c>
      <c r="Q106">
        <f t="shared" si="1"/>
        <v>0</v>
      </c>
    </row>
    <row r="107" spans="1:17" x14ac:dyDescent="0.25">
      <c r="A107">
        <v>8149873</v>
      </c>
      <c r="B107" t="s">
        <v>18</v>
      </c>
      <c r="C107">
        <v>21128782</v>
      </c>
      <c r="D107" t="s">
        <v>7</v>
      </c>
      <c r="E107">
        <v>2061818</v>
      </c>
      <c r="F107" s="2">
        <v>953538</v>
      </c>
      <c r="G107" s="2">
        <v>7806</v>
      </c>
      <c r="H107">
        <v>30</v>
      </c>
      <c r="I107" s="1">
        <v>42521</v>
      </c>
      <c r="J107" t="s">
        <v>4</v>
      </c>
      <c r="K107">
        <f>COUNTIFS(GESTIONES!$A:$A, BASE_CUENTAS!$A107, GESTIONES!$B:$B, BASE_CUENTAS!$C107)</f>
        <v>3</v>
      </c>
      <c r="L107">
        <f>COUNTIFS(GESTIONES!$A:$A, BASE_CUENTAS!$A107,GESTIONES!$B:$B, BASE_CUENTAS!$C107,GESTIONES!$E:$E, "S")</f>
        <v>1</v>
      </c>
      <c r="M107">
        <f>COUNTIFS(GESTIONES!$A:$A, BASE_CUENTAS!$A107,GESTIONES!$B:$B, BASE_CUENTAS!$C107,GESTIONES!$E:$E, "N")</f>
        <v>2</v>
      </c>
      <c r="N107">
        <f>COUNTIFS(GESTIONES!$A:$A, BASE_CUENTAS!$A107,GESTIONES!$B:$B, BASE_CUENTAS!$C107,GESTIONES!$D:$D, "SMS")</f>
        <v>1</v>
      </c>
      <c r="O107">
        <f>SUMIFS(PAGOS!$D:$D,PAGOS!$A:$A, BASE_CUENTAS!$A107,PAGOS!$B:$B, BASE_CUENTAS!$C107)</f>
        <v>2602</v>
      </c>
      <c r="P107" t="str">
        <f>IF(
VLOOKUP($C107,BASE_CIERRE_MES!$C:$G,5,FALSE)=0,
"Normalización",
IF(
VLOOKUP($C107,BASE_CIERRE_MES!$C:$G,5,FALSE)&lt;$H107,
"Recuperación",
IF(
VLOOKUP($C107,BASE_CIERRE_MES!$C:$G,5,FALSE)=$H107,
"Contención",
"Rodamiento"
)))</f>
        <v>Contención</v>
      </c>
      <c r="Q107">
        <f t="shared" si="1"/>
        <v>2.728784799347273E-3</v>
      </c>
    </row>
    <row r="108" spans="1:17" x14ac:dyDescent="0.25">
      <c r="A108">
        <v>8149873</v>
      </c>
      <c r="B108" t="s">
        <v>18</v>
      </c>
      <c r="C108">
        <v>21130021</v>
      </c>
      <c r="D108" t="s">
        <v>7</v>
      </c>
      <c r="E108">
        <v>2061818</v>
      </c>
      <c r="F108" s="2">
        <v>971400</v>
      </c>
      <c r="G108" s="2">
        <v>3902</v>
      </c>
      <c r="H108">
        <v>30</v>
      </c>
      <c r="I108" s="1">
        <v>42521</v>
      </c>
      <c r="J108" t="s">
        <v>4</v>
      </c>
      <c r="K108">
        <f>COUNTIFS(GESTIONES!$A:$A, BASE_CUENTAS!$A108, GESTIONES!$B:$B, BASE_CUENTAS!$C108)</f>
        <v>3</v>
      </c>
      <c r="L108">
        <f>COUNTIFS(GESTIONES!$A:$A, BASE_CUENTAS!$A108,GESTIONES!$B:$B, BASE_CUENTAS!$C108,GESTIONES!$E:$E, "S")</f>
        <v>1</v>
      </c>
      <c r="M108">
        <f>COUNTIFS(GESTIONES!$A:$A, BASE_CUENTAS!$A108,GESTIONES!$B:$B, BASE_CUENTAS!$C108,GESTIONES!$E:$E, "N")</f>
        <v>2</v>
      </c>
      <c r="N108">
        <f>COUNTIFS(GESTIONES!$A:$A, BASE_CUENTAS!$A108,GESTIONES!$B:$B, BASE_CUENTAS!$C108,GESTIONES!$D:$D, "SMS")</f>
        <v>0</v>
      </c>
      <c r="O108">
        <f>SUMIFS(PAGOS!$D:$D,PAGOS!$A:$A, BASE_CUENTAS!$A108,PAGOS!$B:$B, BASE_CUENTAS!$C108)</f>
        <v>3902</v>
      </c>
      <c r="P108" t="str">
        <f>IF(
VLOOKUP($C108,BASE_CIERRE_MES!$C:$G,5,FALSE)=0,
"Normalización",
IF(
VLOOKUP($C108,BASE_CIERRE_MES!$C:$G,5,FALSE)&lt;$H108,
"Recuperación",
IF(
VLOOKUP($C108,BASE_CIERRE_MES!$C:$G,5,FALSE)=$H108,
"Contención",
"Rodamiento"
)))</f>
        <v>Normalización</v>
      </c>
      <c r="Q108">
        <f t="shared" si="1"/>
        <v>4.0168828494955731E-3</v>
      </c>
    </row>
    <row r="109" spans="1:17" x14ac:dyDescent="0.25">
      <c r="A109">
        <v>8150642</v>
      </c>
      <c r="B109" t="s">
        <v>18</v>
      </c>
      <c r="C109">
        <v>21255889</v>
      </c>
      <c r="D109" t="s">
        <v>7</v>
      </c>
      <c r="E109">
        <v>1386019</v>
      </c>
      <c r="F109" s="2">
        <v>1386019</v>
      </c>
      <c r="G109" s="2">
        <v>204090</v>
      </c>
      <c r="H109">
        <v>30</v>
      </c>
      <c r="I109" s="1">
        <v>42508</v>
      </c>
      <c r="J109" t="s">
        <v>6</v>
      </c>
      <c r="K109">
        <f>COUNTIFS(GESTIONES!$A:$A, BASE_CUENTAS!$A109, GESTIONES!$B:$B, BASE_CUENTAS!$C109)</f>
        <v>3</v>
      </c>
      <c r="L109">
        <f>COUNTIFS(GESTIONES!$A:$A, BASE_CUENTAS!$A109,GESTIONES!$B:$B, BASE_CUENTAS!$C109,GESTIONES!$E:$E, "S")</f>
        <v>0</v>
      </c>
      <c r="M109">
        <f>COUNTIFS(GESTIONES!$A:$A, BASE_CUENTAS!$A109,GESTIONES!$B:$B, BASE_CUENTAS!$C109,GESTIONES!$E:$E, "N")</f>
        <v>3</v>
      </c>
      <c r="N109">
        <f>COUNTIFS(GESTIONES!$A:$A, BASE_CUENTAS!$A109,GESTIONES!$B:$B, BASE_CUENTAS!$C109,GESTIONES!$D:$D, "SMS")</f>
        <v>2</v>
      </c>
      <c r="O109">
        <f>SUMIFS(PAGOS!$D:$D,PAGOS!$A:$A, BASE_CUENTAS!$A109,PAGOS!$B:$B, BASE_CUENTAS!$C109)</f>
        <v>0</v>
      </c>
      <c r="P109" t="str">
        <f>IF(
VLOOKUP($C109,BASE_CIERRE_MES!$C:$G,5,FALSE)=0,
"Normalización",
IF(
VLOOKUP($C109,BASE_CIERRE_MES!$C:$G,5,FALSE)&lt;$H109,
"Recuperación",
IF(
VLOOKUP($C109,BASE_CIERRE_MES!$C:$G,5,FALSE)=$H109,
"Contención",
"Rodamiento"
)))</f>
        <v>Rodamiento</v>
      </c>
      <c r="Q109">
        <f t="shared" si="1"/>
        <v>0</v>
      </c>
    </row>
    <row r="110" spans="1:17" x14ac:dyDescent="0.25">
      <c r="A110">
        <v>8150722</v>
      </c>
      <c r="B110" t="s">
        <v>18</v>
      </c>
      <c r="C110">
        <v>24211866</v>
      </c>
      <c r="D110" t="s">
        <v>7</v>
      </c>
      <c r="E110">
        <v>3093246</v>
      </c>
      <c r="F110" s="2">
        <v>3093246</v>
      </c>
      <c r="G110" s="2">
        <v>356731</v>
      </c>
      <c r="H110">
        <v>30</v>
      </c>
      <c r="I110" s="1">
        <v>42508</v>
      </c>
      <c r="J110" t="s">
        <v>6</v>
      </c>
      <c r="K110">
        <f>COUNTIFS(GESTIONES!$A:$A, BASE_CUENTAS!$A110, GESTIONES!$B:$B, BASE_CUENTAS!$C110)</f>
        <v>3</v>
      </c>
      <c r="L110">
        <f>COUNTIFS(GESTIONES!$A:$A, BASE_CUENTAS!$A110,GESTIONES!$B:$B, BASE_CUENTAS!$C110,GESTIONES!$E:$E, "S")</f>
        <v>1</v>
      </c>
      <c r="M110">
        <f>COUNTIFS(GESTIONES!$A:$A, BASE_CUENTAS!$A110,GESTIONES!$B:$B, BASE_CUENTAS!$C110,GESTIONES!$E:$E, "N")</f>
        <v>2</v>
      </c>
      <c r="N110">
        <f>COUNTIFS(GESTIONES!$A:$A, BASE_CUENTAS!$A110,GESTIONES!$B:$B, BASE_CUENTAS!$C110,GESTIONES!$D:$D, "SMS")</f>
        <v>1</v>
      </c>
      <c r="O110">
        <f>SUMIFS(PAGOS!$D:$D,PAGOS!$A:$A, BASE_CUENTAS!$A110,PAGOS!$B:$B, BASE_CUENTAS!$C110)</f>
        <v>356731</v>
      </c>
      <c r="P110" t="str">
        <f>IF(
VLOOKUP($C110,BASE_CIERRE_MES!$C:$G,5,FALSE)=0,
"Normalización",
IF(
VLOOKUP($C110,BASE_CIERRE_MES!$C:$G,5,FALSE)&lt;$H110,
"Recuperación",
IF(
VLOOKUP($C110,BASE_CIERRE_MES!$C:$G,5,FALSE)=$H110,
"Contención",
"Rodamiento"
)))</f>
        <v>Normalización</v>
      </c>
      <c r="Q110">
        <f t="shared" si="1"/>
        <v>0.1153257775165635</v>
      </c>
    </row>
    <row r="111" spans="1:17" x14ac:dyDescent="0.25">
      <c r="A111">
        <v>8151650</v>
      </c>
      <c r="B111" t="s">
        <v>18</v>
      </c>
      <c r="C111">
        <v>25137085</v>
      </c>
      <c r="D111" t="s">
        <v>7</v>
      </c>
      <c r="E111">
        <v>416537</v>
      </c>
      <c r="F111" s="2">
        <v>416537</v>
      </c>
      <c r="G111" s="2">
        <v>356952</v>
      </c>
      <c r="H111">
        <v>60</v>
      </c>
      <c r="I111" s="1">
        <v>42491</v>
      </c>
      <c r="J111" t="s">
        <v>6</v>
      </c>
      <c r="K111">
        <f>COUNTIFS(GESTIONES!$A:$A, BASE_CUENTAS!$A111, GESTIONES!$B:$B, BASE_CUENTAS!$C111)</f>
        <v>3</v>
      </c>
      <c r="L111">
        <f>COUNTIFS(GESTIONES!$A:$A, BASE_CUENTAS!$A111,GESTIONES!$B:$B, BASE_CUENTAS!$C111,GESTIONES!$E:$E, "S")</f>
        <v>1</v>
      </c>
      <c r="M111">
        <f>COUNTIFS(GESTIONES!$A:$A, BASE_CUENTAS!$A111,GESTIONES!$B:$B, BASE_CUENTAS!$C111,GESTIONES!$E:$E, "N")</f>
        <v>2</v>
      </c>
      <c r="N111">
        <f>COUNTIFS(GESTIONES!$A:$A, BASE_CUENTAS!$A111,GESTIONES!$B:$B, BASE_CUENTAS!$C111,GESTIONES!$D:$D, "SMS")</f>
        <v>0</v>
      </c>
      <c r="O111">
        <f>SUMIFS(PAGOS!$D:$D,PAGOS!$A:$A, BASE_CUENTAS!$A111,PAGOS!$B:$B, BASE_CUENTAS!$C111)</f>
        <v>0</v>
      </c>
      <c r="P111" t="str">
        <f>IF(
VLOOKUP($C111,BASE_CIERRE_MES!$C:$G,5,FALSE)=0,
"Normalización",
IF(
VLOOKUP($C111,BASE_CIERRE_MES!$C:$G,5,FALSE)&lt;$H111,
"Recuperación",
IF(
VLOOKUP($C111,BASE_CIERRE_MES!$C:$G,5,FALSE)=$H111,
"Contención",
"Rodamiento"
)))</f>
        <v>Rodamiento</v>
      </c>
      <c r="Q111">
        <f t="shared" si="1"/>
        <v>0</v>
      </c>
    </row>
    <row r="112" spans="1:17" x14ac:dyDescent="0.25">
      <c r="A112">
        <v>8151925</v>
      </c>
      <c r="B112" t="s">
        <v>18</v>
      </c>
      <c r="C112">
        <v>26319431</v>
      </c>
      <c r="D112" t="s">
        <v>7</v>
      </c>
      <c r="E112">
        <v>2306098</v>
      </c>
      <c r="F112" s="2">
        <v>2030862</v>
      </c>
      <c r="G112" s="2">
        <v>44541</v>
      </c>
      <c r="H112">
        <v>30</v>
      </c>
      <c r="I112" s="1">
        <v>42521</v>
      </c>
      <c r="J112" t="s">
        <v>4</v>
      </c>
      <c r="K112">
        <f>COUNTIFS(GESTIONES!$A:$A, BASE_CUENTAS!$A112, GESTIONES!$B:$B, BASE_CUENTAS!$C112)</f>
        <v>3</v>
      </c>
      <c r="L112">
        <f>COUNTIFS(GESTIONES!$A:$A, BASE_CUENTAS!$A112,GESTIONES!$B:$B, BASE_CUENTAS!$C112,GESTIONES!$E:$E, "S")</f>
        <v>1</v>
      </c>
      <c r="M112">
        <f>COUNTIFS(GESTIONES!$A:$A, BASE_CUENTAS!$A112,GESTIONES!$B:$B, BASE_CUENTAS!$C112,GESTIONES!$E:$E, "N")</f>
        <v>2</v>
      </c>
      <c r="N112">
        <f>COUNTIFS(GESTIONES!$A:$A, BASE_CUENTAS!$A112,GESTIONES!$B:$B, BASE_CUENTAS!$C112,GESTIONES!$D:$D, "SMS")</f>
        <v>1</v>
      </c>
      <c r="O112">
        <f>SUMIFS(PAGOS!$D:$D,PAGOS!$A:$A, BASE_CUENTAS!$A112,PAGOS!$B:$B, BASE_CUENTAS!$C112)</f>
        <v>0</v>
      </c>
      <c r="P112" t="str">
        <f>IF(
VLOOKUP($C112,BASE_CIERRE_MES!$C:$G,5,FALSE)=0,
"Normalización",
IF(
VLOOKUP($C112,BASE_CIERRE_MES!$C:$G,5,FALSE)&lt;$H112,
"Recuperación",
IF(
VLOOKUP($C112,BASE_CIERRE_MES!$C:$G,5,FALSE)=$H112,
"Contención",
"Rodamiento"
)))</f>
        <v>Rodamiento</v>
      </c>
      <c r="Q112">
        <f t="shared" si="1"/>
        <v>0</v>
      </c>
    </row>
    <row r="113" spans="1:17" x14ac:dyDescent="0.25">
      <c r="A113">
        <v>8152781</v>
      </c>
      <c r="B113" t="s">
        <v>18</v>
      </c>
      <c r="C113">
        <v>26226398</v>
      </c>
      <c r="D113" t="s">
        <v>7</v>
      </c>
      <c r="E113">
        <v>735580</v>
      </c>
      <c r="F113" s="2">
        <v>735580</v>
      </c>
      <c r="G113" s="2">
        <v>215434</v>
      </c>
      <c r="H113">
        <v>90</v>
      </c>
      <c r="I113" s="1">
        <v>42518</v>
      </c>
      <c r="J113" t="s">
        <v>6</v>
      </c>
      <c r="K113">
        <f>COUNTIFS(GESTIONES!$A:$A, BASE_CUENTAS!$A113, GESTIONES!$B:$B, BASE_CUENTAS!$C113)</f>
        <v>3</v>
      </c>
      <c r="L113">
        <f>COUNTIFS(GESTIONES!$A:$A, BASE_CUENTAS!$A113,GESTIONES!$B:$B, BASE_CUENTAS!$C113,GESTIONES!$E:$E, "S")</f>
        <v>2</v>
      </c>
      <c r="M113">
        <f>COUNTIFS(GESTIONES!$A:$A, BASE_CUENTAS!$A113,GESTIONES!$B:$B, BASE_CUENTAS!$C113,GESTIONES!$E:$E, "N")</f>
        <v>1</v>
      </c>
      <c r="N113">
        <f>COUNTIFS(GESTIONES!$A:$A, BASE_CUENTAS!$A113,GESTIONES!$B:$B, BASE_CUENTAS!$C113,GESTIONES!$D:$D, "SMS")</f>
        <v>0</v>
      </c>
      <c r="O113">
        <f>SUMIFS(PAGOS!$D:$D,PAGOS!$A:$A, BASE_CUENTAS!$A113,PAGOS!$B:$B, BASE_CUENTAS!$C113)</f>
        <v>0</v>
      </c>
      <c r="P113" t="str">
        <f>IF(
VLOOKUP($C113,BASE_CIERRE_MES!$C:$G,5,FALSE)=0,
"Normalización",
IF(
VLOOKUP($C113,BASE_CIERRE_MES!$C:$G,5,FALSE)&lt;$H113,
"Recuperación",
IF(
VLOOKUP($C113,BASE_CIERRE_MES!$C:$G,5,FALSE)=$H113,
"Contención",
"Rodamiento"
)))</f>
        <v>Rodamiento</v>
      </c>
      <c r="Q113">
        <f t="shared" si="1"/>
        <v>0</v>
      </c>
    </row>
    <row r="114" spans="1:17" x14ac:dyDescent="0.25">
      <c r="A114">
        <v>8153448</v>
      </c>
      <c r="B114" t="s">
        <v>17</v>
      </c>
      <c r="C114">
        <v>26125116</v>
      </c>
      <c r="D114" t="s">
        <v>7</v>
      </c>
      <c r="E114">
        <v>12267114</v>
      </c>
      <c r="F114" s="2">
        <v>2972446</v>
      </c>
      <c r="G114" s="2">
        <v>969253</v>
      </c>
      <c r="H114">
        <v>90</v>
      </c>
      <c r="I114" s="1">
        <v>42511</v>
      </c>
      <c r="J114" t="s">
        <v>5</v>
      </c>
      <c r="K114">
        <f>COUNTIFS(GESTIONES!$A:$A, BASE_CUENTAS!$A114, GESTIONES!$B:$B, BASE_CUENTAS!$C114)</f>
        <v>3</v>
      </c>
      <c r="L114">
        <f>COUNTIFS(GESTIONES!$A:$A, BASE_CUENTAS!$A114,GESTIONES!$B:$B, BASE_CUENTAS!$C114,GESTIONES!$E:$E, "S")</f>
        <v>1</v>
      </c>
      <c r="M114">
        <f>COUNTIFS(GESTIONES!$A:$A, BASE_CUENTAS!$A114,GESTIONES!$B:$B, BASE_CUENTAS!$C114,GESTIONES!$E:$E, "N")</f>
        <v>2</v>
      </c>
      <c r="N114">
        <f>COUNTIFS(GESTIONES!$A:$A, BASE_CUENTAS!$A114,GESTIONES!$B:$B, BASE_CUENTAS!$C114,GESTIONES!$D:$D, "SMS")</f>
        <v>1</v>
      </c>
      <c r="O114">
        <f>SUMIFS(PAGOS!$D:$D,PAGOS!$A:$A, BASE_CUENTAS!$A114,PAGOS!$B:$B, BASE_CUENTAS!$C114)</f>
        <v>2972446</v>
      </c>
      <c r="P114" t="str">
        <f>IF(
VLOOKUP($C114,BASE_CIERRE_MES!$C:$G,5,FALSE)=0,
"Normalización",
IF(
VLOOKUP($C114,BASE_CIERRE_MES!$C:$G,5,FALSE)&lt;$H114,
"Recuperación",
IF(
VLOOKUP($C114,BASE_CIERRE_MES!$C:$G,5,FALSE)=$H114,
"Contención",
"Rodamiento"
)))</f>
        <v>Normalización</v>
      </c>
      <c r="Q114">
        <f t="shared" si="1"/>
        <v>1</v>
      </c>
    </row>
    <row r="115" spans="1:17" x14ac:dyDescent="0.25">
      <c r="A115">
        <v>8153448</v>
      </c>
      <c r="B115" t="s">
        <v>17</v>
      </c>
      <c r="C115">
        <v>26129875</v>
      </c>
      <c r="D115" t="s">
        <v>9</v>
      </c>
      <c r="E115">
        <v>12267114</v>
      </c>
      <c r="F115" s="2">
        <v>9294668</v>
      </c>
      <c r="G115" s="2">
        <v>1167353</v>
      </c>
      <c r="H115">
        <v>107</v>
      </c>
      <c r="I115" s="1">
        <v>42511</v>
      </c>
      <c r="J115" t="s">
        <v>5</v>
      </c>
      <c r="K115">
        <f>COUNTIFS(GESTIONES!$A:$A, BASE_CUENTAS!$A115, GESTIONES!$B:$B, BASE_CUENTAS!$C115)</f>
        <v>3</v>
      </c>
      <c r="L115">
        <f>COUNTIFS(GESTIONES!$A:$A, BASE_CUENTAS!$A115,GESTIONES!$B:$B, BASE_CUENTAS!$C115,GESTIONES!$E:$E, "S")</f>
        <v>0</v>
      </c>
      <c r="M115">
        <f>COUNTIFS(GESTIONES!$A:$A, BASE_CUENTAS!$A115,GESTIONES!$B:$B, BASE_CUENTAS!$C115,GESTIONES!$E:$E, "N")</f>
        <v>3</v>
      </c>
      <c r="N115">
        <f>COUNTIFS(GESTIONES!$A:$A, BASE_CUENTAS!$A115,GESTIONES!$B:$B, BASE_CUENTAS!$C115,GESTIONES!$D:$D, "SMS")</f>
        <v>1</v>
      </c>
      <c r="O115">
        <f>SUMIFS(PAGOS!$D:$D,PAGOS!$A:$A, BASE_CUENTAS!$A115,PAGOS!$B:$B, BASE_CUENTAS!$C115)</f>
        <v>389117</v>
      </c>
      <c r="P115" t="str">
        <f>IF(
VLOOKUP($C115,BASE_CIERRE_MES!$C:$G,5,FALSE)=0,
"Normalización",
IF(
VLOOKUP($C115,BASE_CIERRE_MES!$C:$G,5,FALSE)&lt;$H115,
"Recuperación",
IF(
VLOOKUP($C115,BASE_CIERRE_MES!$C:$G,5,FALSE)=$H115,
"Contención",
"Rodamiento"
)))</f>
        <v>Rodamiento</v>
      </c>
      <c r="Q115">
        <f t="shared" si="1"/>
        <v>4.1864539970658449E-2</v>
      </c>
    </row>
    <row r="116" spans="1:17" x14ac:dyDescent="0.25">
      <c r="A116">
        <v>8153540</v>
      </c>
      <c r="B116" t="s">
        <v>16</v>
      </c>
      <c r="C116">
        <v>25028738</v>
      </c>
      <c r="D116" t="s">
        <v>7</v>
      </c>
      <c r="E116">
        <v>14509525</v>
      </c>
      <c r="F116" s="2">
        <v>545213</v>
      </c>
      <c r="G116" s="2">
        <v>84309</v>
      </c>
      <c r="H116">
        <v>30</v>
      </c>
      <c r="I116" s="1">
        <v>42508</v>
      </c>
      <c r="J116" t="s">
        <v>6</v>
      </c>
      <c r="K116">
        <f>COUNTIFS(GESTIONES!$A:$A, BASE_CUENTAS!$A116, GESTIONES!$B:$B, BASE_CUENTAS!$C116)</f>
        <v>3</v>
      </c>
      <c r="L116">
        <f>COUNTIFS(GESTIONES!$A:$A, BASE_CUENTAS!$A116,GESTIONES!$B:$B, BASE_CUENTAS!$C116,GESTIONES!$E:$E, "S")</f>
        <v>1</v>
      </c>
      <c r="M116">
        <f>COUNTIFS(GESTIONES!$A:$A, BASE_CUENTAS!$A116,GESTIONES!$B:$B, BASE_CUENTAS!$C116,GESTIONES!$E:$E, "N")</f>
        <v>2</v>
      </c>
      <c r="N116">
        <f>COUNTIFS(GESTIONES!$A:$A, BASE_CUENTAS!$A116,GESTIONES!$B:$B, BASE_CUENTAS!$C116,GESTIONES!$D:$D, "SMS")</f>
        <v>1</v>
      </c>
      <c r="O116">
        <f>SUMIFS(PAGOS!$D:$D,PAGOS!$A:$A, BASE_CUENTAS!$A116,PAGOS!$B:$B, BASE_CUENTAS!$C116)</f>
        <v>545213</v>
      </c>
      <c r="P116" t="str">
        <f>IF(
VLOOKUP($C116,BASE_CIERRE_MES!$C:$G,5,FALSE)=0,
"Normalización",
IF(
VLOOKUP($C116,BASE_CIERRE_MES!$C:$G,5,FALSE)&lt;$H116,
"Recuperación",
IF(
VLOOKUP($C116,BASE_CIERRE_MES!$C:$G,5,FALSE)=$H116,
"Contención",
"Rodamiento"
)))</f>
        <v>Normalización</v>
      </c>
      <c r="Q116">
        <f t="shared" si="1"/>
        <v>1</v>
      </c>
    </row>
    <row r="117" spans="1:17" x14ac:dyDescent="0.25">
      <c r="A117">
        <v>8153540</v>
      </c>
      <c r="B117" t="s">
        <v>16</v>
      </c>
      <c r="C117">
        <v>26813496</v>
      </c>
      <c r="D117" t="s">
        <v>7</v>
      </c>
      <c r="E117">
        <v>14509525</v>
      </c>
      <c r="F117" s="2">
        <v>737987</v>
      </c>
      <c r="G117" s="2">
        <v>133769</v>
      </c>
      <c r="H117">
        <v>30</v>
      </c>
      <c r="I117" s="1">
        <v>42508</v>
      </c>
      <c r="J117" t="s">
        <v>6</v>
      </c>
      <c r="K117">
        <f>COUNTIFS(GESTIONES!$A:$A, BASE_CUENTAS!$A117, GESTIONES!$B:$B, BASE_CUENTAS!$C117)</f>
        <v>3</v>
      </c>
      <c r="L117">
        <f>COUNTIFS(GESTIONES!$A:$A, BASE_CUENTAS!$A117,GESTIONES!$B:$B, BASE_CUENTAS!$C117,GESTIONES!$E:$E, "S")</f>
        <v>1</v>
      </c>
      <c r="M117">
        <f>COUNTIFS(GESTIONES!$A:$A, BASE_CUENTAS!$A117,GESTIONES!$B:$B, BASE_CUENTAS!$C117,GESTIONES!$E:$E, "N")</f>
        <v>2</v>
      </c>
      <c r="N117">
        <f>COUNTIFS(GESTIONES!$A:$A, BASE_CUENTAS!$A117,GESTIONES!$B:$B, BASE_CUENTAS!$C117,GESTIONES!$D:$D, "SMS")</f>
        <v>1</v>
      </c>
      <c r="O117">
        <f>SUMIFS(PAGOS!$D:$D,PAGOS!$A:$A, BASE_CUENTAS!$A117,PAGOS!$B:$B, BASE_CUENTAS!$C117)</f>
        <v>66884</v>
      </c>
      <c r="P117" t="str">
        <f>IF(
VLOOKUP($C117,BASE_CIERRE_MES!$C:$G,5,FALSE)=0,
"Normalización",
IF(
VLOOKUP($C117,BASE_CIERRE_MES!$C:$G,5,FALSE)&lt;$H117,
"Recuperación",
IF(
VLOOKUP($C117,BASE_CIERRE_MES!$C:$G,5,FALSE)=$H117,
"Contención",
"Rodamiento"
)))</f>
        <v>Recuperación</v>
      </c>
      <c r="Q117">
        <f t="shared" si="1"/>
        <v>9.0630322756362916E-2</v>
      </c>
    </row>
    <row r="118" spans="1:17" x14ac:dyDescent="0.25">
      <c r="A118">
        <v>8153587</v>
      </c>
      <c r="B118" t="s">
        <v>18</v>
      </c>
      <c r="C118">
        <v>24000694</v>
      </c>
      <c r="D118" t="s">
        <v>7</v>
      </c>
      <c r="E118">
        <v>1407469</v>
      </c>
      <c r="F118" s="2">
        <v>728831</v>
      </c>
      <c r="G118" s="2">
        <v>147704</v>
      </c>
      <c r="H118">
        <v>30</v>
      </c>
      <c r="I118" s="1">
        <v>42521</v>
      </c>
      <c r="J118" t="s">
        <v>4</v>
      </c>
      <c r="K118">
        <f>COUNTIFS(GESTIONES!$A:$A, BASE_CUENTAS!$A118, GESTIONES!$B:$B, BASE_CUENTAS!$C118)</f>
        <v>3</v>
      </c>
      <c r="L118">
        <f>COUNTIFS(GESTIONES!$A:$A, BASE_CUENTAS!$A118,GESTIONES!$B:$B, BASE_CUENTAS!$C118,GESTIONES!$E:$E, "S")</f>
        <v>1</v>
      </c>
      <c r="M118">
        <f>COUNTIFS(GESTIONES!$A:$A, BASE_CUENTAS!$A118,GESTIONES!$B:$B, BASE_CUENTAS!$C118,GESTIONES!$E:$E, "N")</f>
        <v>2</v>
      </c>
      <c r="N118">
        <f>COUNTIFS(GESTIONES!$A:$A, BASE_CUENTAS!$A118,GESTIONES!$B:$B, BASE_CUENTAS!$C118,GESTIONES!$D:$D, "SMS")</f>
        <v>0</v>
      </c>
      <c r="O118">
        <f>SUMIFS(PAGOS!$D:$D,PAGOS!$A:$A, BASE_CUENTAS!$A118,PAGOS!$B:$B, BASE_CUENTAS!$C118)</f>
        <v>0</v>
      </c>
      <c r="P118" t="str">
        <f>IF(
VLOOKUP($C118,BASE_CIERRE_MES!$C:$G,5,FALSE)=0,
"Normalización",
IF(
VLOOKUP($C118,BASE_CIERRE_MES!$C:$G,5,FALSE)&lt;$H118,
"Recuperación",
IF(
VLOOKUP($C118,BASE_CIERRE_MES!$C:$G,5,FALSE)=$H118,
"Contención",
"Rodamiento"
)))</f>
        <v>Rodamiento</v>
      </c>
      <c r="Q118">
        <f t="shared" si="1"/>
        <v>0</v>
      </c>
    </row>
    <row r="119" spans="1:17" x14ac:dyDescent="0.25">
      <c r="A119">
        <v>8159247</v>
      </c>
      <c r="B119" t="s">
        <v>18</v>
      </c>
      <c r="C119">
        <v>24925294</v>
      </c>
      <c r="D119" t="s">
        <v>7</v>
      </c>
      <c r="E119">
        <v>995802</v>
      </c>
      <c r="F119" s="2">
        <v>493530</v>
      </c>
      <c r="G119" s="2">
        <v>493530</v>
      </c>
      <c r="H119">
        <v>90</v>
      </c>
      <c r="I119" s="1">
        <v>42508</v>
      </c>
      <c r="J119" t="s">
        <v>6</v>
      </c>
      <c r="K119">
        <f>COUNTIFS(GESTIONES!$A:$A, BASE_CUENTAS!$A119, GESTIONES!$B:$B, BASE_CUENTAS!$C119)</f>
        <v>3</v>
      </c>
      <c r="L119">
        <f>COUNTIFS(GESTIONES!$A:$A, BASE_CUENTAS!$A119,GESTIONES!$B:$B, BASE_CUENTAS!$C119,GESTIONES!$E:$E, "S")</f>
        <v>1</v>
      </c>
      <c r="M119">
        <f>COUNTIFS(GESTIONES!$A:$A, BASE_CUENTAS!$A119,GESTIONES!$B:$B, BASE_CUENTAS!$C119,GESTIONES!$E:$E, "N")</f>
        <v>2</v>
      </c>
      <c r="N119">
        <f>COUNTIFS(GESTIONES!$A:$A, BASE_CUENTAS!$A119,GESTIONES!$B:$B, BASE_CUENTAS!$C119,GESTIONES!$D:$D, "SMS")</f>
        <v>1</v>
      </c>
      <c r="O119">
        <f>SUMIFS(PAGOS!$D:$D,PAGOS!$A:$A, BASE_CUENTAS!$A119,PAGOS!$B:$B, BASE_CUENTAS!$C119)</f>
        <v>0</v>
      </c>
      <c r="P119" t="str">
        <f>IF(
VLOOKUP($C119,BASE_CIERRE_MES!$C:$G,5,FALSE)=0,
"Normalización",
IF(
VLOOKUP($C119,BASE_CIERRE_MES!$C:$G,5,FALSE)&lt;$H119,
"Recuperación",
IF(
VLOOKUP($C119,BASE_CIERRE_MES!$C:$G,5,FALSE)=$H119,
"Contención",
"Rodamiento"
)))</f>
        <v>Rodamiento</v>
      </c>
      <c r="Q119">
        <f t="shared" si="1"/>
        <v>0</v>
      </c>
    </row>
    <row r="120" spans="1:17" x14ac:dyDescent="0.25">
      <c r="A120">
        <v>8159247</v>
      </c>
      <c r="B120" t="s">
        <v>18</v>
      </c>
      <c r="C120">
        <v>24925514</v>
      </c>
      <c r="D120" t="s">
        <v>7</v>
      </c>
      <c r="E120">
        <v>995802</v>
      </c>
      <c r="F120" s="2">
        <v>502273</v>
      </c>
      <c r="G120" s="2">
        <v>502273</v>
      </c>
      <c r="H120">
        <v>90</v>
      </c>
      <c r="I120" s="1">
        <v>42508</v>
      </c>
      <c r="J120" t="s">
        <v>6</v>
      </c>
      <c r="K120">
        <f>COUNTIFS(GESTIONES!$A:$A, BASE_CUENTAS!$A120, GESTIONES!$B:$B, BASE_CUENTAS!$C120)</f>
        <v>3</v>
      </c>
      <c r="L120">
        <f>COUNTIFS(GESTIONES!$A:$A, BASE_CUENTAS!$A120,GESTIONES!$B:$B, BASE_CUENTAS!$C120,GESTIONES!$E:$E, "S")</f>
        <v>0</v>
      </c>
      <c r="M120">
        <f>COUNTIFS(GESTIONES!$A:$A, BASE_CUENTAS!$A120,GESTIONES!$B:$B, BASE_CUENTAS!$C120,GESTIONES!$E:$E, "N")</f>
        <v>3</v>
      </c>
      <c r="N120">
        <f>COUNTIFS(GESTIONES!$A:$A, BASE_CUENTAS!$A120,GESTIONES!$B:$B, BASE_CUENTAS!$C120,GESTIONES!$D:$D, "SMS")</f>
        <v>1</v>
      </c>
      <c r="O120">
        <f>SUMIFS(PAGOS!$D:$D,PAGOS!$A:$A, BASE_CUENTAS!$A120,PAGOS!$B:$B, BASE_CUENTAS!$C120)</f>
        <v>0</v>
      </c>
      <c r="P120" t="str">
        <f>IF(
VLOOKUP($C120,BASE_CIERRE_MES!$C:$G,5,FALSE)=0,
"Normalización",
IF(
VLOOKUP($C120,BASE_CIERRE_MES!$C:$G,5,FALSE)&lt;$H120,
"Recuperación",
IF(
VLOOKUP($C120,BASE_CIERRE_MES!$C:$G,5,FALSE)=$H120,
"Contención",
"Rodamiento"
)))</f>
        <v>Rodamiento</v>
      </c>
      <c r="Q120">
        <f t="shared" si="1"/>
        <v>0</v>
      </c>
    </row>
    <row r="121" spans="1:17" x14ac:dyDescent="0.25">
      <c r="A121">
        <v>8159304</v>
      </c>
      <c r="B121" t="s">
        <v>18</v>
      </c>
      <c r="C121">
        <v>25008009</v>
      </c>
      <c r="D121" t="s">
        <v>7</v>
      </c>
      <c r="E121">
        <v>897545</v>
      </c>
      <c r="F121" s="2">
        <v>897545</v>
      </c>
      <c r="G121" s="2">
        <v>132</v>
      </c>
      <c r="H121">
        <v>30</v>
      </c>
      <c r="I121" s="1">
        <v>42509</v>
      </c>
      <c r="J121" t="s">
        <v>6</v>
      </c>
      <c r="K121">
        <f>COUNTIFS(GESTIONES!$A:$A, BASE_CUENTAS!$A121, GESTIONES!$B:$B, BASE_CUENTAS!$C121)</f>
        <v>3</v>
      </c>
      <c r="L121">
        <f>COUNTIFS(GESTIONES!$A:$A, BASE_CUENTAS!$A121,GESTIONES!$B:$B, BASE_CUENTAS!$C121,GESTIONES!$E:$E, "S")</f>
        <v>1</v>
      </c>
      <c r="M121">
        <f>COUNTIFS(GESTIONES!$A:$A, BASE_CUENTAS!$A121,GESTIONES!$B:$B, BASE_CUENTAS!$C121,GESTIONES!$E:$E, "N")</f>
        <v>2</v>
      </c>
      <c r="N121">
        <f>COUNTIFS(GESTIONES!$A:$A, BASE_CUENTAS!$A121,GESTIONES!$B:$B, BASE_CUENTAS!$C121,GESTIONES!$D:$D, "SMS")</f>
        <v>1</v>
      </c>
      <c r="O121">
        <f>SUMIFS(PAGOS!$D:$D,PAGOS!$A:$A, BASE_CUENTAS!$A121,PAGOS!$B:$B, BASE_CUENTAS!$C121)</f>
        <v>66</v>
      </c>
      <c r="P121" t="str">
        <f>IF(
VLOOKUP($C121,BASE_CIERRE_MES!$C:$G,5,FALSE)=0,
"Normalización",
IF(
VLOOKUP($C121,BASE_CIERRE_MES!$C:$G,5,FALSE)&lt;$H121,
"Recuperación",
IF(
VLOOKUP($C121,BASE_CIERRE_MES!$C:$G,5,FALSE)=$H121,
"Contención",
"Rodamiento"
)))</f>
        <v>Recuperación</v>
      </c>
      <c r="Q121">
        <f t="shared" si="1"/>
        <v>7.3533917519455854E-5</v>
      </c>
    </row>
    <row r="122" spans="1:17" x14ac:dyDescent="0.25">
      <c r="A122">
        <v>8159820</v>
      </c>
      <c r="B122" t="s">
        <v>17</v>
      </c>
      <c r="C122">
        <v>22290865</v>
      </c>
      <c r="D122" t="s">
        <v>7</v>
      </c>
      <c r="E122">
        <v>8319888</v>
      </c>
      <c r="F122" s="2">
        <v>2253800</v>
      </c>
      <c r="G122" s="2">
        <v>495559</v>
      </c>
      <c r="H122">
        <v>90</v>
      </c>
      <c r="I122" s="1">
        <v>42508</v>
      </c>
      <c r="J122" t="s">
        <v>5</v>
      </c>
      <c r="K122">
        <f>COUNTIFS(GESTIONES!$A:$A, BASE_CUENTAS!$A122, GESTIONES!$B:$B, BASE_CUENTAS!$C122)</f>
        <v>3</v>
      </c>
      <c r="L122">
        <f>COUNTIFS(GESTIONES!$A:$A, BASE_CUENTAS!$A122,GESTIONES!$B:$B, BASE_CUENTAS!$C122,GESTIONES!$E:$E, "S")</f>
        <v>1</v>
      </c>
      <c r="M122">
        <f>COUNTIFS(GESTIONES!$A:$A, BASE_CUENTAS!$A122,GESTIONES!$B:$B, BASE_CUENTAS!$C122,GESTIONES!$E:$E, "N")</f>
        <v>2</v>
      </c>
      <c r="N122">
        <f>COUNTIFS(GESTIONES!$A:$A, BASE_CUENTAS!$A122,GESTIONES!$B:$B, BASE_CUENTAS!$C122,GESTIONES!$D:$D, "SMS")</f>
        <v>1</v>
      </c>
      <c r="O122">
        <f>SUMIFS(PAGOS!$D:$D,PAGOS!$A:$A, BASE_CUENTAS!$A122,PAGOS!$B:$B, BASE_CUENTAS!$C122)</f>
        <v>0</v>
      </c>
      <c r="P122" t="str">
        <f>IF(
VLOOKUP($C122,BASE_CIERRE_MES!$C:$G,5,FALSE)=0,
"Normalización",
IF(
VLOOKUP($C122,BASE_CIERRE_MES!$C:$G,5,FALSE)&lt;$H122,
"Recuperación",
IF(
VLOOKUP($C122,BASE_CIERRE_MES!$C:$G,5,FALSE)=$H122,
"Contención",
"Rodamiento"
)))</f>
        <v>Rodamiento</v>
      </c>
      <c r="Q122">
        <f t="shared" si="1"/>
        <v>0</v>
      </c>
    </row>
    <row r="123" spans="1:17" x14ac:dyDescent="0.25">
      <c r="A123">
        <v>8159820</v>
      </c>
      <c r="B123" t="s">
        <v>17</v>
      </c>
      <c r="C123">
        <v>22291304</v>
      </c>
      <c r="D123" t="s">
        <v>7</v>
      </c>
      <c r="E123">
        <v>8319888</v>
      </c>
      <c r="F123" s="2">
        <v>3189842</v>
      </c>
      <c r="G123" s="2">
        <v>621391</v>
      </c>
      <c r="H123">
        <v>90</v>
      </c>
      <c r="I123" s="1">
        <v>42508</v>
      </c>
      <c r="J123" t="s">
        <v>5</v>
      </c>
      <c r="K123">
        <f>COUNTIFS(GESTIONES!$A:$A, BASE_CUENTAS!$A123, GESTIONES!$B:$B, BASE_CUENTAS!$C123)</f>
        <v>3</v>
      </c>
      <c r="L123">
        <f>COUNTIFS(GESTIONES!$A:$A, BASE_CUENTAS!$A123,GESTIONES!$B:$B, BASE_CUENTAS!$C123,GESTIONES!$E:$E, "S")</f>
        <v>1</v>
      </c>
      <c r="M123">
        <f>COUNTIFS(GESTIONES!$A:$A, BASE_CUENTAS!$A123,GESTIONES!$B:$B, BASE_CUENTAS!$C123,GESTIONES!$E:$E, "N")</f>
        <v>2</v>
      </c>
      <c r="N123">
        <f>COUNTIFS(GESTIONES!$A:$A, BASE_CUENTAS!$A123,GESTIONES!$B:$B, BASE_CUENTAS!$C123,GESTIONES!$D:$D, "SMS")</f>
        <v>0</v>
      </c>
      <c r="O123">
        <f>SUMIFS(PAGOS!$D:$D,PAGOS!$A:$A, BASE_CUENTAS!$A123,PAGOS!$B:$B, BASE_CUENTAS!$C123)</f>
        <v>207131</v>
      </c>
      <c r="P123" t="str">
        <f>IF(
VLOOKUP($C123,BASE_CIERRE_MES!$C:$G,5,FALSE)=0,
"Normalización",
IF(
VLOOKUP($C123,BASE_CIERRE_MES!$C:$G,5,FALSE)&lt;$H123,
"Recuperación",
IF(
VLOOKUP($C123,BASE_CIERRE_MES!$C:$G,5,FALSE)=$H123,
"Contención",
"Rodamiento"
)))</f>
        <v>Contención</v>
      </c>
      <c r="Q123">
        <f t="shared" si="1"/>
        <v>6.4934564157096183E-2</v>
      </c>
    </row>
    <row r="124" spans="1:17" x14ac:dyDescent="0.25">
      <c r="A124">
        <v>8159820</v>
      </c>
      <c r="B124" t="s">
        <v>17</v>
      </c>
      <c r="C124">
        <v>24951061</v>
      </c>
      <c r="D124" t="s">
        <v>7</v>
      </c>
      <c r="E124">
        <v>8319888</v>
      </c>
      <c r="F124" s="2">
        <v>2876246</v>
      </c>
      <c r="G124" s="2">
        <v>2876246</v>
      </c>
      <c r="H124">
        <v>240</v>
      </c>
      <c r="I124" s="1">
        <v>42428</v>
      </c>
      <c r="J124" t="s">
        <v>5</v>
      </c>
      <c r="K124">
        <f>COUNTIFS(GESTIONES!$A:$A, BASE_CUENTAS!$A124, GESTIONES!$B:$B, BASE_CUENTAS!$C124)</f>
        <v>3</v>
      </c>
      <c r="L124">
        <f>COUNTIFS(GESTIONES!$A:$A, BASE_CUENTAS!$A124,GESTIONES!$B:$B, BASE_CUENTAS!$C124,GESTIONES!$E:$E, "S")</f>
        <v>1</v>
      </c>
      <c r="M124">
        <f>COUNTIFS(GESTIONES!$A:$A, BASE_CUENTAS!$A124,GESTIONES!$B:$B, BASE_CUENTAS!$C124,GESTIONES!$E:$E, "N")</f>
        <v>2</v>
      </c>
      <c r="N124">
        <f>COUNTIFS(GESTIONES!$A:$A, BASE_CUENTAS!$A124,GESTIONES!$B:$B, BASE_CUENTAS!$C124,GESTIONES!$D:$D, "SMS")</f>
        <v>1</v>
      </c>
      <c r="O124">
        <f>SUMIFS(PAGOS!$D:$D,PAGOS!$A:$A, BASE_CUENTAS!$A124,PAGOS!$B:$B, BASE_CUENTAS!$C124)</f>
        <v>2876246</v>
      </c>
      <c r="P124" t="str">
        <f>IF(
VLOOKUP($C124,BASE_CIERRE_MES!$C:$G,5,FALSE)=0,
"Normalización",
IF(
VLOOKUP($C124,BASE_CIERRE_MES!$C:$G,5,FALSE)&lt;$H124,
"Recuperación",
IF(
VLOOKUP($C124,BASE_CIERRE_MES!$C:$G,5,FALSE)=$H124,
"Contención",
"Rodamiento"
)))</f>
        <v>Normalización</v>
      </c>
      <c r="Q124">
        <f t="shared" si="1"/>
        <v>1</v>
      </c>
    </row>
    <row r="125" spans="1:17" x14ac:dyDescent="0.25">
      <c r="A125">
        <v>8160167</v>
      </c>
      <c r="B125" t="s">
        <v>18</v>
      </c>
      <c r="C125">
        <v>2861483</v>
      </c>
      <c r="D125" t="s">
        <v>7</v>
      </c>
      <c r="E125">
        <v>707139</v>
      </c>
      <c r="F125" s="2">
        <v>707139</v>
      </c>
      <c r="G125" s="2">
        <v>108136</v>
      </c>
      <c r="H125">
        <v>30</v>
      </c>
      <c r="I125" s="1">
        <v>42521</v>
      </c>
      <c r="J125" t="s">
        <v>4</v>
      </c>
      <c r="K125">
        <f>COUNTIFS(GESTIONES!$A:$A, BASE_CUENTAS!$A125, GESTIONES!$B:$B, BASE_CUENTAS!$C125)</f>
        <v>3</v>
      </c>
      <c r="L125">
        <f>COUNTIFS(GESTIONES!$A:$A, BASE_CUENTAS!$A125,GESTIONES!$B:$B, BASE_CUENTAS!$C125,GESTIONES!$E:$E, "S")</f>
        <v>0</v>
      </c>
      <c r="M125">
        <f>COUNTIFS(GESTIONES!$A:$A, BASE_CUENTAS!$A125,GESTIONES!$B:$B, BASE_CUENTAS!$C125,GESTIONES!$E:$E, "N")</f>
        <v>3</v>
      </c>
      <c r="N125">
        <f>COUNTIFS(GESTIONES!$A:$A, BASE_CUENTAS!$A125,GESTIONES!$B:$B, BASE_CUENTAS!$C125,GESTIONES!$D:$D, "SMS")</f>
        <v>1</v>
      </c>
      <c r="O125">
        <f>SUMIFS(PAGOS!$D:$D,PAGOS!$A:$A, BASE_CUENTAS!$A125,PAGOS!$B:$B, BASE_CUENTAS!$C125)</f>
        <v>108136</v>
      </c>
      <c r="P125" t="str">
        <f>IF(
VLOOKUP($C125,BASE_CIERRE_MES!$C:$G,5,FALSE)=0,
"Normalización",
IF(
VLOOKUP($C125,BASE_CIERRE_MES!$C:$G,5,FALSE)&lt;$H125,
"Recuperación",
IF(
VLOOKUP($C125,BASE_CIERRE_MES!$C:$G,5,FALSE)=$H125,
"Contención",
"Rodamiento"
)))</f>
        <v>Normalización</v>
      </c>
      <c r="Q125">
        <f t="shared" si="1"/>
        <v>0.1529204300710327</v>
      </c>
    </row>
    <row r="126" spans="1:17" x14ac:dyDescent="0.25">
      <c r="A126">
        <v>8160262</v>
      </c>
      <c r="B126" t="s">
        <v>18</v>
      </c>
      <c r="C126">
        <v>26180107</v>
      </c>
      <c r="D126" t="s">
        <v>7</v>
      </c>
      <c r="E126">
        <v>603239</v>
      </c>
      <c r="F126" s="2">
        <v>603239</v>
      </c>
      <c r="G126" s="2">
        <v>135668</v>
      </c>
      <c r="H126">
        <v>30</v>
      </c>
      <c r="I126" s="1">
        <v>42508</v>
      </c>
      <c r="J126" t="s">
        <v>6</v>
      </c>
      <c r="K126">
        <f>COUNTIFS(GESTIONES!$A:$A, BASE_CUENTAS!$A126, GESTIONES!$B:$B, BASE_CUENTAS!$C126)</f>
        <v>3</v>
      </c>
      <c r="L126">
        <f>COUNTIFS(GESTIONES!$A:$A, BASE_CUENTAS!$A126,GESTIONES!$B:$B, BASE_CUENTAS!$C126,GESTIONES!$E:$E, "S")</f>
        <v>1</v>
      </c>
      <c r="M126">
        <f>COUNTIFS(GESTIONES!$A:$A, BASE_CUENTAS!$A126,GESTIONES!$B:$B, BASE_CUENTAS!$C126,GESTIONES!$E:$E, "N")</f>
        <v>2</v>
      </c>
      <c r="N126">
        <f>COUNTIFS(GESTIONES!$A:$A, BASE_CUENTAS!$A126,GESTIONES!$B:$B, BASE_CUENTAS!$C126,GESTIONES!$D:$D, "SMS")</f>
        <v>1</v>
      </c>
      <c r="O126">
        <f>SUMIFS(PAGOS!$D:$D,PAGOS!$A:$A, BASE_CUENTAS!$A126,PAGOS!$B:$B, BASE_CUENTAS!$C126)</f>
        <v>135668</v>
      </c>
      <c r="P126" t="str">
        <f>IF(
VLOOKUP($C126,BASE_CIERRE_MES!$C:$G,5,FALSE)=0,
"Normalización",
IF(
VLOOKUP($C126,BASE_CIERRE_MES!$C:$G,5,FALSE)&lt;$H126,
"Recuperación",
IF(
VLOOKUP($C126,BASE_CIERRE_MES!$C:$G,5,FALSE)=$H126,
"Contención",
"Rodamiento"
)))</f>
        <v>Normalización</v>
      </c>
      <c r="Q126">
        <f t="shared" si="1"/>
        <v>0.22489925220352133</v>
      </c>
    </row>
    <row r="127" spans="1:17" x14ac:dyDescent="0.25">
      <c r="A127">
        <v>8160270</v>
      </c>
      <c r="B127" t="s">
        <v>18</v>
      </c>
      <c r="C127">
        <v>27760880</v>
      </c>
      <c r="D127" t="s">
        <v>7</v>
      </c>
      <c r="E127">
        <v>803940</v>
      </c>
      <c r="F127" s="2">
        <v>803940</v>
      </c>
      <c r="G127" s="2">
        <v>19433</v>
      </c>
      <c r="H127">
        <v>30</v>
      </c>
      <c r="I127" s="1">
        <v>42521</v>
      </c>
      <c r="J127" t="s">
        <v>4</v>
      </c>
      <c r="K127">
        <f>COUNTIFS(GESTIONES!$A:$A, BASE_CUENTAS!$A127, GESTIONES!$B:$B, BASE_CUENTAS!$C127)</f>
        <v>3</v>
      </c>
      <c r="L127">
        <f>COUNTIFS(GESTIONES!$A:$A, BASE_CUENTAS!$A127,GESTIONES!$B:$B, BASE_CUENTAS!$C127,GESTIONES!$E:$E, "S")</f>
        <v>1</v>
      </c>
      <c r="M127">
        <f>COUNTIFS(GESTIONES!$A:$A, BASE_CUENTAS!$A127,GESTIONES!$B:$B, BASE_CUENTAS!$C127,GESTIONES!$E:$E, "N")</f>
        <v>2</v>
      </c>
      <c r="N127">
        <f>COUNTIFS(GESTIONES!$A:$A, BASE_CUENTAS!$A127,GESTIONES!$B:$B, BASE_CUENTAS!$C127,GESTIONES!$D:$D, "SMS")</f>
        <v>1</v>
      </c>
      <c r="O127">
        <f>SUMIFS(PAGOS!$D:$D,PAGOS!$A:$A, BASE_CUENTAS!$A127,PAGOS!$B:$B, BASE_CUENTAS!$C127)</f>
        <v>9717</v>
      </c>
      <c r="P127" t="str">
        <f>IF(
VLOOKUP($C127,BASE_CIERRE_MES!$C:$G,5,FALSE)=0,
"Normalización",
IF(
VLOOKUP($C127,BASE_CIERRE_MES!$C:$G,5,FALSE)&lt;$H127,
"Recuperación",
IF(
VLOOKUP($C127,BASE_CIERRE_MES!$C:$G,5,FALSE)=$H127,
"Contención",
"Rodamiento"
)))</f>
        <v>Recuperación</v>
      </c>
      <c r="Q127">
        <f t="shared" si="1"/>
        <v>1.2086722889767892E-2</v>
      </c>
    </row>
    <row r="128" spans="1:17" x14ac:dyDescent="0.25">
      <c r="A128">
        <v>8160623</v>
      </c>
      <c r="B128" t="s">
        <v>17</v>
      </c>
      <c r="C128">
        <v>21313010</v>
      </c>
      <c r="D128" t="s">
        <v>9</v>
      </c>
      <c r="E128">
        <v>3283505</v>
      </c>
      <c r="F128" s="2">
        <v>2290843</v>
      </c>
      <c r="G128" s="2">
        <v>388958</v>
      </c>
      <c r="H128">
        <v>92</v>
      </c>
      <c r="I128" s="1">
        <v>42528</v>
      </c>
      <c r="J128" t="s">
        <v>5</v>
      </c>
      <c r="K128">
        <f>COUNTIFS(GESTIONES!$A:$A, BASE_CUENTAS!$A128, GESTIONES!$B:$B, BASE_CUENTAS!$C128)</f>
        <v>3</v>
      </c>
      <c r="L128">
        <f>COUNTIFS(GESTIONES!$A:$A, BASE_CUENTAS!$A128,GESTIONES!$B:$B, BASE_CUENTAS!$C128,GESTIONES!$E:$E, "S")</f>
        <v>1</v>
      </c>
      <c r="M128">
        <f>COUNTIFS(GESTIONES!$A:$A, BASE_CUENTAS!$A128,GESTIONES!$B:$B, BASE_CUENTAS!$C128,GESTIONES!$E:$E, "N")</f>
        <v>2</v>
      </c>
      <c r="N128">
        <f>COUNTIFS(GESTIONES!$A:$A, BASE_CUENTAS!$A128,GESTIONES!$B:$B, BASE_CUENTAS!$C128,GESTIONES!$D:$D, "SMS")</f>
        <v>0</v>
      </c>
      <c r="O128">
        <f>SUMIFS(PAGOS!$D:$D,PAGOS!$A:$A, BASE_CUENTAS!$A128,PAGOS!$B:$B, BASE_CUENTAS!$C128)</f>
        <v>2290843</v>
      </c>
      <c r="P128" t="str">
        <f>IF(
VLOOKUP($C128,BASE_CIERRE_MES!$C:$G,5,FALSE)=0,
"Normalización",
IF(
VLOOKUP($C128,BASE_CIERRE_MES!$C:$G,5,FALSE)&lt;$H128,
"Recuperación",
IF(
VLOOKUP($C128,BASE_CIERRE_MES!$C:$G,5,FALSE)=$H128,
"Contención",
"Rodamiento"
)))</f>
        <v>Normalización</v>
      </c>
      <c r="Q128">
        <f t="shared" si="1"/>
        <v>1</v>
      </c>
    </row>
    <row r="129" spans="1:17" x14ac:dyDescent="0.25">
      <c r="A129">
        <v>8160623</v>
      </c>
      <c r="B129" t="s">
        <v>17</v>
      </c>
      <c r="C129">
        <v>27645067</v>
      </c>
      <c r="D129" t="s">
        <v>7</v>
      </c>
      <c r="E129">
        <v>3283505</v>
      </c>
      <c r="F129" s="2">
        <v>992662</v>
      </c>
      <c r="G129" s="2">
        <v>496923</v>
      </c>
      <c r="H129">
        <v>90</v>
      </c>
      <c r="I129" s="1">
        <v>42528</v>
      </c>
      <c r="J129" t="s">
        <v>5</v>
      </c>
      <c r="K129">
        <f>COUNTIFS(GESTIONES!$A:$A, BASE_CUENTAS!$A129, GESTIONES!$B:$B, BASE_CUENTAS!$C129)</f>
        <v>3</v>
      </c>
      <c r="L129">
        <f>COUNTIFS(GESTIONES!$A:$A, BASE_CUENTAS!$A129,GESTIONES!$B:$B, BASE_CUENTAS!$C129,GESTIONES!$E:$E, "S")</f>
        <v>2</v>
      </c>
      <c r="M129">
        <f>COUNTIFS(GESTIONES!$A:$A, BASE_CUENTAS!$A129,GESTIONES!$B:$B, BASE_CUENTAS!$C129,GESTIONES!$E:$E, "N")</f>
        <v>1</v>
      </c>
      <c r="N129">
        <f>COUNTIFS(GESTIONES!$A:$A, BASE_CUENTAS!$A129,GESTIONES!$B:$B, BASE_CUENTAS!$C129,GESTIONES!$D:$D, "SMS")</f>
        <v>1</v>
      </c>
      <c r="O129">
        <f>SUMIFS(PAGOS!$D:$D,PAGOS!$A:$A, BASE_CUENTAS!$A129,PAGOS!$B:$B, BASE_CUENTAS!$C129)</f>
        <v>165641</v>
      </c>
      <c r="P129" t="str">
        <f>IF(
VLOOKUP($C129,BASE_CIERRE_MES!$C:$G,5,FALSE)=0,
"Normalización",
IF(
VLOOKUP($C129,BASE_CIERRE_MES!$C:$G,5,FALSE)&lt;$H129,
"Recuperación",
IF(
VLOOKUP($C129,BASE_CIERRE_MES!$C:$G,5,FALSE)=$H129,
"Contención",
"Rodamiento"
)))</f>
        <v>Contención</v>
      </c>
      <c r="Q129">
        <f t="shared" si="1"/>
        <v>0.16686545873620628</v>
      </c>
    </row>
    <row r="130" spans="1:17" x14ac:dyDescent="0.25">
      <c r="A130">
        <v>8160956</v>
      </c>
      <c r="B130" t="s">
        <v>17</v>
      </c>
      <c r="C130">
        <v>21942759</v>
      </c>
      <c r="D130" t="s">
        <v>7</v>
      </c>
      <c r="E130">
        <v>3650022</v>
      </c>
      <c r="F130" s="2">
        <v>1273964</v>
      </c>
      <c r="G130" s="2">
        <v>3429</v>
      </c>
      <c r="H130">
        <v>30</v>
      </c>
      <c r="I130" s="1">
        <v>42481</v>
      </c>
      <c r="J130" t="s">
        <v>6</v>
      </c>
      <c r="K130">
        <f>COUNTIFS(GESTIONES!$A:$A, BASE_CUENTAS!$A130, GESTIONES!$B:$B, BASE_CUENTAS!$C130)</f>
        <v>3</v>
      </c>
      <c r="L130">
        <f>COUNTIFS(GESTIONES!$A:$A, BASE_CUENTAS!$A130,GESTIONES!$B:$B, BASE_CUENTAS!$C130,GESTIONES!$E:$E, "S")</f>
        <v>1</v>
      </c>
      <c r="M130">
        <f>COUNTIFS(GESTIONES!$A:$A, BASE_CUENTAS!$A130,GESTIONES!$B:$B, BASE_CUENTAS!$C130,GESTIONES!$E:$E, "N")</f>
        <v>2</v>
      </c>
      <c r="N130">
        <f>COUNTIFS(GESTIONES!$A:$A, BASE_CUENTAS!$A130,GESTIONES!$B:$B, BASE_CUENTAS!$C130,GESTIONES!$D:$D, "SMS")</f>
        <v>0</v>
      </c>
      <c r="O130">
        <f>SUMIFS(PAGOS!$D:$D,PAGOS!$A:$A, BASE_CUENTAS!$A130,PAGOS!$B:$B, BASE_CUENTAS!$C130)</f>
        <v>3429</v>
      </c>
      <c r="P130" t="str">
        <f>IF(
VLOOKUP($C130,BASE_CIERRE_MES!$C:$G,5,FALSE)=0,
"Normalización",
IF(
VLOOKUP($C130,BASE_CIERRE_MES!$C:$G,5,FALSE)&lt;$H130,
"Recuperación",
IF(
VLOOKUP($C130,BASE_CIERRE_MES!$C:$G,5,FALSE)=$H130,
"Contención",
"Rodamiento"
)))</f>
        <v>Normalización</v>
      </c>
      <c r="Q130">
        <f t="shared" si="1"/>
        <v>2.6915988206888107E-3</v>
      </c>
    </row>
    <row r="131" spans="1:17" x14ac:dyDescent="0.25">
      <c r="A131">
        <v>8160956</v>
      </c>
      <c r="B131" t="s">
        <v>17</v>
      </c>
      <c r="C131">
        <v>21943359</v>
      </c>
      <c r="D131" t="s">
        <v>7</v>
      </c>
      <c r="E131">
        <v>3650022</v>
      </c>
      <c r="F131" s="2">
        <v>1144768</v>
      </c>
      <c r="G131" s="2">
        <v>3902</v>
      </c>
      <c r="H131">
        <v>30</v>
      </c>
      <c r="I131" s="1">
        <v>42487</v>
      </c>
      <c r="J131" t="s">
        <v>6</v>
      </c>
      <c r="K131">
        <f>COUNTIFS(GESTIONES!$A:$A, BASE_CUENTAS!$A131, GESTIONES!$B:$B, BASE_CUENTAS!$C131)</f>
        <v>3</v>
      </c>
      <c r="L131">
        <f>COUNTIFS(GESTIONES!$A:$A, BASE_CUENTAS!$A131,GESTIONES!$B:$B, BASE_CUENTAS!$C131,GESTIONES!$E:$E, "S")</f>
        <v>0</v>
      </c>
      <c r="M131">
        <f>COUNTIFS(GESTIONES!$A:$A, BASE_CUENTAS!$A131,GESTIONES!$B:$B, BASE_CUENTAS!$C131,GESTIONES!$E:$E, "N")</f>
        <v>3</v>
      </c>
      <c r="N131">
        <f>COUNTIFS(GESTIONES!$A:$A, BASE_CUENTAS!$A131,GESTIONES!$B:$B, BASE_CUENTAS!$C131,GESTIONES!$D:$D, "SMS")</f>
        <v>1</v>
      </c>
      <c r="O131">
        <f>SUMIFS(PAGOS!$D:$D,PAGOS!$A:$A, BASE_CUENTAS!$A131,PAGOS!$B:$B, BASE_CUENTAS!$C131)</f>
        <v>3902</v>
      </c>
      <c r="P131" t="str">
        <f>IF(
VLOOKUP($C131,BASE_CIERRE_MES!$C:$G,5,FALSE)=0,
"Normalización",
IF(
VLOOKUP($C131,BASE_CIERRE_MES!$C:$G,5,FALSE)&lt;$H131,
"Recuperación",
IF(
VLOOKUP($C131,BASE_CIERRE_MES!$C:$G,5,FALSE)=$H131,
"Contención",
"Rodamiento"
)))</f>
        <v>Normalización</v>
      </c>
      <c r="Q131">
        <f t="shared" ref="Q131:Q194" si="2">IF(F131=0,0,VALUE(O131)/VALUE(F131))</f>
        <v>3.4085509028903673E-3</v>
      </c>
    </row>
    <row r="132" spans="1:17" x14ac:dyDescent="0.25">
      <c r="A132">
        <v>8160956</v>
      </c>
      <c r="B132" t="s">
        <v>17</v>
      </c>
      <c r="C132">
        <v>21943838</v>
      </c>
      <c r="D132" t="s">
        <v>7</v>
      </c>
      <c r="E132">
        <v>3650022</v>
      </c>
      <c r="F132" s="2">
        <v>1231290</v>
      </c>
      <c r="G132" s="2">
        <v>3902</v>
      </c>
      <c r="H132">
        <v>30</v>
      </c>
      <c r="I132" s="1">
        <v>42480</v>
      </c>
      <c r="J132" t="s">
        <v>6</v>
      </c>
      <c r="K132">
        <f>COUNTIFS(GESTIONES!$A:$A, BASE_CUENTAS!$A132, GESTIONES!$B:$B, BASE_CUENTAS!$C132)</f>
        <v>3</v>
      </c>
      <c r="L132">
        <f>COUNTIFS(GESTIONES!$A:$A, BASE_CUENTAS!$A132,GESTIONES!$B:$B, BASE_CUENTAS!$C132,GESTIONES!$E:$E, "S")</f>
        <v>1</v>
      </c>
      <c r="M132">
        <f>COUNTIFS(GESTIONES!$A:$A, BASE_CUENTAS!$A132,GESTIONES!$B:$B, BASE_CUENTAS!$C132,GESTIONES!$E:$E, "N")</f>
        <v>2</v>
      </c>
      <c r="N132">
        <f>COUNTIFS(GESTIONES!$A:$A, BASE_CUENTAS!$A132,GESTIONES!$B:$B, BASE_CUENTAS!$C132,GESTIONES!$D:$D, "SMS")</f>
        <v>2</v>
      </c>
      <c r="O132">
        <f>SUMIFS(PAGOS!$D:$D,PAGOS!$A:$A, BASE_CUENTAS!$A132,PAGOS!$B:$B, BASE_CUENTAS!$C132)</f>
        <v>0</v>
      </c>
      <c r="P132" t="str">
        <f>IF(
VLOOKUP($C132,BASE_CIERRE_MES!$C:$G,5,FALSE)=0,
"Normalización",
IF(
VLOOKUP($C132,BASE_CIERRE_MES!$C:$G,5,FALSE)&lt;$H132,
"Recuperación",
IF(
VLOOKUP($C132,BASE_CIERRE_MES!$C:$G,5,FALSE)=$H132,
"Contención",
"Rodamiento"
)))</f>
        <v>Rodamiento</v>
      </c>
      <c r="Q132">
        <f t="shared" si="2"/>
        <v>0</v>
      </c>
    </row>
    <row r="133" spans="1:17" x14ac:dyDescent="0.25">
      <c r="A133">
        <v>8161759</v>
      </c>
      <c r="B133" t="s">
        <v>18</v>
      </c>
      <c r="C133">
        <v>24392059</v>
      </c>
      <c r="D133" t="s">
        <v>7</v>
      </c>
      <c r="E133">
        <v>1594542</v>
      </c>
      <c r="F133" s="2">
        <v>1594542</v>
      </c>
      <c r="G133" s="2">
        <v>135805</v>
      </c>
      <c r="H133">
        <v>30</v>
      </c>
      <c r="I133" s="1">
        <v>42521</v>
      </c>
      <c r="J133" t="s">
        <v>4</v>
      </c>
      <c r="K133">
        <f>COUNTIFS(GESTIONES!$A:$A, BASE_CUENTAS!$A133, GESTIONES!$B:$B, BASE_CUENTAS!$C133)</f>
        <v>3</v>
      </c>
      <c r="L133">
        <f>COUNTIFS(GESTIONES!$A:$A, BASE_CUENTAS!$A133,GESTIONES!$B:$B, BASE_CUENTAS!$C133,GESTIONES!$E:$E, "S")</f>
        <v>1</v>
      </c>
      <c r="M133">
        <f>COUNTIFS(GESTIONES!$A:$A, BASE_CUENTAS!$A133,GESTIONES!$B:$B, BASE_CUENTAS!$C133,GESTIONES!$E:$E, "N")</f>
        <v>2</v>
      </c>
      <c r="N133">
        <f>COUNTIFS(GESTIONES!$A:$A, BASE_CUENTAS!$A133,GESTIONES!$B:$B, BASE_CUENTAS!$C133,GESTIONES!$D:$D, "SMS")</f>
        <v>0</v>
      </c>
      <c r="O133">
        <f>SUMIFS(PAGOS!$D:$D,PAGOS!$A:$A, BASE_CUENTAS!$A133,PAGOS!$B:$B, BASE_CUENTAS!$C133)</f>
        <v>0</v>
      </c>
      <c r="P133" t="str">
        <f>IF(
VLOOKUP($C133,BASE_CIERRE_MES!$C:$G,5,FALSE)=0,
"Normalización",
IF(
VLOOKUP($C133,BASE_CIERRE_MES!$C:$G,5,FALSE)&lt;$H133,
"Recuperación",
IF(
VLOOKUP($C133,BASE_CIERRE_MES!$C:$G,5,FALSE)=$H133,
"Contención",
"Rodamiento"
)))</f>
        <v>Rodamiento</v>
      </c>
      <c r="Q133">
        <f t="shared" si="2"/>
        <v>0</v>
      </c>
    </row>
    <row r="134" spans="1:17" x14ac:dyDescent="0.25">
      <c r="A134">
        <v>8161857</v>
      </c>
      <c r="B134" t="s">
        <v>18</v>
      </c>
      <c r="C134">
        <v>28595455</v>
      </c>
      <c r="D134" t="s">
        <v>7</v>
      </c>
      <c r="E134">
        <v>1818144</v>
      </c>
      <c r="F134" s="2">
        <v>1818144</v>
      </c>
      <c r="G134" s="2">
        <v>74653</v>
      </c>
      <c r="H134">
        <v>30</v>
      </c>
      <c r="I134" s="1">
        <v>42524</v>
      </c>
      <c r="J134" t="s">
        <v>6</v>
      </c>
      <c r="K134">
        <f>COUNTIFS(GESTIONES!$A:$A, BASE_CUENTAS!$A134, GESTIONES!$B:$B, BASE_CUENTAS!$C134)</f>
        <v>3</v>
      </c>
      <c r="L134">
        <f>COUNTIFS(GESTIONES!$A:$A, BASE_CUENTAS!$A134,GESTIONES!$B:$B, BASE_CUENTAS!$C134,GESTIONES!$E:$E, "S")</f>
        <v>1</v>
      </c>
      <c r="M134">
        <f>COUNTIFS(GESTIONES!$A:$A, BASE_CUENTAS!$A134,GESTIONES!$B:$B, BASE_CUENTAS!$C134,GESTIONES!$E:$E, "N")</f>
        <v>2</v>
      </c>
      <c r="N134">
        <f>COUNTIFS(GESTIONES!$A:$A, BASE_CUENTAS!$A134,GESTIONES!$B:$B, BASE_CUENTAS!$C134,GESTIONES!$D:$D, "SMS")</f>
        <v>1</v>
      </c>
      <c r="O134">
        <f>SUMIFS(PAGOS!$D:$D,PAGOS!$A:$A, BASE_CUENTAS!$A134,PAGOS!$B:$B, BASE_CUENTAS!$C134)</f>
        <v>0</v>
      </c>
      <c r="P134" t="str">
        <f>IF(
VLOOKUP($C134,BASE_CIERRE_MES!$C:$G,5,FALSE)=0,
"Normalización",
IF(
VLOOKUP($C134,BASE_CIERRE_MES!$C:$G,5,FALSE)&lt;$H134,
"Recuperación",
IF(
VLOOKUP($C134,BASE_CIERRE_MES!$C:$G,5,FALSE)=$H134,
"Contención",
"Rodamiento"
)))</f>
        <v>Rodamiento</v>
      </c>
      <c r="Q134">
        <f t="shared" si="2"/>
        <v>0</v>
      </c>
    </row>
    <row r="135" spans="1:17" x14ac:dyDescent="0.25">
      <c r="A135">
        <v>8162090</v>
      </c>
      <c r="B135" t="s">
        <v>17</v>
      </c>
      <c r="C135">
        <v>12041523</v>
      </c>
      <c r="D135" t="s">
        <v>7</v>
      </c>
      <c r="E135">
        <v>7587364</v>
      </c>
      <c r="F135" s="2">
        <v>4680569</v>
      </c>
      <c r="G135" s="2">
        <v>291811</v>
      </c>
      <c r="H135">
        <v>30</v>
      </c>
      <c r="I135" s="1">
        <v>42508</v>
      </c>
      <c r="J135" t="s">
        <v>6</v>
      </c>
      <c r="K135">
        <f>COUNTIFS(GESTIONES!$A:$A, BASE_CUENTAS!$A135, GESTIONES!$B:$B, BASE_CUENTAS!$C135)</f>
        <v>3</v>
      </c>
      <c r="L135">
        <f>COUNTIFS(GESTIONES!$A:$A, BASE_CUENTAS!$A135,GESTIONES!$B:$B, BASE_CUENTAS!$C135,GESTIONES!$E:$E, "S")</f>
        <v>1</v>
      </c>
      <c r="M135">
        <f>COUNTIFS(GESTIONES!$A:$A, BASE_CUENTAS!$A135,GESTIONES!$B:$B, BASE_CUENTAS!$C135,GESTIONES!$E:$E, "N")</f>
        <v>2</v>
      </c>
      <c r="N135">
        <f>COUNTIFS(GESTIONES!$A:$A, BASE_CUENTAS!$A135,GESTIONES!$B:$B, BASE_CUENTAS!$C135,GESTIONES!$D:$D, "SMS")</f>
        <v>0</v>
      </c>
      <c r="O135">
        <f>SUMIFS(PAGOS!$D:$D,PAGOS!$A:$A, BASE_CUENTAS!$A135,PAGOS!$B:$B, BASE_CUENTAS!$C135)</f>
        <v>0</v>
      </c>
      <c r="P135" t="str">
        <f>IF(
VLOOKUP($C135,BASE_CIERRE_MES!$C:$G,5,FALSE)=0,
"Normalización",
IF(
VLOOKUP($C135,BASE_CIERRE_MES!$C:$G,5,FALSE)&lt;$H135,
"Recuperación",
IF(
VLOOKUP($C135,BASE_CIERRE_MES!$C:$G,5,FALSE)=$H135,
"Contención",
"Rodamiento"
)))</f>
        <v>Rodamiento</v>
      </c>
      <c r="Q135">
        <f t="shared" si="2"/>
        <v>0</v>
      </c>
    </row>
    <row r="136" spans="1:17" x14ac:dyDescent="0.25">
      <c r="A136">
        <v>8162090</v>
      </c>
      <c r="B136" t="s">
        <v>17</v>
      </c>
      <c r="C136">
        <v>20732916</v>
      </c>
      <c r="D136" t="s">
        <v>7</v>
      </c>
      <c r="E136">
        <v>7587364</v>
      </c>
      <c r="F136" s="2">
        <v>52554</v>
      </c>
      <c r="G136" s="2">
        <v>26360</v>
      </c>
      <c r="H136">
        <v>30</v>
      </c>
      <c r="I136" s="1">
        <v>42518</v>
      </c>
      <c r="J136" t="s">
        <v>6</v>
      </c>
      <c r="K136">
        <f>COUNTIFS(GESTIONES!$A:$A, BASE_CUENTAS!$A136, GESTIONES!$B:$B, BASE_CUENTAS!$C136)</f>
        <v>3</v>
      </c>
      <c r="L136">
        <f>COUNTIFS(GESTIONES!$A:$A, BASE_CUENTAS!$A136,GESTIONES!$B:$B, BASE_CUENTAS!$C136,GESTIONES!$E:$E, "S")</f>
        <v>0</v>
      </c>
      <c r="M136">
        <f>COUNTIFS(GESTIONES!$A:$A, BASE_CUENTAS!$A136,GESTIONES!$B:$B, BASE_CUENTAS!$C136,GESTIONES!$E:$E, "N")</f>
        <v>3</v>
      </c>
      <c r="N136">
        <f>COUNTIFS(GESTIONES!$A:$A, BASE_CUENTAS!$A136,GESTIONES!$B:$B, BASE_CUENTAS!$C136,GESTIONES!$D:$D, "SMS")</f>
        <v>1</v>
      </c>
      <c r="O136">
        <f>SUMIFS(PAGOS!$D:$D,PAGOS!$A:$A, BASE_CUENTAS!$A136,PAGOS!$B:$B, BASE_CUENTAS!$C136)</f>
        <v>0</v>
      </c>
      <c r="P136" t="str">
        <f>IF(
VLOOKUP($C136,BASE_CIERRE_MES!$C:$G,5,FALSE)=0,
"Normalización",
IF(
VLOOKUP($C136,BASE_CIERRE_MES!$C:$G,5,FALSE)&lt;$H136,
"Recuperación",
IF(
VLOOKUP($C136,BASE_CIERRE_MES!$C:$G,5,FALSE)=$H136,
"Contención",
"Rodamiento"
)))</f>
        <v>Rodamiento</v>
      </c>
      <c r="Q136">
        <f t="shared" si="2"/>
        <v>0</v>
      </c>
    </row>
    <row r="137" spans="1:17" x14ac:dyDescent="0.25">
      <c r="A137">
        <v>8162090</v>
      </c>
      <c r="B137" t="s">
        <v>17</v>
      </c>
      <c r="C137">
        <v>20736069</v>
      </c>
      <c r="D137" t="s">
        <v>7</v>
      </c>
      <c r="E137">
        <v>7587364</v>
      </c>
      <c r="F137" s="2">
        <v>2854242</v>
      </c>
      <c r="G137" s="2">
        <v>222018</v>
      </c>
      <c r="H137">
        <v>30</v>
      </c>
      <c r="I137" s="1">
        <v>42519</v>
      </c>
      <c r="J137" t="s">
        <v>6</v>
      </c>
      <c r="K137">
        <f>COUNTIFS(GESTIONES!$A:$A, BASE_CUENTAS!$A137, GESTIONES!$B:$B, BASE_CUENTAS!$C137)</f>
        <v>3</v>
      </c>
      <c r="L137">
        <f>COUNTIFS(GESTIONES!$A:$A, BASE_CUENTAS!$A137,GESTIONES!$B:$B, BASE_CUENTAS!$C137,GESTIONES!$E:$E, "S")</f>
        <v>1</v>
      </c>
      <c r="M137">
        <f>COUNTIFS(GESTIONES!$A:$A, BASE_CUENTAS!$A137,GESTIONES!$B:$B, BASE_CUENTAS!$C137,GESTIONES!$E:$E, "N")</f>
        <v>2</v>
      </c>
      <c r="N137">
        <f>COUNTIFS(GESTIONES!$A:$A, BASE_CUENTAS!$A137,GESTIONES!$B:$B, BASE_CUENTAS!$C137,GESTIONES!$D:$D, "SMS")</f>
        <v>2</v>
      </c>
      <c r="O137">
        <f>SUMIFS(PAGOS!$D:$D,PAGOS!$A:$A, BASE_CUENTAS!$A137,PAGOS!$B:$B, BASE_CUENTAS!$C137)</f>
        <v>74006</v>
      </c>
      <c r="P137" t="str">
        <f>IF(
VLOOKUP($C137,BASE_CIERRE_MES!$C:$G,5,FALSE)=0,
"Normalización",
IF(
VLOOKUP($C137,BASE_CIERRE_MES!$C:$G,5,FALSE)&lt;$H137,
"Recuperación",
IF(
VLOOKUP($C137,BASE_CIERRE_MES!$C:$G,5,FALSE)=$H137,
"Contención",
"Rodamiento"
)))</f>
        <v>Contención</v>
      </c>
      <c r="Q137">
        <f t="shared" si="2"/>
        <v>2.5928425130034523E-2</v>
      </c>
    </row>
    <row r="138" spans="1:17" x14ac:dyDescent="0.25">
      <c r="A138">
        <v>8162545</v>
      </c>
      <c r="B138" t="s">
        <v>17</v>
      </c>
      <c r="C138">
        <v>20841513</v>
      </c>
      <c r="D138" t="s">
        <v>11</v>
      </c>
      <c r="E138">
        <v>4789448</v>
      </c>
      <c r="F138" s="2">
        <v>1784835</v>
      </c>
      <c r="G138" s="2">
        <v>121322</v>
      </c>
      <c r="H138">
        <v>3</v>
      </c>
      <c r="I138" s="1">
        <v>42529</v>
      </c>
      <c r="J138" t="s">
        <v>4</v>
      </c>
      <c r="K138">
        <f>COUNTIFS(GESTIONES!$A:$A, BASE_CUENTAS!$A138, GESTIONES!$B:$B, BASE_CUENTAS!$C138)</f>
        <v>3</v>
      </c>
      <c r="L138">
        <f>COUNTIFS(GESTIONES!$A:$A, BASE_CUENTAS!$A138,GESTIONES!$B:$B, BASE_CUENTAS!$C138,GESTIONES!$E:$E, "S")</f>
        <v>1</v>
      </c>
      <c r="M138">
        <f>COUNTIFS(GESTIONES!$A:$A, BASE_CUENTAS!$A138,GESTIONES!$B:$B, BASE_CUENTAS!$C138,GESTIONES!$E:$E, "N")</f>
        <v>2</v>
      </c>
      <c r="N138">
        <f>COUNTIFS(GESTIONES!$A:$A, BASE_CUENTAS!$A138,GESTIONES!$B:$B, BASE_CUENTAS!$C138,GESTIONES!$D:$D, "SMS")</f>
        <v>0</v>
      </c>
      <c r="O138">
        <f>SUMIFS(PAGOS!$D:$D,PAGOS!$A:$A, BASE_CUENTAS!$A138,PAGOS!$B:$B, BASE_CUENTAS!$C138)</f>
        <v>0</v>
      </c>
      <c r="P138" t="str">
        <f>IF(
VLOOKUP($C138,BASE_CIERRE_MES!$C:$G,5,FALSE)=0,
"Normalización",
IF(
VLOOKUP($C138,BASE_CIERRE_MES!$C:$G,5,FALSE)&lt;$H138,
"Recuperación",
IF(
VLOOKUP($C138,BASE_CIERRE_MES!$C:$G,5,FALSE)=$H138,
"Contención",
"Rodamiento"
)))</f>
        <v>Rodamiento</v>
      </c>
      <c r="Q138">
        <f t="shared" si="2"/>
        <v>0</v>
      </c>
    </row>
    <row r="139" spans="1:17" x14ac:dyDescent="0.25">
      <c r="A139">
        <v>8162545</v>
      </c>
      <c r="B139" t="s">
        <v>17</v>
      </c>
      <c r="C139">
        <v>22625570</v>
      </c>
      <c r="D139" t="s">
        <v>7</v>
      </c>
      <c r="E139">
        <v>4789448</v>
      </c>
      <c r="F139" s="2">
        <v>3004613</v>
      </c>
      <c r="G139" s="2">
        <v>199087</v>
      </c>
      <c r="H139">
        <v>30</v>
      </c>
      <c r="I139" s="1">
        <v>42521</v>
      </c>
      <c r="J139" t="s">
        <v>4</v>
      </c>
      <c r="K139">
        <f>COUNTIFS(GESTIONES!$A:$A, BASE_CUENTAS!$A139, GESTIONES!$B:$B, BASE_CUENTAS!$C139)</f>
        <v>3</v>
      </c>
      <c r="L139">
        <f>COUNTIFS(GESTIONES!$A:$A, BASE_CUENTAS!$A139,GESTIONES!$B:$B, BASE_CUENTAS!$C139,GESTIONES!$E:$E, "S")</f>
        <v>1</v>
      </c>
      <c r="M139">
        <f>COUNTIFS(GESTIONES!$A:$A, BASE_CUENTAS!$A139,GESTIONES!$B:$B, BASE_CUENTAS!$C139,GESTIONES!$E:$E, "N")</f>
        <v>2</v>
      </c>
      <c r="N139">
        <f>COUNTIFS(GESTIONES!$A:$A, BASE_CUENTAS!$A139,GESTIONES!$B:$B, BASE_CUENTAS!$C139,GESTIONES!$D:$D, "SMS")</f>
        <v>1</v>
      </c>
      <c r="O139">
        <f>SUMIFS(PAGOS!$D:$D,PAGOS!$A:$A, BASE_CUENTAS!$A139,PAGOS!$B:$B, BASE_CUENTAS!$C139)</f>
        <v>0</v>
      </c>
      <c r="P139" t="str">
        <f>IF(
VLOOKUP($C139,BASE_CIERRE_MES!$C:$G,5,FALSE)=0,
"Normalización",
IF(
VLOOKUP($C139,BASE_CIERRE_MES!$C:$G,5,FALSE)&lt;$H139,
"Recuperación",
IF(
VLOOKUP($C139,BASE_CIERRE_MES!$C:$G,5,FALSE)=$H139,
"Contención",
"Rodamiento"
)))</f>
        <v>Rodamiento</v>
      </c>
      <c r="Q139">
        <f t="shared" si="2"/>
        <v>0</v>
      </c>
    </row>
    <row r="140" spans="1:17" x14ac:dyDescent="0.25">
      <c r="A140">
        <v>8162900</v>
      </c>
      <c r="B140" t="s">
        <v>17</v>
      </c>
      <c r="C140">
        <v>26490081</v>
      </c>
      <c r="D140" t="s">
        <v>7</v>
      </c>
      <c r="E140">
        <v>13614874</v>
      </c>
      <c r="F140" s="2">
        <v>195147</v>
      </c>
      <c r="G140" s="2">
        <v>66210</v>
      </c>
      <c r="H140">
        <v>60</v>
      </c>
      <c r="I140" s="1">
        <v>42491</v>
      </c>
      <c r="J140" t="s">
        <v>6</v>
      </c>
      <c r="K140">
        <f>COUNTIFS(GESTIONES!$A:$A, BASE_CUENTAS!$A140, GESTIONES!$B:$B, BASE_CUENTAS!$C140)</f>
        <v>3</v>
      </c>
      <c r="L140">
        <f>COUNTIFS(GESTIONES!$A:$A, BASE_CUENTAS!$A140,GESTIONES!$B:$B, BASE_CUENTAS!$C140,GESTIONES!$E:$E, "S")</f>
        <v>1</v>
      </c>
      <c r="M140">
        <f>COUNTIFS(GESTIONES!$A:$A, BASE_CUENTAS!$A140,GESTIONES!$B:$B, BASE_CUENTAS!$C140,GESTIONES!$E:$E, "N")</f>
        <v>2</v>
      </c>
      <c r="N140">
        <f>COUNTIFS(GESTIONES!$A:$A, BASE_CUENTAS!$A140,GESTIONES!$B:$B, BASE_CUENTAS!$C140,GESTIONES!$D:$D, "SMS")</f>
        <v>0</v>
      </c>
      <c r="O140">
        <f>SUMIFS(PAGOS!$D:$D,PAGOS!$A:$A, BASE_CUENTAS!$A140,PAGOS!$B:$B, BASE_CUENTAS!$C140)</f>
        <v>0</v>
      </c>
      <c r="P140" t="str">
        <f>IF(
VLOOKUP($C140,BASE_CIERRE_MES!$C:$G,5,FALSE)=0,
"Normalización",
IF(
VLOOKUP($C140,BASE_CIERRE_MES!$C:$G,5,FALSE)&lt;$H140,
"Recuperación",
IF(
VLOOKUP($C140,BASE_CIERRE_MES!$C:$G,5,FALSE)=$H140,
"Contención",
"Rodamiento"
)))</f>
        <v>Rodamiento</v>
      </c>
      <c r="Q140">
        <f t="shared" si="2"/>
        <v>0</v>
      </c>
    </row>
    <row r="141" spans="1:17" x14ac:dyDescent="0.25">
      <c r="A141">
        <v>8163083</v>
      </c>
      <c r="B141" t="s">
        <v>18</v>
      </c>
      <c r="C141">
        <v>26691394</v>
      </c>
      <c r="D141" t="s">
        <v>7</v>
      </c>
      <c r="E141">
        <v>1363259</v>
      </c>
      <c r="F141" s="2">
        <v>1363259</v>
      </c>
      <c r="G141" s="2">
        <v>185711</v>
      </c>
      <c r="H141">
        <v>30</v>
      </c>
      <c r="I141" s="1">
        <v>42508</v>
      </c>
      <c r="J141" t="s">
        <v>6</v>
      </c>
      <c r="K141">
        <f>COUNTIFS(GESTIONES!$A:$A, BASE_CUENTAS!$A141, GESTIONES!$B:$B, BASE_CUENTAS!$C141)</f>
        <v>3</v>
      </c>
      <c r="L141">
        <f>COUNTIFS(GESTIONES!$A:$A, BASE_CUENTAS!$A141,GESTIONES!$B:$B, BASE_CUENTAS!$C141,GESTIONES!$E:$E, "S")</f>
        <v>0</v>
      </c>
      <c r="M141">
        <f>COUNTIFS(GESTIONES!$A:$A, BASE_CUENTAS!$A141,GESTIONES!$B:$B, BASE_CUENTAS!$C141,GESTIONES!$E:$E, "N")</f>
        <v>3</v>
      </c>
      <c r="N141">
        <f>COUNTIFS(GESTIONES!$A:$A, BASE_CUENTAS!$A141,GESTIONES!$B:$B, BASE_CUENTAS!$C141,GESTIONES!$D:$D, "SMS")</f>
        <v>1</v>
      </c>
      <c r="O141">
        <f>SUMIFS(PAGOS!$D:$D,PAGOS!$A:$A, BASE_CUENTAS!$A141,PAGOS!$B:$B, BASE_CUENTAS!$C141)</f>
        <v>0</v>
      </c>
      <c r="P141" t="str">
        <f>IF(
VLOOKUP($C141,BASE_CIERRE_MES!$C:$G,5,FALSE)=0,
"Normalización",
IF(
VLOOKUP($C141,BASE_CIERRE_MES!$C:$G,5,FALSE)&lt;$H141,
"Recuperación",
IF(
VLOOKUP($C141,BASE_CIERRE_MES!$C:$G,5,FALSE)=$H141,
"Contención",
"Rodamiento"
)))</f>
        <v>Rodamiento</v>
      </c>
      <c r="Q141">
        <f t="shared" si="2"/>
        <v>0</v>
      </c>
    </row>
    <row r="142" spans="1:17" x14ac:dyDescent="0.25">
      <c r="A142">
        <v>8163089</v>
      </c>
      <c r="B142" t="s">
        <v>18</v>
      </c>
      <c r="C142">
        <v>23261406</v>
      </c>
      <c r="D142" t="s">
        <v>7</v>
      </c>
      <c r="E142">
        <v>173215</v>
      </c>
      <c r="F142" s="2">
        <v>173215</v>
      </c>
      <c r="G142" s="2">
        <v>173215</v>
      </c>
      <c r="H142">
        <v>150</v>
      </c>
      <c r="I142" s="1">
        <v>42508</v>
      </c>
      <c r="J142" t="s">
        <v>5</v>
      </c>
      <c r="K142">
        <f>COUNTIFS(GESTIONES!$A:$A, BASE_CUENTAS!$A142, GESTIONES!$B:$B, BASE_CUENTAS!$C142)</f>
        <v>3</v>
      </c>
      <c r="L142">
        <f>COUNTIFS(GESTIONES!$A:$A, BASE_CUENTAS!$A142,GESTIONES!$B:$B, BASE_CUENTAS!$C142,GESTIONES!$E:$E, "S")</f>
        <v>1</v>
      </c>
      <c r="M142">
        <f>COUNTIFS(GESTIONES!$A:$A, BASE_CUENTAS!$A142,GESTIONES!$B:$B, BASE_CUENTAS!$C142,GESTIONES!$E:$E, "N")</f>
        <v>2</v>
      </c>
      <c r="N142">
        <f>COUNTIFS(GESTIONES!$A:$A, BASE_CUENTAS!$A142,GESTIONES!$B:$B, BASE_CUENTAS!$C142,GESTIONES!$D:$D, "SMS")</f>
        <v>2</v>
      </c>
      <c r="O142">
        <f>SUMIFS(PAGOS!$D:$D,PAGOS!$A:$A, BASE_CUENTAS!$A142,PAGOS!$B:$B, BASE_CUENTAS!$C142)</f>
        <v>173215</v>
      </c>
      <c r="P142" t="str">
        <f>IF(
VLOOKUP($C142,BASE_CIERRE_MES!$C:$G,5,FALSE)=0,
"Normalización",
IF(
VLOOKUP($C142,BASE_CIERRE_MES!$C:$G,5,FALSE)&lt;$H142,
"Recuperación",
IF(
VLOOKUP($C142,BASE_CIERRE_MES!$C:$G,5,FALSE)=$H142,
"Contención",
"Rodamiento"
)))</f>
        <v>Normalización</v>
      </c>
      <c r="Q142">
        <f t="shared" si="2"/>
        <v>1</v>
      </c>
    </row>
    <row r="143" spans="1:17" x14ac:dyDescent="0.25">
      <c r="A143">
        <v>8163206</v>
      </c>
      <c r="B143" t="s">
        <v>18</v>
      </c>
      <c r="C143">
        <v>21051982</v>
      </c>
      <c r="D143" t="s">
        <v>7</v>
      </c>
      <c r="E143">
        <v>1887250</v>
      </c>
      <c r="F143" s="2">
        <v>1887250</v>
      </c>
      <c r="G143" s="2">
        <v>667225</v>
      </c>
      <c r="H143">
        <v>60</v>
      </c>
      <c r="I143" s="1">
        <v>42480</v>
      </c>
      <c r="J143" t="s">
        <v>6</v>
      </c>
      <c r="K143">
        <f>COUNTIFS(GESTIONES!$A:$A, BASE_CUENTAS!$A143, GESTIONES!$B:$B, BASE_CUENTAS!$C143)</f>
        <v>3</v>
      </c>
      <c r="L143">
        <f>COUNTIFS(GESTIONES!$A:$A, BASE_CUENTAS!$A143,GESTIONES!$B:$B, BASE_CUENTAS!$C143,GESTIONES!$E:$E, "S")</f>
        <v>1</v>
      </c>
      <c r="M143">
        <f>COUNTIFS(GESTIONES!$A:$A, BASE_CUENTAS!$A143,GESTIONES!$B:$B, BASE_CUENTAS!$C143,GESTIONES!$E:$E, "N")</f>
        <v>2</v>
      </c>
      <c r="N143">
        <f>COUNTIFS(GESTIONES!$A:$A, BASE_CUENTAS!$A143,GESTIONES!$B:$B, BASE_CUENTAS!$C143,GESTIONES!$D:$D, "SMS")</f>
        <v>0</v>
      </c>
      <c r="O143">
        <f>SUMIFS(PAGOS!$D:$D,PAGOS!$A:$A, BASE_CUENTAS!$A143,PAGOS!$B:$B, BASE_CUENTAS!$C143)</f>
        <v>0</v>
      </c>
      <c r="P143" t="str">
        <f>IF(
VLOOKUP($C143,BASE_CIERRE_MES!$C:$G,5,FALSE)=0,
"Normalización",
IF(
VLOOKUP($C143,BASE_CIERRE_MES!$C:$G,5,FALSE)&lt;$H143,
"Recuperación",
IF(
VLOOKUP($C143,BASE_CIERRE_MES!$C:$G,5,FALSE)=$H143,
"Contención",
"Rodamiento"
)))</f>
        <v>Rodamiento</v>
      </c>
      <c r="Q143">
        <f t="shared" si="2"/>
        <v>0</v>
      </c>
    </row>
    <row r="144" spans="1:17" x14ac:dyDescent="0.25">
      <c r="A144">
        <v>8163225</v>
      </c>
      <c r="B144" t="s">
        <v>17</v>
      </c>
      <c r="C144">
        <v>14785233</v>
      </c>
      <c r="D144" t="s">
        <v>7</v>
      </c>
      <c r="E144">
        <v>9848543</v>
      </c>
      <c r="F144" s="2">
        <v>3347684</v>
      </c>
      <c r="G144" s="2">
        <v>281931</v>
      </c>
      <c r="H144">
        <v>30</v>
      </c>
      <c r="I144" s="1">
        <v>42508</v>
      </c>
      <c r="J144" t="s">
        <v>6</v>
      </c>
      <c r="K144">
        <f>COUNTIFS(GESTIONES!$A:$A, BASE_CUENTAS!$A144, GESTIONES!$B:$B, BASE_CUENTAS!$C144)</f>
        <v>3</v>
      </c>
      <c r="L144">
        <f>COUNTIFS(GESTIONES!$A:$A, BASE_CUENTAS!$A144,GESTIONES!$B:$B, BASE_CUENTAS!$C144,GESTIONES!$E:$E, "S")</f>
        <v>1</v>
      </c>
      <c r="M144">
        <f>COUNTIFS(GESTIONES!$A:$A, BASE_CUENTAS!$A144,GESTIONES!$B:$B, BASE_CUENTAS!$C144,GESTIONES!$E:$E, "N")</f>
        <v>2</v>
      </c>
      <c r="N144">
        <f>COUNTIFS(GESTIONES!$A:$A, BASE_CUENTAS!$A144,GESTIONES!$B:$B, BASE_CUENTAS!$C144,GESTIONES!$D:$D, "SMS")</f>
        <v>1</v>
      </c>
      <c r="O144">
        <f>SUMIFS(PAGOS!$D:$D,PAGOS!$A:$A, BASE_CUENTAS!$A144,PAGOS!$B:$B, BASE_CUENTAS!$C144)</f>
        <v>140966</v>
      </c>
      <c r="P144" t="str">
        <f>IF(
VLOOKUP($C144,BASE_CIERRE_MES!$C:$G,5,FALSE)=0,
"Normalización",
IF(
VLOOKUP($C144,BASE_CIERRE_MES!$C:$G,5,FALSE)&lt;$H144,
"Recuperación",
IF(
VLOOKUP($C144,BASE_CIERRE_MES!$C:$G,5,FALSE)=$H144,
"Contención",
"Rodamiento"
)))</f>
        <v>Recuperación</v>
      </c>
      <c r="Q144">
        <f t="shared" si="2"/>
        <v>4.2108514423703072E-2</v>
      </c>
    </row>
    <row r="145" spans="1:17" x14ac:dyDescent="0.25">
      <c r="A145">
        <v>8163225</v>
      </c>
      <c r="B145" t="s">
        <v>17</v>
      </c>
      <c r="C145">
        <v>24997522</v>
      </c>
      <c r="D145" t="s">
        <v>7</v>
      </c>
      <c r="E145">
        <v>9848543</v>
      </c>
      <c r="F145" s="2">
        <v>2543713</v>
      </c>
      <c r="G145" s="2">
        <v>663683</v>
      </c>
      <c r="H145">
        <v>60</v>
      </c>
      <c r="I145" s="1">
        <v>42490</v>
      </c>
      <c r="J145" t="s">
        <v>6</v>
      </c>
      <c r="K145">
        <f>COUNTIFS(GESTIONES!$A:$A, BASE_CUENTAS!$A145, GESTIONES!$B:$B, BASE_CUENTAS!$C145)</f>
        <v>3</v>
      </c>
      <c r="L145">
        <f>COUNTIFS(GESTIONES!$A:$A, BASE_CUENTAS!$A145,GESTIONES!$B:$B, BASE_CUENTAS!$C145,GESTIONES!$E:$E, "S")</f>
        <v>2</v>
      </c>
      <c r="M145">
        <f>COUNTIFS(GESTIONES!$A:$A, BASE_CUENTAS!$A145,GESTIONES!$B:$B, BASE_CUENTAS!$C145,GESTIONES!$E:$E, "N")</f>
        <v>1</v>
      </c>
      <c r="N145">
        <f>COUNTIFS(GESTIONES!$A:$A, BASE_CUENTAS!$A145,GESTIONES!$B:$B, BASE_CUENTAS!$C145,GESTIONES!$D:$D, "SMS")</f>
        <v>0</v>
      </c>
      <c r="O145">
        <f>SUMIFS(PAGOS!$D:$D,PAGOS!$A:$A, BASE_CUENTAS!$A145,PAGOS!$B:$B, BASE_CUENTAS!$C145)</f>
        <v>663683</v>
      </c>
      <c r="P145" t="str">
        <f>IF(
VLOOKUP($C145,BASE_CIERRE_MES!$C:$G,5,FALSE)=0,
"Normalización",
IF(
VLOOKUP($C145,BASE_CIERRE_MES!$C:$G,5,FALSE)&lt;$H145,
"Recuperación",
IF(
VLOOKUP($C145,BASE_CIERRE_MES!$C:$G,5,FALSE)=$H145,
"Contención",
"Rodamiento"
)))</f>
        <v>Normalización</v>
      </c>
      <c r="Q145">
        <f t="shared" si="2"/>
        <v>0.2609111169381137</v>
      </c>
    </row>
    <row r="146" spans="1:17" x14ac:dyDescent="0.25">
      <c r="A146">
        <v>8163268</v>
      </c>
      <c r="B146" t="s">
        <v>18</v>
      </c>
      <c r="C146">
        <v>27339206</v>
      </c>
      <c r="D146" t="s">
        <v>7</v>
      </c>
      <c r="E146">
        <v>1697982</v>
      </c>
      <c r="F146" s="2">
        <v>1697982</v>
      </c>
      <c r="G146" s="2">
        <v>128466</v>
      </c>
      <c r="H146">
        <v>30</v>
      </c>
      <c r="I146" s="1">
        <v>42521</v>
      </c>
      <c r="J146" t="s">
        <v>4</v>
      </c>
      <c r="K146">
        <f>COUNTIFS(GESTIONES!$A:$A, BASE_CUENTAS!$A146, GESTIONES!$B:$B, BASE_CUENTAS!$C146)</f>
        <v>3</v>
      </c>
      <c r="L146">
        <f>COUNTIFS(GESTIONES!$A:$A, BASE_CUENTAS!$A146,GESTIONES!$B:$B, BASE_CUENTAS!$C146,GESTIONES!$E:$E, "S")</f>
        <v>1</v>
      </c>
      <c r="M146">
        <f>COUNTIFS(GESTIONES!$A:$A, BASE_CUENTAS!$A146,GESTIONES!$B:$B, BASE_CUENTAS!$C146,GESTIONES!$E:$E, "N")</f>
        <v>2</v>
      </c>
      <c r="N146">
        <f>COUNTIFS(GESTIONES!$A:$A, BASE_CUENTAS!$A146,GESTIONES!$B:$B, BASE_CUENTAS!$C146,GESTIONES!$D:$D, "SMS")</f>
        <v>0</v>
      </c>
      <c r="O146">
        <f>SUMIFS(PAGOS!$D:$D,PAGOS!$A:$A, BASE_CUENTAS!$A146,PAGOS!$B:$B, BASE_CUENTAS!$C146)</f>
        <v>128466</v>
      </c>
      <c r="P146" t="str">
        <f>IF(
VLOOKUP($C146,BASE_CIERRE_MES!$C:$G,5,FALSE)=0,
"Normalización",
IF(
VLOOKUP($C146,BASE_CIERRE_MES!$C:$G,5,FALSE)&lt;$H146,
"Recuperación",
IF(
VLOOKUP($C146,BASE_CIERRE_MES!$C:$G,5,FALSE)=$H146,
"Contención",
"Rodamiento"
)))</f>
        <v>Normalización</v>
      </c>
      <c r="Q146">
        <f t="shared" si="2"/>
        <v>7.5658045845008959E-2</v>
      </c>
    </row>
    <row r="147" spans="1:17" x14ac:dyDescent="0.25">
      <c r="A147">
        <v>8163501</v>
      </c>
      <c r="B147" t="s">
        <v>16</v>
      </c>
      <c r="C147">
        <v>21616089</v>
      </c>
      <c r="D147" t="s">
        <v>7</v>
      </c>
      <c r="E147">
        <v>16654937</v>
      </c>
      <c r="F147" s="2">
        <v>3638964</v>
      </c>
      <c r="G147" s="2">
        <v>307844</v>
      </c>
      <c r="H147">
        <v>30</v>
      </c>
      <c r="I147" s="1">
        <v>42508</v>
      </c>
      <c r="J147" t="s">
        <v>6</v>
      </c>
      <c r="K147">
        <f>COUNTIFS(GESTIONES!$A:$A, BASE_CUENTAS!$A147, GESTIONES!$B:$B, BASE_CUENTAS!$C147)</f>
        <v>3</v>
      </c>
      <c r="L147">
        <f>COUNTIFS(GESTIONES!$A:$A, BASE_CUENTAS!$A147,GESTIONES!$B:$B, BASE_CUENTAS!$C147,GESTIONES!$E:$E, "S")</f>
        <v>0</v>
      </c>
      <c r="M147">
        <f>COUNTIFS(GESTIONES!$A:$A, BASE_CUENTAS!$A147,GESTIONES!$B:$B, BASE_CUENTAS!$C147,GESTIONES!$E:$E, "N")</f>
        <v>3</v>
      </c>
      <c r="N147">
        <f>COUNTIFS(GESTIONES!$A:$A, BASE_CUENTAS!$A147,GESTIONES!$B:$B, BASE_CUENTAS!$C147,GESTIONES!$D:$D, "SMS")</f>
        <v>2</v>
      </c>
      <c r="O147">
        <f>SUMIFS(PAGOS!$D:$D,PAGOS!$A:$A, BASE_CUENTAS!$A147,PAGOS!$B:$B, BASE_CUENTAS!$C147)</f>
        <v>0</v>
      </c>
      <c r="P147" t="str">
        <f>IF(
VLOOKUP($C147,BASE_CIERRE_MES!$C:$G,5,FALSE)=0,
"Normalización",
IF(
VLOOKUP($C147,BASE_CIERRE_MES!$C:$G,5,FALSE)&lt;$H147,
"Recuperación",
IF(
VLOOKUP($C147,BASE_CIERRE_MES!$C:$G,5,FALSE)=$H147,
"Contención",
"Rodamiento"
)))</f>
        <v>Rodamiento</v>
      </c>
      <c r="Q147">
        <f t="shared" si="2"/>
        <v>0</v>
      </c>
    </row>
    <row r="148" spans="1:17" x14ac:dyDescent="0.25">
      <c r="A148">
        <v>8163501</v>
      </c>
      <c r="B148" t="s">
        <v>16</v>
      </c>
      <c r="C148">
        <v>21618226</v>
      </c>
      <c r="D148" t="s">
        <v>7</v>
      </c>
      <c r="E148">
        <v>16654937</v>
      </c>
      <c r="F148" s="2">
        <v>3654564</v>
      </c>
      <c r="G148" s="2">
        <v>306548</v>
      </c>
      <c r="H148">
        <v>30</v>
      </c>
      <c r="I148" s="1">
        <v>42509</v>
      </c>
      <c r="J148" t="s">
        <v>6</v>
      </c>
      <c r="K148">
        <f>COUNTIFS(GESTIONES!$A:$A, BASE_CUENTAS!$A148, GESTIONES!$B:$B, BASE_CUENTAS!$C148)</f>
        <v>3</v>
      </c>
      <c r="L148">
        <f>COUNTIFS(GESTIONES!$A:$A, BASE_CUENTAS!$A148,GESTIONES!$B:$B, BASE_CUENTAS!$C148,GESTIONES!$E:$E, "S")</f>
        <v>1</v>
      </c>
      <c r="M148">
        <f>COUNTIFS(GESTIONES!$A:$A, BASE_CUENTAS!$A148,GESTIONES!$B:$B, BASE_CUENTAS!$C148,GESTIONES!$E:$E, "N")</f>
        <v>2</v>
      </c>
      <c r="N148">
        <f>COUNTIFS(GESTIONES!$A:$A, BASE_CUENTAS!$A148,GESTIONES!$B:$B, BASE_CUENTAS!$C148,GESTIONES!$D:$D, "SMS")</f>
        <v>1</v>
      </c>
      <c r="O148">
        <f>SUMIFS(PAGOS!$D:$D,PAGOS!$A:$A, BASE_CUENTAS!$A148,PAGOS!$B:$B, BASE_CUENTAS!$C148)</f>
        <v>306548</v>
      </c>
      <c r="P148" t="str">
        <f>IF(
VLOOKUP($C148,BASE_CIERRE_MES!$C:$G,5,FALSE)=0,
"Normalización",
IF(
VLOOKUP($C148,BASE_CIERRE_MES!$C:$G,5,FALSE)&lt;$H148,
"Recuperación",
IF(
VLOOKUP($C148,BASE_CIERRE_MES!$C:$G,5,FALSE)=$H148,
"Contención",
"Rodamiento"
)))</f>
        <v>Normalización</v>
      </c>
      <c r="Q148">
        <f t="shared" si="2"/>
        <v>8.3880867868232706E-2</v>
      </c>
    </row>
    <row r="149" spans="1:17" x14ac:dyDescent="0.25">
      <c r="A149">
        <v>8163501</v>
      </c>
      <c r="B149" t="s">
        <v>16</v>
      </c>
      <c r="C149">
        <v>21621233</v>
      </c>
      <c r="D149" t="s">
        <v>7</v>
      </c>
      <c r="E149">
        <v>16654937</v>
      </c>
      <c r="F149" s="2">
        <v>5630941</v>
      </c>
      <c r="G149" s="2">
        <v>495485</v>
      </c>
      <c r="H149">
        <v>30</v>
      </c>
      <c r="I149" s="1">
        <v>42508</v>
      </c>
      <c r="J149" t="s">
        <v>6</v>
      </c>
      <c r="K149">
        <f>COUNTIFS(GESTIONES!$A:$A, BASE_CUENTAS!$A149, GESTIONES!$B:$B, BASE_CUENTAS!$C149)</f>
        <v>3</v>
      </c>
      <c r="L149">
        <f>COUNTIFS(GESTIONES!$A:$A, BASE_CUENTAS!$A149,GESTIONES!$B:$B, BASE_CUENTAS!$C149,GESTIONES!$E:$E, "S")</f>
        <v>1</v>
      </c>
      <c r="M149">
        <f>COUNTIFS(GESTIONES!$A:$A, BASE_CUENTAS!$A149,GESTIONES!$B:$B, BASE_CUENTAS!$C149,GESTIONES!$E:$E, "N")</f>
        <v>2</v>
      </c>
      <c r="N149">
        <f>COUNTIFS(GESTIONES!$A:$A, BASE_CUENTAS!$A149,GESTIONES!$B:$B, BASE_CUENTAS!$C149,GESTIONES!$D:$D, "SMS")</f>
        <v>1</v>
      </c>
      <c r="O149">
        <f>SUMIFS(PAGOS!$D:$D,PAGOS!$A:$A, BASE_CUENTAS!$A149,PAGOS!$B:$B, BASE_CUENTAS!$C149)</f>
        <v>0</v>
      </c>
      <c r="P149" t="str">
        <f>IF(
VLOOKUP($C149,BASE_CIERRE_MES!$C:$G,5,FALSE)=0,
"Normalización",
IF(
VLOOKUP($C149,BASE_CIERRE_MES!$C:$G,5,FALSE)&lt;$H149,
"Recuperación",
IF(
VLOOKUP($C149,BASE_CIERRE_MES!$C:$G,5,FALSE)=$H149,
"Contención",
"Rodamiento"
)))</f>
        <v>Rodamiento</v>
      </c>
      <c r="Q149">
        <f t="shared" si="2"/>
        <v>0</v>
      </c>
    </row>
    <row r="150" spans="1:17" x14ac:dyDescent="0.25">
      <c r="A150">
        <v>8163501</v>
      </c>
      <c r="B150" t="s">
        <v>16</v>
      </c>
      <c r="C150">
        <v>24110082</v>
      </c>
      <c r="D150" t="s">
        <v>9</v>
      </c>
      <c r="E150">
        <v>16654937</v>
      </c>
      <c r="F150" s="2">
        <v>3730468</v>
      </c>
      <c r="G150" s="2">
        <v>181423</v>
      </c>
      <c r="H150">
        <v>27</v>
      </c>
      <c r="I150" s="1">
        <v>42508</v>
      </c>
      <c r="J150" t="s">
        <v>6</v>
      </c>
      <c r="K150">
        <f>COUNTIFS(GESTIONES!$A:$A, BASE_CUENTAS!$A150, GESTIONES!$B:$B, BASE_CUENTAS!$C150)</f>
        <v>3</v>
      </c>
      <c r="L150">
        <f>COUNTIFS(GESTIONES!$A:$A, BASE_CUENTAS!$A150,GESTIONES!$B:$B, BASE_CUENTAS!$C150,GESTIONES!$E:$E, "S")</f>
        <v>1</v>
      </c>
      <c r="M150">
        <f>COUNTIFS(GESTIONES!$A:$A, BASE_CUENTAS!$A150,GESTIONES!$B:$B, BASE_CUENTAS!$C150,GESTIONES!$E:$E, "N")</f>
        <v>2</v>
      </c>
      <c r="N150">
        <f>COUNTIFS(GESTIONES!$A:$A, BASE_CUENTAS!$A150,GESTIONES!$B:$B, BASE_CUENTAS!$C150,GESTIONES!$D:$D, "SMS")</f>
        <v>0</v>
      </c>
      <c r="O150">
        <f>SUMIFS(PAGOS!$D:$D,PAGOS!$A:$A, BASE_CUENTAS!$A150,PAGOS!$B:$B, BASE_CUENTAS!$C150)</f>
        <v>181423</v>
      </c>
      <c r="P150" t="str">
        <f>IF(
VLOOKUP($C150,BASE_CIERRE_MES!$C:$G,5,FALSE)=0,
"Normalización",
IF(
VLOOKUP($C150,BASE_CIERRE_MES!$C:$G,5,FALSE)&lt;$H150,
"Recuperación",
IF(
VLOOKUP($C150,BASE_CIERRE_MES!$C:$G,5,FALSE)=$H150,
"Contención",
"Rodamiento"
)))</f>
        <v>Normalización</v>
      </c>
      <c r="Q150">
        <f t="shared" si="2"/>
        <v>4.8632772081143708E-2</v>
      </c>
    </row>
    <row r="151" spans="1:17" x14ac:dyDescent="0.25">
      <c r="A151">
        <v>8163541</v>
      </c>
      <c r="B151" t="s">
        <v>18</v>
      </c>
      <c r="C151">
        <v>24920834</v>
      </c>
      <c r="D151" t="s">
        <v>7</v>
      </c>
      <c r="E151">
        <v>809042</v>
      </c>
      <c r="F151" s="2">
        <v>809042</v>
      </c>
      <c r="G151" s="2">
        <v>28822</v>
      </c>
      <c r="H151">
        <v>30</v>
      </c>
      <c r="I151" s="1">
        <v>42521</v>
      </c>
      <c r="J151" t="s">
        <v>4</v>
      </c>
      <c r="K151">
        <f>COUNTIFS(GESTIONES!$A:$A, BASE_CUENTAS!$A151, GESTIONES!$B:$B, BASE_CUENTAS!$C151)</f>
        <v>3</v>
      </c>
      <c r="L151">
        <f>COUNTIFS(GESTIONES!$A:$A, BASE_CUENTAS!$A151,GESTIONES!$B:$B, BASE_CUENTAS!$C151,GESTIONES!$E:$E, "S")</f>
        <v>1</v>
      </c>
      <c r="M151">
        <f>COUNTIFS(GESTIONES!$A:$A, BASE_CUENTAS!$A151,GESTIONES!$B:$B, BASE_CUENTAS!$C151,GESTIONES!$E:$E, "N")</f>
        <v>2</v>
      </c>
      <c r="N151">
        <f>COUNTIFS(GESTIONES!$A:$A, BASE_CUENTAS!$A151,GESTIONES!$B:$B, BASE_CUENTAS!$C151,GESTIONES!$D:$D, "SMS")</f>
        <v>0</v>
      </c>
      <c r="O151">
        <f>SUMIFS(PAGOS!$D:$D,PAGOS!$A:$A, BASE_CUENTAS!$A151,PAGOS!$B:$B, BASE_CUENTAS!$C151)</f>
        <v>809042</v>
      </c>
      <c r="P151" t="str">
        <f>IF(
VLOOKUP($C151,BASE_CIERRE_MES!$C:$G,5,FALSE)=0,
"Normalización",
IF(
VLOOKUP($C151,BASE_CIERRE_MES!$C:$G,5,FALSE)&lt;$H151,
"Recuperación",
IF(
VLOOKUP($C151,BASE_CIERRE_MES!$C:$G,5,FALSE)=$H151,
"Contención",
"Rodamiento"
)))</f>
        <v>Normalización</v>
      </c>
      <c r="Q151">
        <f t="shared" si="2"/>
        <v>1</v>
      </c>
    </row>
    <row r="152" spans="1:17" x14ac:dyDescent="0.25">
      <c r="A152">
        <v>8163778</v>
      </c>
      <c r="B152" t="s">
        <v>18</v>
      </c>
      <c r="C152">
        <v>27381420</v>
      </c>
      <c r="D152" t="s">
        <v>7</v>
      </c>
      <c r="E152">
        <v>1205746</v>
      </c>
      <c r="F152" s="2">
        <v>1205746</v>
      </c>
      <c r="G152" s="2">
        <v>178639</v>
      </c>
      <c r="H152">
        <v>30</v>
      </c>
      <c r="I152" s="1">
        <v>42521</v>
      </c>
      <c r="J152" t="s">
        <v>4</v>
      </c>
      <c r="K152">
        <f>COUNTIFS(GESTIONES!$A:$A, BASE_CUENTAS!$A152, GESTIONES!$B:$B, BASE_CUENTAS!$C152)</f>
        <v>3</v>
      </c>
      <c r="L152">
        <f>COUNTIFS(GESTIONES!$A:$A, BASE_CUENTAS!$A152,GESTIONES!$B:$B, BASE_CUENTAS!$C152,GESTIONES!$E:$E, "S")</f>
        <v>0</v>
      </c>
      <c r="M152">
        <f>COUNTIFS(GESTIONES!$A:$A, BASE_CUENTAS!$A152,GESTIONES!$B:$B, BASE_CUENTAS!$C152,GESTIONES!$E:$E, "N")</f>
        <v>3</v>
      </c>
      <c r="N152">
        <f>COUNTIFS(GESTIONES!$A:$A, BASE_CUENTAS!$A152,GESTIONES!$B:$B, BASE_CUENTAS!$C152,GESTIONES!$D:$D, "SMS")</f>
        <v>2</v>
      </c>
      <c r="O152">
        <f>SUMIFS(PAGOS!$D:$D,PAGOS!$A:$A, BASE_CUENTAS!$A152,PAGOS!$B:$B, BASE_CUENTAS!$C152)</f>
        <v>59546</v>
      </c>
      <c r="P152" t="str">
        <f>IF(
VLOOKUP($C152,BASE_CIERRE_MES!$C:$G,5,FALSE)=0,
"Normalización",
IF(
VLOOKUP($C152,BASE_CIERRE_MES!$C:$G,5,FALSE)&lt;$H152,
"Recuperación",
IF(
VLOOKUP($C152,BASE_CIERRE_MES!$C:$G,5,FALSE)=$H152,
"Contención",
"Rodamiento"
)))</f>
        <v>Contención</v>
      </c>
      <c r="Q152">
        <f t="shared" si="2"/>
        <v>4.9385193896558648E-2</v>
      </c>
    </row>
    <row r="153" spans="1:17" x14ac:dyDescent="0.25">
      <c r="A153">
        <v>8163809</v>
      </c>
      <c r="B153" t="s">
        <v>18</v>
      </c>
      <c r="C153">
        <v>26370927</v>
      </c>
      <c r="D153" t="s">
        <v>7</v>
      </c>
      <c r="E153">
        <v>2843356</v>
      </c>
      <c r="F153" s="2">
        <v>2843356</v>
      </c>
      <c r="G153" s="2">
        <v>2843356</v>
      </c>
      <c r="H153">
        <v>150</v>
      </c>
      <c r="I153" s="1">
        <v>42519</v>
      </c>
      <c r="J153" t="s">
        <v>5</v>
      </c>
      <c r="K153">
        <f>COUNTIFS(GESTIONES!$A:$A, BASE_CUENTAS!$A153, GESTIONES!$B:$B, BASE_CUENTAS!$C153)</f>
        <v>3</v>
      </c>
      <c r="L153">
        <f>COUNTIFS(GESTIONES!$A:$A, BASE_CUENTAS!$A153,GESTIONES!$B:$B, BASE_CUENTAS!$C153,GESTIONES!$E:$E, "S")</f>
        <v>1</v>
      </c>
      <c r="M153">
        <f>COUNTIFS(GESTIONES!$A:$A, BASE_CUENTAS!$A153,GESTIONES!$B:$B, BASE_CUENTAS!$C153,GESTIONES!$E:$E, "N")</f>
        <v>2</v>
      </c>
      <c r="N153">
        <f>COUNTIFS(GESTIONES!$A:$A, BASE_CUENTAS!$A153,GESTIONES!$B:$B, BASE_CUENTAS!$C153,GESTIONES!$D:$D, "SMS")</f>
        <v>1</v>
      </c>
      <c r="O153">
        <f>SUMIFS(PAGOS!$D:$D,PAGOS!$A:$A, BASE_CUENTAS!$A153,PAGOS!$B:$B, BASE_CUENTAS!$C153)</f>
        <v>0</v>
      </c>
      <c r="P153" t="str">
        <f>IF(
VLOOKUP($C153,BASE_CIERRE_MES!$C:$G,5,FALSE)=0,
"Normalización",
IF(
VLOOKUP($C153,BASE_CIERRE_MES!$C:$G,5,FALSE)&lt;$H153,
"Recuperación",
IF(
VLOOKUP($C153,BASE_CIERRE_MES!$C:$G,5,FALSE)=$H153,
"Contención",
"Rodamiento"
)))</f>
        <v>Rodamiento</v>
      </c>
      <c r="Q153">
        <f t="shared" si="2"/>
        <v>0</v>
      </c>
    </row>
    <row r="154" spans="1:17" x14ac:dyDescent="0.25">
      <c r="A154">
        <v>8163832</v>
      </c>
      <c r="B154" t="s">
        <v>18</v>
      </c>
      <c r="C154">
        <v>24843109</v>
      </c>
      <c r="D154" t="s">
        <v>7</v>
      </c>
      <c r="E154">
        <v>179012</v>
      </c>
      <c r="F154" s="2">
        <v>179012</v>
      </c>
      <c r="G154" s="2">
        <v>52061</v>
      </c>
      <c r="H154">
        <v>30</v>
      </c>
      <c r="I154" s="1">
        <v>42521</v>
      </c>
      <c r="J154" t="s">
        <v>4</v>
      </c>
      <c r="K154">
        <f>COUNTIFS(GESTIONES!$A:$A, BASE_CUENTAS!$A154, GESTIONES!$B:$B, BASE_CUENTAS!$C154)</f>
        <v>3</v>
      </c>
      <c r="L154">
        <f>COUNTIFS(GESTIONES!$A:$A, BASE_CUENTAS!$A154,GESTIONES!$B:$B, BASE_CUENTAS!$C154,GESTIONES!$E:$E, "S")</f>
        <v>1</v>
      </c>
      <c r="M154">
        <f>COUNTIFS(GESTIONES!$A:$A, BASE_CUENTAS!$A154,GESTIONES!$B:$B, BASE_CUENTAS!$C154,GESTIONES!$E:$E, "N")</f>
        <v>2</v>
      </c>
      <c r="N154">
        <f>COUNTIFS(GESTIONES!$A:$A, BASE_CUENTAS!$A154,GESTIONES!$B:$B, BASE_CUENTAS!$C154,GESTIONES!$D:$D, "SMS")</f>
        <v>1</v>
      </c>
      <c r="O154">
        <f>SUMIFS(PAGOS!$D:$D,PAGOS!$A:$A, BASE_CUENTAS!$A154,PAGOS!$B:$B, BASE_CUENTAS!$C154)</f>
        <v>0</v>
      </c>
      <c r="P154" t="str">
        <f>IF(
VLOOKUP($C154,BASE_CIERRE_MES!$C:$G,5,FALSE)=0,
"Normalización",
IF(
VLOOKUP($C154,BASE_CIERRE_MES!$C:$G,5,FALSE)&lt;$H154,
"Recuperación",
IF(
VLOOKUP($C154,BASE_CIERRE_MES!$C:$G,5,FALSE)=$H154,
"Contención",
"Rodamiento"
)))</f>
        <v>Rodamiento</v>
      </c>
      <c r="Q154">
        <f t="shared" si="2"/>
        <v>0</v>
      </c>
    </row>
    <row r="155" spans="1:17" x14ac:dyDescent="0.25">
      <c r="A155">
        <v>8164317</v>
      </c>
      <c r="B155" t="s">
        <v>17</v>
      </c>
      <c r="C155">
        <v>24836777</v>
      </c>
      <c r="D155" t="s">
        <v>7</v>
      </c>
      <c r="E155">
        <v>10945736</v>
      </c>
      <c r="F155" s="2">
        <v>1221509</v>
      </c>
      <c r="G155" s="2">
        <v>7399</v>
      </c>
      <c r="H155">
        <v>30</v>
      </c>
      <c r="I155" s="1">
        <v>42521</v>
      </c>
      <c r="J155" t="s">
        <v>4</v>
      </c>
      <c r="K155">
        <f>COUNTIFS(GESTIONES!$A:$A, BASE_CUENTAS!$A155, GESTIONES!$B:$B, BASE_CUENTAS!$C155)</f>
        <v>3</v>
      </c>
      <c r="L155">
        <f>COUNTIFS(GESTIONES!$A:$A, BASE_CUENTAS!$A155,GESTIONES!$B:$B, BASE_CUENTAS!$C155,GESTIONES!$E:$E, "S")</f>
        <v>1</v>
      </c>
      <c r="M155">
        <f>COUNTIFS(GESTIONES!$A:$A, BASE_CUENTAS!$A155,GESTIONES!$B:$B, BASE_CUENTAS!$C155,GESTIONES!$E:$E, "N")</f>
        <v>2</v>
      </c>
      <c r="N155">
        <f>COUNTIFS(GESTIONES!$A:$A, BASE_CUENTAS!$A155,GESTIONES!$B:$B, BASE_CUENTAS!$C155,GESTIONES!$D:$D, "SMS")</f>
        <v>0</v>
      </c>
      <c r="O155">
        <f>SUMIFS(PAGOS!$D:$D,PAGOS!$A:$A, BASE_CUENTAS!$A155,PAGOS!$B:$B, BASE_CUENTAS!$C155)</f>
        <v>0</v>
      </c>
      <c r="P155" t="str">
        <f>IF(
VLOOKUP($C155,BASE_CIERRE_MES!$C:$G,5,FALSE)=0,
"Normalización",
IF(
VLOOKUP($C155,BASE_CIERRE_MES!$C:$G,5,FALSE)&lt;$H155,
"Recuperación",
IF(
VLOOKUP($C155,BASE_CIERRE_MES!$C:$G,5,FALSE)=$H155,
"Contención",
"Rodamiento"
)))</f>
        <v>Rodamiento</v>
      </c>
      <c r="Q155">
        <f t="shared" si="2"/>
        <v>0</v>
      </c>
    </row>
    <row r="156" spans="1:17" x14ac:dyDescent="0.25">
      <c r="A156">
        <v>8164706</v>
      </c>
      <c r="B156" t="s">
        <v>18</v>
      </c>
      <c r="C156">
        <v>27675670</v>
      </c>
      <c r="D156" t="s">
        <v>7</v>
      </c>
      <c r="E156">
        <v>406792</v>
      </c>
      <c r="F156" s="2">
        <v>406792</v>
      </c>
      <c r="G156" s="2">
        <v>189556</v>
      </c>
      <c r="H156">
        <v>60</v>
      </c>
      <c r="I156" s="1">
        <v>42480</v>
      </c>
      <c r="J156" t="s">
        <v>6</v>
      </c>
      <c r="K156">
        <f>COUNTIFS(GESTIONES!$A:$A, BASE_CUENTAS!$A156, GESTIONES!$B:$B, BASE_CUENTAS!$C156)</f>
        <v>3</v>
      </c>
      <c r="L156">
        <f>COUNTIFS(GESTIONES!$A:$A, BASE_CUENTAS!$A156,GESTIONES!$B:$B, BASE_CUENTAS!$C156,GESTIONES!$E:$E, "S")</f>
        <v>1</v>
      </c>
      <c r="M156">
        <f>COUNTIFS(GESTIONES!$A:$A, BASE_CUENTAS!$A156,GESTIONES!$B:$B, BASE_CUENTAS!$C156,GESTIONES!$E:$E, "N")</f>
        <v>2</v>
      </c>
      <c r="N156">
        <f>COUNTIFS(GESTIONES!$A:$A, BASE_CUENTAS!$A156,GESTIONES!$B:$B, BASE_CUENTAS!$C156,GESTIONES!$D:$D, "SMS")</f>
        <v>0</v>
      </c>
      <c r="O156">
        <f>SUMIFS(PAGOS!$D:$D,PAGOS!$A:$A, BASE_CUENTAS!$A156,PAGOS!$B:$B, BASE_CUENTAS!$C156)</f>
        <v>94778</v>
      </c>
      <c r="P156" t="str">
        <f>IF(
VLOOKUP($C156,BASE_CIERRE_MES!$C:$G,5,FALSE)=0,
"Normalización",
IF(
VLOOKUP($C156,BASE_CIERRE_MES!$C:$G,5,FALSE)&lt;$H156,
"Recuperación",
IF(
VLOOKUP($C156,BASE_CIERRE_MES!$C:$G,5,FALSE)=$H156,
"Contención",
"Rodamiento"
)))</f>
        <v>Recuperación</v>
      </c>
      <c r="Q156">
        <f t="shared" si="2"/>
        <v>0.23298884933823674</v>
      </c>
    </row>
    <row r="157" spans="1:17" x14ac:dyDescent="0.25">
      <c r="A157">
        <v>8164716</v>
      </c>
      <c r="B157" t="s">
        <v>18</v>
      </c>
      <c r="C157">
        <v>23812101</v>
      </c>
      <c r="D157" t="s">
        <v>7</v>
      </c>
      <c r="E157">
        <v>3716003</v>
      </c>
      <c r="F157" s="2">
        <v>3044833</v>
      </c>
      <c r="G157" s="2">
        <v>170877</v>
      </c>
      <c r="H157">
        <v>30</v>
      </c>
      <c r="I157" s="1">
        <v>42521</v>
      </c>
      <c r="J157" t="s">
        <v>4</v>
      </c>
      <c r="K157">
        <f>COUNTIFS(GESTIONES!$A:$A, BASE_CUENTAS!$A157, GESTIONES!$B:$B, BASE_CUENTAS!$C157)</f>
        <v>3</v>
      </c>
      <c r="L157">
        <f>COUNTIFS(GESTIONES!$A:$A, BASE_CUENTAS!$A157,GESTIONES!$B:$B, BASE_CUENTAS!$C157,GESTIONES!$E:$E, "S")</f>
        <v>0</v>
      </c>
      <c r="M157">
        <f>COUNTIFS(GESTIONES!$A:$A, BASE_CUENTAS!$A157,GESTIONES!$B:$B, BASE_CUENTAS!$C157,GESTIONES!$E:$E, "N")</f>
        <v>3</v>
      </c>
      <c r="N157">
        <f>COUNTIFS(GESTIONES!$A:$A, BASE_CUENTAS!$A157,GESTIONES!$B:$B, BASE_CUENTAS!$C157,GESTIONES!$D:$D, "SMS")</f>
        <v>2</v>
      </c>
      <c r="O157">
        <f>SUMIFS(PAGOS!$D:$D,PAGOS!$A:$A, BASE_CUENTAS!$A157,PAGOS!$B:$B, BASE_CUENTAS!$C157)</f>
        <v>0</v>
      </c>
      <c r="P157" t="str">
        <f>IF(
VLOOKUP($C157,BASE_CIERRE_MES!$C:$G,5,FALSE)=0,
"Normalización",
IF(
VLOOKUP($C157,BASE_CIERRE_MES!$C:$G,5,FALSE)&lt;$H157,
"Recuperación",
IF(
VLOOKUP($C157,BASE_CIERRE_MES!$C:$G,5,FALSE)=$H157,
"Contención",
"Rodamiento"
)))</f>
        <v>Rodamiento</v>
      </c>
      <c r="Q157">
        <f t="shared" si="2"/>
        <v>0</v>
      </c>
    </row>
    <row r="158" spans="1:17" x14ac:dyDescent="0.25">
      <c r="A158">
        <v>8164846</v>
      </c>
      <c r="B158" t="s">
        <v>17</v>
      </c>
      <c r="C158">
        <v>24213987</v>
      </c>
      <c r="D158" t="s">
        <v>7</v>
      </c>
      <c r="E158">
        <v>5550455</v>
      </c>
      <c r="F158" s="2">
        <v>1934160</v>
      </c>
      <c r="G158" s="2">
        <v>177245</v>
      </c>
      <c r="H158">
        <v>30</v>
      </c>
      <c r="I158" s="1">
        <v>42521</v>
      </c>
      <c r="J158" t="s">
        <v>4</v>
      </c>
      <c r="K158">
        <f>COUNTIFS(GESTIONES!$A:$A, BASE_CUENTAS!$A158, GESTIONES!$B:$B, BASE_CUENTAS!$C158)</f>
        <v>3</v>
      </c>
      <c r="L158">
        <f>COUNTIFS(GESTIONES!$A:$A, BASE_CUENTAS!$A158,GESTIONES!$B:$B, BASE_CUENTAS!$C158,GESTIONES!$E:$E, "S")</f>
        <v>1</v>
      </c>
      <c r="M158">
        <f>COUNTIFS(GESTIONES!$A:$A, BASE_CUENTAS!$A158,GESTIONES!$B:$B, BASE_CUENTAS!$C158,GESTIONES!$E:$E, "N")</f>
        <v>2</v>
      </c>
      <c r="N158">
        <f>COUNTIFS(GESTIONES!$A:$A, BASE_CUENTAS!$A158,GESTIONES!$B:$B, BASE_CUENTAS!$C158,GESTIONES!$D:$D, "SMS")</f>
        <v>1</v>
      </c>
      <c r="O158">
        <f>SUMIFS(PAGOS!$D:$D,PAGOS!$A:$A, BASE_CUENTAS!$A158,PAGOS!$B:$B, BASE_CUENTAS!$C158)</f>
        <v>88622</v>
      </c>
      <c r="P158" t="str">
        <f>IF(
VLOOKUP($C158,BASE_CIERRE_MES!$C:$G,5,FALSE)=0,
"Normalización",
IF(
VLOOKUP($C158,BASE_CIERRE_MES!$C:$G,5,FALSE)&lt;$H158,
"Recuperación",
IF(
VLOOKUP($C158,BASE_CIERRE_MES!$C:$G,5,FALSE)=$H158,
"Contención",
"Rodamiento"
)))</f>
        <v>Recuperación</v>
      </c>
      <c r="Q158">
        <f t="shared" si="2"/>
        <v>4.5819373785002275E-2</v>
      </c>
    </row>
    <row r="159" spans="1:17" x14ac:dyDescent="0.25">
      <c r="A159">
        <v>8164886</v>
      </c>
      <c r="B159" t="s">
        <v>17</v>
      </c>
      <c r="C159">
        <v>26205139</v>
      </c>
      <c r="D159" t="s">
        <v>7</v>
      </c>
      <c r="E159">
        <v>3445579</v>
      </c>
      <c r="F159" s="2">
        <v>2030467</v>
      </c>
      <c r="G159" s="2">
        <v>2030467</v>
      </c>
      <c r="H159">
        <v>150</v>
      </c>
      <c r="I159" s="1">
        <v>42519</v>
      </c>
      <c r="J159" t="s">
        <v>5</v>
      </c>
      <c r="K159">
        <f>COUNTIFS(GESTIONES!$A:$A, BASE_CUENTAS!$A159, GESTIONES!$B:$B, BASE_CUENTAS!$C159)</f>
        <v>3</v>
      </c>
      <c r="L159">
        <f>COUNTIFS(GESTIONES!$A:$A, BASE_CUENTAS!$A159,GESTIONES!$B:$B, BASE_CUENTAS!$C159,GESTIONES!$E:$E, "S")</f>
        <v>1</v>
      </c>
      <c r="M159">
        <f>COUNTIFS(GESTIONES!$A:$A, BASE_CUENTAS!$A159,GESTIONES!$B:$B, BASE_CUENTAS!$C159,GESTIONES!$E:$E, "N")</f>
        <v>2</v>
      </c>
      <c r="N159">
        <f>COUNTIFS(GESTIONES!$A:$A, BASE_CUENTAS!$A159,GESTIONES!$B:$B, BASE_CUENTAS!$C159,GESTIONES!$D:$D, "SMS")</f>
        <v>1</v>
      </c>
      <c r="O159">
        <f>SUMIFS(PAGOS!$D:$D,PAGOS!$A:$A, BASE_CUENTAS!$A159,PAGOS!$B:$B, BASE_CUENTAS!$C159)</f>
        <v>0</v>
      </c>
      <c r="P159" t="str">
        <f>IF(
VLOOKUP($C159,BASE_CIERRE_MES!$C:$G,5,FALSE)=0,
"Normalización",
IF(
VLOOKUP($C159,BASE_CIERRE_MES!$C:$G,5,FALSE)&lt;$H159,
"Recuperación",
IF(
VLOOKUP($C159,BASE_CIERRE_MES!$C:$G,5,FALSE)=$H159,
"Contención",
"Rodamiento"
)))</f>
        <v>Rodamiento</v>
      </c>
      <c r="Q159">
        <f t="shared" si="2"/>
        <v>0</v>
      </c>
    </row>
    <row r="160" spans="1:17" x14ac:dyDescent="0.25">
      <c r="A160">
        <v>8164886</v>
      </c>
      <c r="B160" t="s">
        <v>17</v>
      </c>
      <c r="C160">
        <v>26206180</v>
      </c>
      <c r="D160" t="s">
        <v>7</v>
      </c>
      <c r="E160">
        <v>3445579</v>
      </c>
      <c r="F160" s="2">
        <v>1415112</v>
      </c>
      <c r="G160" s="2">
        <v>1415112</v>
      </c>
      <c r="H160">
        <v>330</v>
      </c>
      <c r="I160" s="1">
        <v>42487</v>
      </c>
      <c r="J160" t="s">
        <v>5</v>
      </c>
      <c r="K160">
        <f>COUNTIFS(GESTIONES!$A:$A, BASE_CUENTAS!$A160, GESTIONES!$B:$B, BASE_CUENTAS!$C160)</f>
        <v>3</v>
      </c>
      <c r="L160">
        <f>COUNTIFS(GESTIONES!$A:$A, BASE_CUENTAS!$A160,GESTIONES!$B:$B, BASE_CUENTAS!$C160,GESTIONES!$E:$E, "S")</f>
        <v>1</v>
      </c>
      <c r="M160">
        <f>COUNTIFS(GESTIONES!$A:$A, BASE_CUENTAS!$A160,GESTIONES!$B:$B, BASE_CUENTAS!$C160,GESTIONES!$E:$E, "N")</f>
        <v>2</v>
      </c>
      <c r="N160">
        <f>COUNTIFS(GESTIONES!$A:$A, BASE_CUENTAS!$A160,GESTIONES!$B:$B, BASE_CUENTAS!$C160,GESTIONES!$D:$D, "SMS")</f>
        <v>0</v>
      </c>
      <c r="O160">
        <f>SUMIFS(PAGOS!$D:$D,PAGOS!$A:$A, BASE_CUENTAS!$A160,PAGOS!$B:$B, BASE_CUENTAS!$C160)</f>
        <v>0</v>
      </c>
      <c r="P160" t="str">
        <f>IF(
VLOOKUP($C160,BASE_CIERRE_MES!$C:$G,5,FALSE)=0,
"Normalización",
IF(
VLOOKUP($C160,BASE_CIERRE_MES!$C:$G,5,FALSE)&lt;$H160,
"Recuperación",
IF(
VLOOKUP($C160,BASE_CIERRE_MES!$C:$G,5,FALSE)=$H160,
"Contención",
"Rodamiento"
)))</f>
        <v>Rodamiento</v>
      </c>
      <c r="Q160">
        <f t="shared" si="2"/>
        <v>0</v>
      </c>
    </row>
    <row r="161" spans="1:17" x14ac:dyDescent="0.25">
      <c r="A161">
        <v>8164974</v>
      </c>
      <c r="B161" t="s">
        <v>18</v>
      </c>
      <c r="C161">
        <v>25826418</v>
      </c>
      <c r="D161" t="s">
        <v>7</v>
      </c>
      <c r="E161">
        <v>3300498</v>
      </c>
      <c r="F161" s="2">
        <v>1584462</v>
      </c>
      <c r="G161" s="2">
        <v>59970</v>
      </c>
      <c r="H161">
        <v>30</v>
      </c>
      <c r="I161" s="1">
        <v>42521</v>
      </c>
      <c r="J161" t="s">
        <v>4</v>
      </c>
      <c r="K161">
        <f>COUNTIFS(GESTIONES!$A:$A, BASE_CUENTAS!$A161, GESTIONES!$B:$B, BASE_CUENTAS!$C161)</f>
        <v>3</v>
      </c>
      <c r="L161">
        <f>COUNTIFS(GESTIONES!$A:$A, BASE_CUENTAS!$A161,GESTIONES!$B:$B, BASE_CUENTAS!$C161,GESTIONES!$E:$E, "S")</f>
        <v>2</v>
      </c>
      <c r="M161">
        <f>COUNTIFS(GESTIONES!$A:$A, BASE_CUENTAS!$A161,GESTIONES!$B:$B, BASE_CUENTAS!$C161,GESTIONES!$E:$E, "N")</f>
        <v>1</v>
      </c>
      <c r="N161">
        <f>COUNTIFS(GESTIONES!$A:$A, BASE_CUENTAS!$A161,GESTIONES!$B:$B, BASE_CUENTAS!$C161,GESTIONES!$D:$D, "SMS")</f>
        <v>0</v>
      </c>
      <c r="O161">
        <f>SUMIFS(PAGOS!$D:$D,PAGOS!$A:$A, BASE_CUENTAS!$A161,PAGOS!$B:$B, BASE_CUENTAS!$C161)</f>
        <v>59970</v>
      </c>
      <c r="P161" t="str">
        <f>IF(
VLOOKUP($C161,BASE_CIERRE_MES!$C:$G,5,FALSE)=0,
"Normalización",
IF(
VLOOKUP($C161,BASE_CIERRE_MES!$C:$G,5,FALSE)&lt;$H161,
"Recuperación",
IF(
VLOOKUP($C161,BASE_CIERRE_MES!$C:$G,5,FALSE)=$H161,
"Contención",
"Rodamiento"
)))</f>
        <v>Normalización</v>
      </c>
      <c r="Q161">
        <f t="shared" si="2"/>
        <v>3.7848809248817582E-2</v>
      </c>
    </row>
    <row r="162" spans="1:17" x14ac:dyDescent="0.25">
      <c r="A162">
        <v>8165150</v>
      </c>
      <c r="B162" t="s">
        <v>17</v>
      </c>
      <c r="C162">
        <v>25261181</v>
      </c>
      <c r="D162" t="s">
        <v>7</v>
      </c>
      <c r="E162">
        <v>6824068</v>
      </c>
      <c r="F162" s="2">
        <v>1076164</v>
      </c>
      <c r="G162" s="2">
        <v>79965</v>
      </c>
      <c r="H162">
        <v>30</v>
      </c>
      <c r="I162" s="1">
        <v>42508</v>
      </c>
      <c r="J162" t="s">
        <v>6</v>
      </c>
      <c r="K162">
        <f>COUNTIFS(GESTIONES!$A:$A, BASE_CUENTAS!$A162, GESTIONES!$B:$B, BASE_CUENTAS!$C162)</f>
        <v>3</v>
      </c>
      <c r="L162">
        <f>COUNTIFS(GESTIONES!$A:$A, BASE_CUENTAS!$A162,GESTIONES!$B:$B, BASE_CUENTAS!$C162,GESTIONES!$E:$E, "S")</f>
        <v>1</v>
      </c>
      <c r="M162">
        <f>COUNTIFS(GESTIONES!$A:$A, BASE_CUENTAS!$A162,GESTIONES!$B:$B, BASE_CUENTAS!$C162,GESTIONES!$E:$E, "N")</f>
        <v>2</v>
      </c>
      <c r="N162">
        <f>COUNTIFS(GESTIONES!$A:$A, BASE_CUENTAS!$A162,GESTIONES!$B:$B, BASE_CUENTAS!$C162,GESTIONES!$D:$D, "SMS")</f>
        <v>1</v>
      </c>
      <c r="O162">
        <f>SUMIFS(PAGOS!$D:$D,PAGOS!$A:$A, BASE_CUENTAS!$A162,PAGOS!$B:$B, BASE_CUENTAS!$C162)</f>
        <v>1076164</v>
      </c>
      <c r="P162" t="str">
        <f>IF(
VLOOKUP($C162,BASE_CIERRE_MES!$C:$G,5,FALSE)=0,
"Normalización",
IF(
VLOOKUP($C162,BASE_CIERRE_MES!$C:$G,5,FALSE)&lt;$H162,
"Recuperación",
IF(
VLOOKUP($C162,BASE_CIERRE_MES!$C:$G,5,FALSE)=$H162,
"Contención",
"Rodamiento"
)))</f>
        <v>Normalización</v>
      </c>
      <c r="Q162">
        <f t="shared" si="2"/>
        <v>1</v>
      </c>
    </row>
    <row r="163" spans="1:17" x14ac:dyDescent="0.25">
      <c r="A163">
        <v>8165309</v>
      </c>
      <c r="B163" t="s">
        <v>18</v>
      </c>
      <c r="C163">
        <v>27696033</v>
      </c>
      <c r="D163" t="s">
        <v>7</v>
      </c>
      <c r="E163">
        <v>1721703</v>
      </c>
      <c r="F163" s="2">
        <v>1721703</v>
      </c>
      <c r="G163" s="2">
        <v>219902</v>
      </c>
      <c r="H163">
        <v>30</v>
      </c>
      <c r="I163" s="1">
        <v>42521</v>
      </c>
      <c r="J163" t="s">
        <v>4</v>
      </c>
      <c r="K163">
        <f>COUNTIFS(GESTIONES!$A:$A, BASE_CUENTAS!$A163, GESTIONES!$B:$B, BASE_CUENTAS!$C163)</f>
        <v>3</v>
      </c>
      <c r="L163">
        <f>COUNTIFS(GESTIONES!$A:$A, BASE_CUENTAS!$A163,GESTIONES!$B:$B, BASE_CUENTAS!$C163,GESTIONES!$E:$E, "S")</f>
        <v>0</v>
      </c>
      <c r="M163">
        <f>COUNTIFS(GESTIONES!$A:$A, BASE_CUENTAS!$A163,GESTIONES!$B:$B, BASE_CUENTAS!$C163,GESTIONES!$E:$E, "N")</f>
        <v>3</v>
      </c>
      <c r="N163">
        <f>COUNTIFS(GESTIONES!$A:$A, BASE_CUENTAS!$A163,GESTIONES!$B:$B, BASE_CUENTAS!$C163,GESTIONES!$D:$D, "SMS")</f>
        <v>1</v>
      </c>
      <c r="O163">
        <f>SUMIFS(PAGOS!$D:$D,PAGOS!$A:$A, BASE_CUENTAS!$A163,PAGOS!$B:$B, BASE_CUENTAS!$C163)</f>
        <v>0</v>
      </c>
      <c r="P163" t="str">
        <f>IF(
VLOOKUP($C163,BASE_CIERRE_MES!$C:$G,5,FALSE)=0,
"Normalización",
IF(
VLOOKUP($C163,BASE_CIERRE_MES!$C:$G,5,FALSE)&lt;$H163,
"Recuperación",
IF(
VLOOKUP($C163,BASE_CIERRE_MES!$C:$G,5,FALSE)=$H163,
"Contención",
"Rodamiento"
)))</f>
        <v>Rodamiento</v>
      </c>
      <c r="Q163">
        <f t="shared" si="2"/>
        <v>0</v>
      </c>
    </row>
    <row r="164" spans="1:17" x14ac:dyDescent="0.25">
      <c r="A164">
        <v>8165415</v>
      </c>
      <c r="B164" t="s">
        <v>18</v>
      </c>
      <c r="C164">
        <v>21264525</v>
      </c>
      <c r="D164" t="s">
        <v>7</v>
      </c>
      <c r="E164">
        <v>2621305</v>
      </c>
      <c r="F164" s="2">
        <v>1527596</v>
      </c>
      <c r="G164" s="2">
        <v>144873</v>
      </c>
      <c r="H164">
        <v>30</v>
      </c>
      <c r="I164" s="1">
        <v>42508</v>
      </c>
      <c r="J164" t="s">
        <v>6</v>
      </c>
      <c r="K164">
        <f>COUNTIFS(GESTIONES!$A:$A, BASE_CUENTAS!$A164, GESTIONES!$B:$B, BASE_CUENTAS!$C164)</f>
        <v>3</v>
      </c>
      <c r="L164">
        <f>COUNTIFS(GESTIONES!$A:$A, BASE_CUENTAS!$A164,GESTIONES!$B:$B, BASE_CUENTAS!$C164,GESTIONES!$E:$E, "S")</f>
        <v>1</v>
      </c>
      <c r="M164">
        <f>COUNTIFS(GESTIONES!$A:$A, BASE_CUENTAS!$A164,GESTIONES!$B:$B, BASE_CUENTAS!$C164,GESTIONES!$E:$E, "N")</f>
        <v>2</v>
      </c>
      <c r="N164">
        <f>COUNTIFS(GESTIONES!$A:$A, BASE_CUENTAS!$A164,GESTIONES!$B:$B, BASE_CUENTAS!$C164,GESTIONES!$D:$D, "SMS")</f>
        <v>2</v>
      </c>
      <c r="O164">
        <f>SUMIFS(PAGOS!$D:$D,PAGOS!$A:$A, BASE_CUENTAS!$A164,PAGOS!$B:$B, BASE_CUENTAS!$C164)</f>
        <v>48291</v>
      </c>
      <c r="P164" t="str">
        <f>IF(
VLOOKUP($C164,BASE_CIERRE_MES!$C:$G,5,FALSE)=0,
"Normalización",
IF(
VLOOKUP($C164,BASE_CIERRE_MES!$C:$G,5,FALSE)&lt;$H164,
"Recuperación",
IF(
VLOOKUP($C164,BASE_CIERRE_MES!$C:$G,5,FALSE)=$H164,
"Contención",
"Rodamiento"
)))</f>
        <v>Contención</v>
      </c>
      <c r="Q164">
        <f t="shared" si="2"/>
        <v>3.1612415848169283E-2</v>
      </c>
    </row>
    <row r="165" spans="1:17" x14ac:dyDescent="0.25">
      <c r="A165">
        <v>8165415</v>
      </c>
      <c r="B165" t="s">
        <v>18</v>
      </c>
      <c r="C165">
        <v>28584076</v>
      </c>
      <c r="D165" t="s">
        <v>7</v>
      </c>
      <c r="E165">
        <v>2621305</v>
      </c>
      <c r="F165" s="2">
        <v>1093709</v>
      </c>
      <c r="G165" s="2">
        <v>101794</v>
      </c>
      <c r="H165">
        <v>30</v>
      </c>
      <c r="I165" s="1">
        <v>42523</v>
      </c>
      <c r="J165" t="s">
        <v>6</v>
      </c>
      <c r="K165">
        <f>COUNTIFS(GESTIONES!$A:$A, BASE_CUENTAS!$A165, GESTIONES!$B:$B, BASE_CUENTAS!$C165)</f>
        <v>3</v>
      </c>
      <c r="L165">
        <f>COUNTIFS(GESTIONES!$A:$A, BASE_CUENTAS!$A165,GESTIONES!$B:$B, BASE_CUENTAS!$C165,GESTIONES!$E:$E, "S")</f>
        <v>1</v>
      </c>
      <c r="M165">
        <f>COUNTIFS(GESTIONES!$A:$A, BASE_CUENTAS!$A165,GESTIONES!$B:$B, BASE_CUENTAS!$C165,GESTIONES!$E:$E, "N")</f>
        <v>2</v>
      </c>
      <c r="N165">
        <f>COUNTIFS(GESTIONES!$A:$A, BASE_CUENTAS!$A165,GESTIONES!$B:$B, BASE_CUENTAS!$C165,GESTIONES!$D:$D, "SMS")</f>
        <v>0</v>
      </c>
      <c r="O165">
        <f>SUMIFS(PAGOS!$D:$D,PAGOS!$A:$A, BASE_CUENTAS!$A165,PAGOS!$B:$B, BASE_CUENTAS!$C165)</f>
        <v>0</v>
      </c>
      <c r="P165" t="str">
        <f>IF(
VLOOKUP($C165,BASE_CIERRE_MES!$C:$G,5,FALSE)=0,
"Normalización",
IF(
VLOOKUP($C165,BASE_CIERRE_MES!$C:$G,5,FALSE)&lt;$H165,
"Recuperación",
IF(
VLOOKUP($C165,BASE_CIERRE_MES!$C:$G,5,FALSE)=$H165,
"Contención",
"Rodamiento"
)))</f>
        <v>Rodamiento</v>
      </c>
      <c r="Q165">
        <f t="shared" si="2"/>
        <v>0</v>
      </c>
    </row>
    <row r="166" spans="1:17" x14ac:dyDescent="0.25">
      <c r="A166">
        <v>8165420</v>
      </c>
      <c r="B166" t="s">
        <v>17</v>
      </c>
      <c r="C166">
        <v>27823013</v>
      </c>
      <c r="D166" t="s">
        <v>7</v>
      </c>
      <c r="E166">
        <v>9910905</v>
      </c>
      <c r="F166" s="2">
        <v>4294731</v>
      </c>
      <c r="G166" s="2">
        <v>121438</v>
      </c>
      <c r="H166">
        <v>30</v>
      </c>
      <c r="I166" s="1">
        <v>42521</v>
      </c>
      <c r="J166" t="s">
        <v>4</v>
      </c>
      <c r="K166">
        <f>COUNTIFS(GESTIONES!$A:$A, BASE_CUENTAS!$A166, GESTIONES!$B:$B, BASE_CUENTAS!$C166)</f>
        <v>3</v>
      </c>
      <c r="L166">
        <f>COUNTIFS(GESTIONES!$A:$A, BASE_CUENTAS!$A166,GESTIONES!$B:$B, BASE_CUENTAS!$C166,GESTIONES!$E:$E, "S")</f>
        <v>1</v>
      </c>
      <c r="M166">
        <f>COUNTIFS(GESTIONES!$A:$A, BASE_CUENTAS!$A166,GESTIONES!$B:$B, BASE_CUENTAS!$C166,GESTIONES!$E:$E, "N")</f>
        <v>2</v>
      </c>
      <c r="N166">
        <f>COUNTIFS(GESTIONES!$A:$A, BASE_CUENTAS!$A166,GESTIONES!$B:$B, BASE_CUENTAS!$C166,GESTIONES!$D:$D, "SMS")</f>
        <v>0</v>
      </c>
      <c r="O166">
        <f>SUMIFS(PAGOS!$D:$D,PAGOS!$A:$A, BASE_CUENTAS!$A166,PAGOS!$B:$B, BASE_CUENTAS!$C166)</f>
        <v>0</v>
      </c>
      <c r="P166" t="str">
        <f>IF(
VLOOKUP($C166,BASE_CIERRE_MES!$C:$G,5,FALSE)=0,
"Normalización",
IF(
VLOOKUP($C166,BASE_CIERRE_MES!$C:$G,5,FALSE)&lt;$H166,
"Recuperación",
IF(
VLOOKUP($C166,BASE_CIERRE_MES!$C:$G,5,FALSE)=$H166,
"Contención",
"Rodamiento"
)))</f>
        <v>Rodamiento</v>
      </c>
      <c r="Q166">
        <f t="shared" si="2"/>
        <v>0</v>
      </c>
    </row>
    <row r="167" spans="1:17" x14ac:dyDescent="0.25">
      <c r="A167">
        <v>8165423</v>
      </c>
      <c r="B167" t="s">
        <v>18</v>
      </c>
      <c r="C167">
        <v>27019405</v>
      </c>
      <c r="D167" t="s">
        <v>7</v>
      </c>
      <c r="E167">
        <v>634044</v>
      </c>
      <c r="F167" s="2">
        <v>634044</v>
      </c>
      <c r="G167" s="2">
        <v>54703</v>
      </c>
      <c r="H167">
        <v>30</v>
      </c>
      <c r="I167" s="1">
        <v>42521</v>
      </c>
      <c r="J167" t="s">
        <v>4</v>
      </c>
      <c r="K167">
        <f>COUNTIFS(GESTIONES!$A:$A, BASE_CUENTAS!$A167, GESTIONES!$B:$B, BASE_CUENTAS!$C167)</f>
        <v>3</v>
      </c>
      <c r="L167">
        <f>COUNTIFS(GESTIONES!$A:$A, BASE_CUENTAS!$A167,GESTIONES!$B:$B, BASE_CUENTAS!$C167,GESTIONES!$E:$E, "S")</f>
        <v>1</v>
      </c>
      <c r="M167">
        <f>COUNTIFS(GESTIONES!$A:$A, BASE_CUENTAS!$A167,GESTIONES!$B:$B, BASE_CUENTAS!$C167,GESTIONES!$E:$E, "N")</f>
        <v>2</v>
      </c>
      <c r="N167">
        <f>COUNTIFS(GESTIONES!$A:$A, BASE_CUENTAS!$A167,GESTIONES!$B:$B, BASE_CUENTAS!$C167,GESTIONES!$D:$D, "SMS")</f>
        <v>1</v>
      </c>
      <c r="O167">
        <f>SUMIFS(PAGOS!$D:$D,PAGOS!$A:$A, BASE_CUENTAS!$A167,PAGOS!$B:$B, BASE_CUENTAS!$C167)</f>
        <v>54703</v>
      </c>
      <c r="P167" t="str">
        <f>IF(
VLOOKUP($C167,BASE_CIERRE_MES!$C:$G,5,FALSE)=0,
"Normalización",
IF(
VLOOKUP($C167,BASE_CIERRE_MES!$C:$G,5,FALSE)&lt;$H167,
"Recuperación",
IF(
VLOOKUP($C167,BASE_CIERRE_MES!$C:$G,5,FALSE)=$H167,
"Contención",
"Rodamiento"
)))</f>
        <v>Normalización</v>
      </c>
      <c r="Q167">
        <f t="shared" si="2"/>
        <v>8.6276346751960428E-2</v>
      </c>
    </row>
    <row r="168" spans="1:17" x14ac:dyDescent="0.25">
      <c r="A168">
        <v>8165559</v>
      </c>
      <c r="B168" t="s">
        <v>18</v>
      </c>
      <c r="C168">
        <v>24129857</v>
      </c>
      <c r="D168" t="s">
        <v>7</v>
      </c>
      <c r="E168">
        <v>3081302</v>
      </c>
      <c r="F168" s="2">
        <v>1817577</v>
      </c>
      <c r="G168" s="2">
        <v>43937</v>
      </c>
      <c r="H168">
        <v>30</v>
      </c>
      <c r="I168" s="1">
        <v>42521</v>
      </c>
      <c r="J168" t="s">
        <v>4</v>
      </c>
      <c r="K168">
        <f>COUNTIFS(GESTIONES!$A:$A, BASE_CUENTAS!$A168, GESTIONES!$B:$B, BASE_CUENTAS!$C168)</f>
        <v>3</v>
      </c>
      <c r="L168">
        <f>COUNTIFS(GESTIONES!$A:$A, BASE_CUENTAS!$A168,GESTIONES!$B:$B, BASE_CUENTAS!$C168,GESTIONES!$E:$E, "S")</f>
        <v>0</v>
      </c>
      <c r="M168">
        <f>COUNTIFS(GESTIONES!$A:$A, BASE_CUENTAS!$A168,GESTIONES!$B:$B, BASE_CUENTAS!$C168,GESTIONES!$E:$E, "N")</f>
        <v>3</v>
      </c>
      <c r="N168">
        <f>COUNTIFS(GESTIONES!$A:$A, BASE_CUENTAS!$A168,GESTIONES!$B:$B, BASE_CUENTAS!$C168,GESTIONES!$D:$D, "SMS")</f>
        <v>1</v>
      </c>
      <c r="O168">
        <f>SUMIFS(PAGOS!$D:$D,PAGOS!$A:$A, BASE_CUENTAS!$A168,PAGOS!$B:$B, BASE_CUENTAS!$C168)</f>
        <v>14645</v>
      </c>
      <c r="P168" t="str">
        <f>IF(
VLOOKUP($C168,BASE_CIERRE_MES!$C:$G,5,FALSE)=0,
"Normalización",
IF(
VLOOKUP($C168,BASE_CIERRE_MES!$C:$G,5,FALSE)&lt;$H168,
"Recuperación",
IF(
VLOOKUP($C168,BASE_CIERRE_MES!$C:$G,5,FALSE)=$H168,
"Contención",
"Rodamiento"
)))</f>
        <v>Contención</v>
      </c>
      <c r="Q168">
        <f t="shared" si="2"/>
        <v>8.0574303041906891E-3</v>
      </c>
    </row>
    <row r="169" spans="1:17" x14ac:dyDescent="0.25">
      <c r="A169">
        <v>8165867</v>
      </c>
      <c r="B169" t="s">
        <v>18</v>
      </c>
      <c r="C169">
        <v>28083468</v>
      </c>
      <c r="D169" t="s">
        <v>7</v>
      </c>
      <c r="E169">
        <v>4942952</v>
      </c>
      <c r="F169" s="2">
        <v>4942952</v>
      </c>
      <c r="G169" s="2">
        <v>449976</v>
      </c>
      <c r="H169">
        <v>30</v>
      </c>
      <c r="I169" s="1">
        <v>42521</v>
      </c>
      <c r="J169" t="s">
        <v>4</v>
      </c>
      <c r="K169">
        <f>COUNTIFS(GESTIONES!$A:$A, BASE_CUENTAS!$A169, GESTIONES!$B:$B, BASE_CUENTAS!$C169)</f>
        <v>3</v>
      </c>
      <c r="L169">
        <f>COUNTIFS(GESTIONES!$A:$A, BASE_CUENTAS!$A169,GESTIONES!$B:$B, BASE_CUENTAS!$C169,GESTIONES!$E:$E, "S")</f>
        <v>1</v>
      </c>
      <c r="M169">
        <f>COUNTIFS(GESTIONES!$A:$A, BASE_CUENTAS!$A169,GESTIONES!$B:$B, BASE_CUENTAS!$C169,GESTIONES!$E:$E, "N")</f>
        <v>2</v>
      </c>
      <c r="N169">
        <f>COUNTIFS(GESTIONES!$A:$A, BASE_CUENTAS!$A169,GESTIONES!$B:$B, BASE_CUENTAS!$C169,GESTIONES!$D:$D, "SMS")</f>
        <v>2</v>
      </c>
      <c r="O169">
        <f>SUMIFS(PAGOS!$D:$D,PAGOS!$A:$A, BASE_CUENTAS!$A169,PAGOS!$B:$B, BASE_CUENTAS!$C169)</f>
        <v>0</v>
      </c>
      <c r="P169" t="str">
        <f>IF(
VLOOKUP($C169,BASE_CIERRE_MES!$C:$G,5,FALSE)=0,
"Normalización",
IF(
VLOOKUP($C169,BASE_CIERRE_MES!$C:$G,5,FALSE)&lt;$H169,
"Recuperación",
IF(
VLOOKUP($C169,BASE_CIERRE_MES!$C:$G,5,FALSE)=$H169,
"Contención",
"Rodamiento"
)))</f>
        <v>Rodamiento</v>
      </c>
      <c r="Q169">
        <f t="shared" si="2"/>
        <v>0</v>
      </c>
    </row>
    <row r="170" spans="1:17" x14ac:dyDescent="0.25">
      <c r="A170">
        <v>8165887</v>
      </c>
      <c r="B170" t="s">
        <v>16</v>
      </c>
      <c r="C170">
        <v>11364019</v>
      </c>
      <c r="D170" t="s">
        <v>7</v>
      </c>
      <c r="E170">
        <v>28577063</v>
      </c>
      <c r="F170" s="2">
        <v>3030970</v>
      </c>
      <c r="G170" s="2">
        <v>798098</v>
      </c>
      <c r="H170">
        <v>90</v>
      </c>
      <c r="I170" s="1">
        <v>42501</v>
      </c>
      <c r="J170" t="s">
        <v>5</v>
      </c>
      <c r="K170">
        <f>COUNTIFS(GESTIONES!$A:$A, BASE_CUENTAS!$A170, GESTIONES!$B:$B, BASE_CUENTAS!$C170)</f>
        <v>3</v>
      </c>
      <c r="L170">
        <f>COUNTIFS(GESTIONES!$A:$A, BASE_CUENTAS!$A170,GESTIONES!$B:$B, BASE_CUENTAS!$C170,GESTIONES!$E:$E, "S")</f>
        <v>1</v>
      </c>
      <c r="M170">
        <f>COUNTIFS(GESTIONES!$A:$A, BASE_CUENTAS!$A170,GESTIONES!$B:$B, BASE_CUENTAS!$C170,GESTIONES!$E:$E, "N")</f>
        <v>2</v>
      </c>
      <c r="N170">
        <f>COUNTIFS(GESTIONES!$A:$A, BASE_CUENTAS!$A170,GESTIONES!$B:$B, BASE_CUENTAS!$C170,GESTIONES!$D:$D, "SMS")</f>
        <v>0</v>
      </c>
      <c r="O170">
        <f>SUMIFS(PAGOS!$D:$D,PAGOS!$A:$A, BASE_CUENTAS!$A170,PAGOS!$B:$B, BASE_CUENTAS!$C170)</f>
        <v>798098</v>
      </c>
      <c r="P170" t="str">
        <f>IF(
VLOOKUP($C170,BASE_CIERRE_MES!$C:$G,5,FALSE)=0,
"Normalización",
IF(
VLOOKUP($C170,BASE_CIERRE_MES!$C:$G,5,FALSE)&lt;$H170,
"Recuperación",
IF(
VLOOKUP($C170,BASE_CIERRE_MES!$C:$G,5,FALSE)=$H170,
"Contención",
"Rodamiento"
)))</f>
        <v>Normalización</v>
      </c>
      <c r="Q170">
        <f t="shared" si="2"/>
        <v>0.26331438450397066</v>
      </c>
    </row>
    <row r="171" spans="1:17" x14ac:dyDescent="0.25">
      <c r="A171">
        <v>8165887</v>
      </c>
      <c r="B171" t="s">
        <v>16</v>
      </c>
      <c r="C171">
        <v>26704806</v>
      </c>
      <c r="D171" t="s">
        <v>13</v>
      </c>
      <c r="E171">
        <v>28577063</v>
      </c>
      <c r="F171" s="2">
        <v>25546093</v>
      </c>
      <c r="G171" s="2">
        <v>3211113</v>
      </c>
      <c r="H171">
        <v>118</v>
      </c>
      <c r="I171" s="1">
        <v>42501</v>
      </c>
      <c r="J171" t="s">
        <v>5</v>
      </c>
      <c r="K171">
        <f>COUNTIFS(GESTIONES!$A:$A, BASE_CUENTAS!$A171, GESTIONES!$B:$B, BASE_CUENTAS!$C171)</f>
        <v>3</v>
      </c>
      <c r="L171">
        <f>COUNTIFS(GESTIONES!$A:$A, BASE_CUENTAS!$A171,GESTIONES!$B:$B, BASE_CUENTAS!$C171,GESTIONES!$E:$E, "S")</f>
        <v>1</v>
      </c>
      <c r="M171">
        <f>COUNTIFS(GESTIONES!$A:$A, BASE_CUENTAS!$A171,GESTIONES!$B:$B, BASE_CUENTAS!$C171,GESTIONES!$E:$E, "N")</f>
        <v>2</v>
      </c>
      <c r="N171">
        <f>COUNTIFS(GESTIONES!$A:$A, BASE_CUENTAS!$A171,GESTIONES!$B:$B, BASE_CUENTAS!$C171,GESTIONES!$D:$D, "SMS")</f>
        <v>0</v>
      </c>
      <c r="O171">
        <f>SUMIFS(PAGOS!$D:$D,PAGOS!$A:$A, BASE_CUENTAS!$A171,PAGOS!$B:$B, BASE_CUENTAS!$C171)</f>
        <v>1070371</v>
      </c>
      <c r="P171" t="str">
        <f>IF(
VLOOKUP($C171,BASE_CIERRE_MES!$C:$G,5,FALSE)=0,
"Normalización",
IF(
VLOOKUP($C171,BASE_CIERRE_MES!$C:$G,5,FALSE)&lt;$H171,
"Recuperación",
IF(
VLOOKUP($C171,BASE_CIERRE_MES!$C:$G,5,FALSE)=$H171,
"Contención",
"Rodamiento"
)))</f>
        <v>Rodamiento</v>
      </c>
      <c r="Q171">
        <f t="shared" si="2"/>
        <v>4.189959693640824E-2</v>
      </c>
    </row>
    <row r="172" spans="1:17" x14ac:dyDescent="0.25">
      <c r="A172">
        <v>8165993</v>
      </c>
      <c r="B172" t="s">
        <v>16</v>
      </c>
      <c r="C172">
        <v>4366591</v>
      </c>
      <c r="D172" t="s">
        <v>8</v>
      </c>
      <c r="E172">
        <v>21196708</v>
      </c>
      <c r="F172" s="2">
        <v>19369075</v>
      </c>
      <c r="G172" s="2">
        <v>442959</v>
      </c>
      <c r="H172">
        <v>2</v>
      </c>
      <c r="I172" s="1">
        <v>42529</v>
      </c>
      <c r="J172" t="s">
        <v>4</v>
      </c>
      <c r="K172">
        <f>COUNTIFS(GESTIONES!$A:$A, BASE_CUENTAS!$A172, GESTIONES!$B:$B, BASE_CUENTAS!$C172)</f>
        <v>3</v>
      </c>
      <c r="L172">
        <f>COUNTIFS(GESTIONES!$A:$A, BASE_CUENTAS!$A172,GESTIONES!$B:$B, BASE_CUENTAS!$C172,GESTIONES!$E:$E, "S")</f>
        <v>1</v>
      </c>
      <c r="M172">
        <f>COUNTIFS(GESTIONES!$A:$A, BASE_CUENTAS!$A172,GESTIONES!$B:$B, BASE_CUENTAS!$C172,GESTIONES!$E:$E, "N")</f>
        <v>2</v>
      </c>
      <c r="N172">
        <f>COUNTIFS(GESTIONES!$A:$A, BASE_CUENTAS!$A172,GESTIONES!$B:$B, BASE_CUENTAS!$C172,GESTIONES!$D:$D, "SMS")</f>
        <v>1</v>
      </c>
      <c r="O172">
        <f>SUMIFS(PAGOS!$D:$D,PAGOS!$A:$A, BASE_CUENTAS!$A172,PAGOS!$B:$B, BASE_CUENTAS!$C172)</f>
        <v>221480</v>
      </c>
      <c r="P172" t="str">
        <f>IF(
VLOOKUP($C172,BASE_CIERRE_MES!$C:$G,5,FALSE)=0,
"Normalización",
IF(
VLOOKUP($C172,BASE_CIERRE_MES!$C:$G,5,FALSE)&lt;$H172,
"Recuperación",
IF(
VLOOKUP($C172,BASE_CIERRE_MES!$C:$G,5,FALSE)=$H172,
"Contención",
"Rodamiento"
)))</f>
        <v>Recuperación</v>
      </c>
      <c r="Q172">
        <f t="shared" si="2"/>
        <v>1.1434722618400724E-2</v>
      </c>
    </row>
    <row r="173" spans="1:17" x14ac:dyDescent="0.25">
      <c r="A173">
        <v>8165993</v>
      </c>
      <c r="B173" t="s">
        <v>16</v>
      </c>
      <c r="C173">
        <v>26466300</v>
      </c>
      <c r="D173" t="s">
        <v>7</v>
      </c>
      <c r="E173">
        <v>21196708</v>
      </c>
      <c r="F173" s="2">
        <v>1827633</v>
      </c>
      <c r="G173" s="2">
        <v>621228</v>
      </c>
      <c r="H173">
        <v>30</v>
      </c>
      <c r="I173" s="1">
        <v>42521</v>
      </c>
      <c r="J173" t="s">
        <v>4</v>
      </c>
      <c r="K173">
        <f>COUNTIFS(GESTIONES!$A:$A, BASE_CUENTAS!$A173, GESTIONES!$B:$B, BASE_CUENTAS!$C173)</f>
        <v>3</v>
      </c>
      <c r="L173">
        <f>COUNTIFS(GESTIONES!$A:$A, BASE_CUENTAS!$A173,GESTIONES!$B:$B, BASE_CUENTAS!$C173,GESTIONES!$E:$E, "S")</f>
        <v>0</v>
      </c>
      <c r="M173">
        <f>COUNTIFS(GESTIONES!$A:$A, BASE_CUENTAS!$A173,GESTIONES!$B:$B, BASE_CUENTAS!$C173,GESTIONES!$E:$E, "N")</f>
        <v>3</v>
      </c>
      <c r="N173">
        <f>COUNTIFS(GESTIONES!$A:$A, BASE_CUENTAS!$A173,GESTIONES!$B:$B, BASE_CUENTAS!$C173,GESTIONES!$D:$D, "SMS")</f>
        <v>1</v>
      </c>
      <c r="O173">
        <f>SUMIFS(PAGOS!$D:$D,PAGOS!$A:$A, BASE_CUENTAS!$A173,PAGOS!$B:$B, BASE_CUENTAS!$C173)</f>
        <v>0</v>
      </c>
      <c r="P173" t="str">
        <f>IF(
VLOOKUP($C173,BASE_CIERRE_MES!$C:$G,5,FALSE)=0,
"Normalización",
IF(
VLOOKUP($C173,BASE_CIERRE_MES!$C:$G,5,FALSE)&lt;$H173,
"Recuperación",
IF(
VLOOKUP($C173,BASE_CIERRE_MES!$C:$G,5,FALSE)=$H173,
"Contención",
"Rodamiento"
)))</f>
        <v>Rodamiento</v>
      </c>
      <c r="Q173">
        <f t="shared" si="2"/>
        <v>0</v>
      </c>
    </row>
    <row r="174" spans="1:17" x14ac:dyDescent="0.25">
      <c r="A174">
        <v>8165995</v>
      </c>
      <c r="B174" t="s">
        <v>17</v>
      </c>
      <c r="C174">
        <v>19787114</v>
      </c>
      <c r="D174" t="s">
        <v>7</v>
      </c>
      <c r="E174">
        <v>6788101</v>
      </c>
      <c r="F174" s="2">
        <v>2577289</v>
      </c>
      <c r="G174" s="2">
        <v>1400872</v>
      </c>
      <c r="H174">
        <v>60</v>
      </c>
      <c r="I174" s="1">
        <v>42491</v>
      </c>
      <c r="J174" t="s">
        <v>6</v>
      </c>
      <c r="K174">
        <f>COUNTIFS(GESTIONES!$A:$A, BASE_CUENTAS!$A174, GESTIONES!$B:$B, BASE_CUENTAS!$C174)</f>
        <v>3</v>
      </c>
      <c r="L174">
        <f>COUNTIFS(GESTIONES!$A:$A, BASE_CUENTAS!$A174,GESTIONES!$B:$B, BASE_CUENTAS!$C174,GESTIONES!$E:$E, "S")</f>
        <v>1</v>
      </c>
      <c r="M174">
        <f>COUNTIFS(GESTIONES!$A:$A, BASE_CUENTAS!$A174,GESTIONES!$B:$B, BASE_CUENTAS!$C174,GESTIONES!$E:$E, "N")</f>
        <v>2</v>
      </c>
      <c r="N174">
        <f>COUNTIFS(GESTIONES!$A:$A, BASE_CUENTAS!$A174,GESTIONES!$B:$B, BASE_CUENTAS!$C174,GESTIONES!$D:$D, "SMS")</f>
        <v>2</v>
      </c>
      <c r="O174">
        <f>SUMIFS(PAGOS!$D:$D,PAGOS!$A:$A, BASE_CUENTAS!$A174,PAGOS!$B:$B, BASE_CUENTAS!$C174)</f>
        <v>466957</v>
      </c>
      <c r="P174" t="str">
        <f>IF(
VLOOKUP($C174,BASE_CIERRE_MES!$C:$G,5,FALSE)=0,
"Normalización",
IF(
VLOOKUP($C174,BASE_CIERRE_MES!$C:$G,5,FALSE)&lt;$H174,
"Recuperación",
IF(
VLOOKUP($C174,BASE_CIERRE_MES!$C:$G,5,FALSE)=$H174,
"Contención",
"Rodamiento"
)))</f>
        <v>Contención</v>
      </c>
      <c r="Q174">
        <f t="shared" si="2"/>
        <v>0.18118146626164158</v>
      </c>
    </row>
    <row r="175" spans="1:17" x14ac:dyDescent="0.25">
      <c r="A175">
        <v>8165995</v>
      </c>
      <c r="B175" t="s">
        <v>17</v>
      </c>
      <c r="C175">
        <v>28584115</v>
      </c>
      <c r="D175" t="s">
        <v>7</v>
      </c>
      <c r="E175">
        <v>6788101</v>
      </c>
      <c r="F175" s="2">
        <v>4210812</v>
      </c>
      <c r="G175" s="2">
        <v>623889</v>
      </c>
      <c r="H175">
        <v>60</v>
      </c>
      <c r="I175" s="1">
        <v>42523</v>
      </c>
      <c r="J175" t="s">
        <v>6</v>
      </c>
      <c r="K175">
        <f>COUNTIFS(GESTIONES!$A:$A, BASE_CUENTAS!$A175, GESTIONES!$B:$B, BASE_CUENTAS!$C175)</f>
        <v>3</v>
      </c>
      <c r="L175">
        <f>COUNTIFS(GESTIONES!$A:$A, BASE_CUENTAS!$A175,GESTIONES!$B:$B, BASE_CUENTAS!$C175,GESTIONES!$E:$E, "S")</f>
        <v>1</v>
      </c>
      <c r="M175">
        <f>COUNTIFS(GESTIONES!$A:$A, BASE_CUENTAS!$A175,GESTIONES!$B:$B, BASE_CUENTAS!$C175,GESTIONES!$E:$E, "N")</f>
        <v>2</v>
      </c>
      <c r="N175">
        <f>COUNTIFS(GESTIONES!$A:$A, BASE_CUENTAS!$A175,GESTIONES!$B:$B, BASE_CUENTAS!$C175,GESTIONES!$D:$D, "SMS")</f>
        <v>0</v>
      </c>
      <c r="O175">
        <f>SUMIFS(PAGOS!$D:$D,PAGOS!$A:$A, BASE_CUENTAS!$A175,PAGOS!$B:$B, BASE_CUENTAS!$C175)</f>
        <v>623889</v>
      </c>
      <c r="P175" t="str">
        <f>IF(
VLOOKUP($C175,BASE_CIERRE_MES!$C:$G,5,FALSE)=0,
"Normalización",
IF(
VLOOKUP($C175,BASE_CIERRE_MES!$C:$G,5,FALSE)&lt;$H175,
"Recuperación",
IF(
VLOOKUP($C175,BASE_CIERRE_MES!$C:$G,5,FALSE)=$H175,
"Contención",
"Rodamiento"
)))</f>
        <v>Normalización</v>
      </c>
      <c r="Q175">
        <f t="shared" si="2"/>
        <v>0.14816358460078483</v>
      </c>
    </row>
    <row r="176" spans="1:17" x14ac:dyDescent="0.25">
      <c r="A176">
        <v>8166018</v>
      </c>
      <c r="B176" t="s">
        <v>18</v>
      </c>
      <c r="C176">
        <v>26407894</v>
      </c>
      <c r="D176" t="s">
        <v>7</v>
      </c>
      <c r="E176">
        <v>252395</v>
      </c>
      <c r="F176" s="2">
        <v>252395</v>
      </c>
      <c r="G176" s="2">
        <v>70129</v>
      </c>
      <c r="H176">
        <v>30</v>
      </c>
      <c r="I176" s="1">
        <v>42521</v>
      </c>
      <c r="J176" t="s">
        <v>4</v>
      </c>
      <c r="K176">
        <f>COUNTIFS(GESTIONES!$A:$A, BASE_CUENTAS!$A176, GESTIONES!$B:$B, BASE_CUENTAS!$C176)</f>
        <v>3</v>
      </c>
      <c r="L176">
        <f>COUNTIFS(GESTIONES!$A:$A, BASE_CUENTAS!$A176,GESTIONES!$B:$B, BASE_CUENTAS!$C176,GESTIONES!$E:$E, "S")</f>
        <v>1</v>
      </c>
      <c r="M176">
        <f>COUNTIFS(GESTIONES!$A:$A, BASE_CUENTAS!$A176,GESTIONES!$B:$B, BASE_CUENTAS!$C176,GESTIONES!$E:$E, "N")</f>
        <v>2</v>
      </c>
      <c r="N176">
        <f>COUNTIFS(GESTIONES!$A:$A, BASE_CUENTAS!$A176,GESTIONES!$B:$B, BASE_CUENTAS!$C176,GESTIONES!$D:$D, "SMS")</f>
        <v>0</v>
      </c>
      <c r="O176">
        <f>SUMIFS(PAGOS!$D:$D,PAGOS!$A:$A, BASE_CUENTAS!$A176,PAGOS!$B:$B, BASE_CUENTAS!$C176)</f>
        <v>70129</v>
      </c>
      <c r="P176" t="str">
        <f>IF(
VLOOKUP($C176,BASE_CIERRE_MES!$C:$G,5,FALSE)=0,
"Normalización",
IF(
VLOOKUP($C176,BASE_CIERRE_MES!$C:$G,5,FALSE)&lt;$H176,
"Recuperación",
IF(
VLOOKUP($C176,BASE_CIERRE_MES!$C:$G,5,FALSE)=$H176,
"Contención",
"Rodamiento"
)))</f>
        <v>Normalización</v>
      </c>
      <c r="Q176">
        <f t="shared" si="2"/>
        <v>0.27785415717427048</v>
      </c>
    </row>
    <row r="177" spans="1:17" x14ac:dyDescent="0.25">
      <c r="A177">
        <v>8166066</v>
      </c>
      <c r="B177" t="s">
        <v>18</v>
      </c>
      <c r="C177">
        <v>25450737</v>
      </c>
      <c r="D177" t="s">
        <v>7</v>
      </c>
      <c r="E177">
        <v>378038</v>
      </c>
      <c r="F177" s="2">
        <v>378038</v>
      </c>
      <c r="G177" s="2">
        <v>378038</v>
      </c>
      <c r="H177">
        <v>150</v>
      </c>
      <c r="I177" s="1">
        <v>42508</v>
      </c>
      <c r="J177" t="s">
        <v>5</v>
      </c>
      <c r="K177">
        <f>COUNTIFS(GESTIONES!$A:$A, BASE_CUENTAS!$A177, GESTIONES!$B:$B, BASE_CUENTAS!$C177)</f>
        <v>3</v>
      </c>
      <c r="L177">
        <f>COUNTIFS(GESTIONES!$A:$A, BASE_CUENTAS!$A177,GESTIONES!$B:$B, BASE_CUENTAS!$C177,GESTIONES!$E:$E, "S")</f>
        <v>2</v>
      </c>
      <c r="M177">
        <f>COUNTIFS(GESTIONES!$A:$A, BASE_CUENTAS!$A177,GESTIONES!$B:$B, BASE_CUENTAS!$C177,GESTIONES!$E:$E, "N")</f>
        <v>1</v>
      </c>
      <c r="N177">
        <f>COUNTIFS(GESTIONES!$A:$A, BASE_CUENTAS!$A177,GESTIONES!$B:$B, BASE_CUENTAS!$C177,GESTIONES!$D:$D, "SMS")</f>
        <v>1</v>
      </c>
      <c r="O177">
        <f>SUMIFS(PAGOS!$D:$D,PAGOS!$A:$A, BASE_CUENTAS!$A177,PAGOS!$B:$B, BASE_CUENTAS!$C177)</f>
        <v>0</v>
      </c>
      <c r="P177" t="str">
        <f>IF(
VLOOKUP($C177,BASE_CIERRE_MES!$C:$G,5,FALSE)=0,
"Normalización",
IF(
VLOOKUP($C177,BASE_CIERRE_MES!$C:$G,5,FALSE)&lt;$H177,
"Recuperación",
IF(
VLOOKUP($C177,BASE_CIERRE_MES!$C:$G,5,FALSE)=$H177,
"Contención",
"Rodamiento"
)))</f>
        <v>Rodamiento</v>
      </c>
      <c r="Q177">
        <f t="shared" si="2"/>
        <v>0</v>
      </c>
    </row>
    <row r="178" spans="1:17" x14ac:dyDescent="0.25">
      <c r="A178">
        <v>8166124</v>
      </c>
      <c r="B178" t="s">
        <v>18</v>
      </c>
      <c r="C178">
        <v>25535320</v>
      </c>
      <c r="D178" t="s">
        <v>7</v>
      </c>
      <c r="E178">
        <v>1926711</v>
      </c>
      <c r="F178" s="2">
        <v>739228</v>
      </c>
      <c r="G178" s="2">
        <v>264812</v>
      </c>
      <c r="H178">
        <v>90</v>
      </c>
      <c r="I178" s="1">
        <v>42476</v>
      </c>
      <c r="J178" t="s">
        <v>5</v>
      </c>
      <c r="K178">
        <f>COUNTIFS(GESTIONES!$A:$A, BASE_CUENTAS!$A178, GESTIONES!$B:$B, BASE_CUENTAS!$C178)</f>
        <v>3</v>
      </c>
      <c r="L178">
        <f>COUNTIFS(GESTIONES!$A:$A, BASE_CUENTAS!$A178,GESTIONES!$B:$B, BASE_CUENTAS!$C178,GESTIONES!$E:$E, "S")</f>
        <v>1</v>
      </c>
      <c r="M178">
        <f>COUNTIFS(GESTIONES!$A:$A, BASE_CUENTAS!$A178,GESTIONES!$B:$B, BASE_CUENTAS!$C178,GESTIONES!$E:$E, "N")</f>
        <v>2</v>
      </c>
      <c r="N178">
        <f>COUNTIFS(GESTIONES!$A:$A, BASE_CUENTAS!$A178,GESTIONES!$B:$B, BASE_CUENTAS!$C178,GESTIONES!$D:$D, "SMS")</f>
        <v>0</v>
      </c>
      <c r="O178">
        <f>SUMIFS(PAGOS!$D:$D,PAGOS!$A:$A, BASE_CUENTAS!$A178,PAGOS!$B:$B, BASE_CUENTAS!$C178)</f>
        <v>0</v>
      </c>
      <c r="P178" t="str">
        <f>IF(
VLOOKUP($C178,BASE_CIERRE_MES!$C:$G,5,FALSE)=0,
"Normalización",
IF(
VLOOKUP($C178,BASE_CIERRE_MES!$C:$G,5,FALSE)&lt;$H178,
"Recuperación",
IF(
VLOOKUP($C178,BASE_CIERRE_MES!$C:$G,5,FALSE)=$H178,
"Contención",
"Rodamiento"
)))</f>
        <v>Rodamiento</v>
      </c>
      <c r="Q178">
        <f t="shared" si="2"/>
        <v>0</v>
      </c>
    </row>
    <row r="179" spans="1:17" x14ac:dyDescent="0.25">
      <c r="A179">
        <v>8166124</v>
      </c>
      <c r="B179" t="s">
        <v>18</v>
      </c>
      <c r="C179">
        <v>27177694</v>
      </c>
      <c r="D179" t="s">
        <v>7</v>
      </c>
      <c r="E179">
        <v>1926711</v>
      </c>
      <c r="F179" s="2">
        <v>1187483</v>
      </c>
      <c r="G179" s="2">
        <v>1187483</v>
      </c>
      <c r="H179">
        <v>180</v>
      </c>
      <c r="I179" s="1">
        <v>42481</v>
      </c>
      <c r="J179" t="s">
        <v>5</v>
      </c>
      <c r="K179">
        <f>COUNTIFS(GESTIONES!$A:$A, BASE_CUENTAS!$A179, GESTIONES!$B:$B, BASE_CUENTAS!$C179)</f>
        <v>3</v>
      </c>
      <c r="L179">
        <f>COUNTIFS(GESTIONES!$A:$A, BASE_CUENTAS!$A179,GESTIONES!$B:$B, BASE_CUENTAS!$C179,GESTIONES!$E:$E, "S")</f>
        <v>0</v>
      </c>
      <c r="M179">
        <f>COUNTIFS(GESTIONES!$A:$A, BASE_CUENTAS!$A179,GESTIONES!$B:$B, BASE_CUENTAS!$C179,GESTIONES!$E:$E, "N")</f>
        <v>3</v>
      </c>
      <c r="N179">
        <f>COUNTIFS(GESTIONES!$A:$A, BASE_CUENTAS!$A179,GESTIONES!$B:$B, BASE_CUENTAS!$C179,GESTIONES!$D:$D, "SMS")</f>
        <v>2</v>
      </c>
      <c r="O179">
        <f>SUMIFS(PAGOS!$D:$D,PAGOS!$A:$A, BASE_CUENTAS!$A179,PAGOS!$B:$B, BASE_CUENTAS!$C179)</f>
        <v>0</v>
      </c>
      <c r="P179" t="str">
        <f>IF(
VLOOKUP($C179,BASE_CIERRE_MES!$C:$G,5,FALSE)=0,
"Normalización",
IF(
VLOOKUP($C179,BASE_CIERRE_MES!$C:$G,5,FALSE)&lt;$H179,
"Recuperación",
IF(
VLOOKUP($C179,BASE_CIERRE_MES!$C:$G,5,FALSE)=$H179,
"Contención",
"Rodamiento"
)))</f>
        <v>Rodamiento</v>
      </c>
      <c r="Q179">
        <f t="shared" si="2"/>
        <v>0</v>
      </c>
    </row>
    <row r="180" spans="1:17" x14ac:dyDescent="0.25">
      <c r="A180">
        <v>8166205</v>
      </c>
      <c r="B180" t="s">
        <v>17</v>
      </c>
      <c r="C180">
        <v>20943764</v>
      </c>
      <c r="D180" t="s">
        <v>7</v>
      </c>
      <c r="E180">
        <v>8319218</v>
      </c>
      <c r="F180" s="2">
        <v>1365396</v>
      </c>
      <c r="G180" s="2">
        <v>142091</v>
      </c>
      <c r="H180">
        <v>30</v>
      </c>
      <c r="I180" s="1">
        <v>42521</v>
      </c>
      <c r="J180" t="s">
        <v>4</v>
      </c>
      <c r="K180">
        <f>COUNTIFS(GESTIONES!$A:$A, BASE_CUENTAS!$A180, GESTIONES!$B:$B, BASE_CUENTAS!$C180)</f>
        <v>3</v>
      </c>
      <c r="L180">
        <f>COUNTIFS(GESTIONES!$A:$A, BASE_CUENTAS!$A180,GESTIONES!$B:$B, BASE_CUENTAS!$C180,GESTIONES!$E:$E, "S")</f>
        <v>1</v>
      </c>
      <c r="M180">
        <f>COUNTIFS(GESTIONES!$A:$A, BASE_CUENTAS!$A180,GESTIONES!$B:$B, BASE_CUENTAS!$C180,GESTIONES!$E:$E, "N")</f>
        <v>2</v>
      </c>
      <c r="N180">
        <f>COUNTIFS(GESTIONES!$A:$A, BASE_CUENTAS!$A180,GESTIONES!$B:$B, BASE_CUENTAS!$C180,GESTIONES!$D:$D, "SMS")</f>
        <v>1</v>
      </c>
      <c r="O180">
        <f>SUMIFS(PAGOS!$D:$D,PAGOS!$A:$A, BASE_CUENTAS!$A180,PAGOS!$B:$B, BASE_CUENTAS!$C180)</f>
        <v>1365396</v>
      </c>
      <c r="P180" t="str">
        <f>IF(
VLOOKUP($C180,BASE_CIERRE_MES!$C:$G,5,FALSE)=0,
"Normalización",
IF(
VLOOKUP($C180,BASE_CIERRE_MES!$C:$G,5,FALSE)&lt;$H180,
"Recuperación",
IF(
VLOOKUP($C180,BASE_CIERRE_MES!$C:$G,5,FALSE)=$H180,
"Contención",
"Rodamiento"
)))</f>
        <v>Normalización</v>
      </c>
      <c r="Q180">
        <f t="shared" si="2"/>
        <v>1</v>
      </c>
    </row>
    <row r="181" spans="1:17" x14ac:dyDescent="0.25">
      <c r="A181">
        <v>8166205</v>
      </c>
      <c r="B181" t="s">
        <v>17</v>
      </c>
      <c r="C181">
        <v>20946217</v>
      </c>
      <c r="D181" t="s">
        <v>7</v>
      </c>
      <c r="E181">
        <v>8319218</v>
      </c>
      <c r="F181" s="2">
        <v>1967227</v>
      </c>
      <c r="G181" s="2">
        <v>248321</v>
      </c>
      <c r="H181">
        <v>30</v>
      </c>
      <c r="I181" s="1">
        <v>42521</v>
      </c>
      <c r="J181" t="s">
        <v>4</v>
      </c>
      <c r="K181">
        <f>COUNTIFS(GESTIONES!$A:$A, BASE_CUENTAS!$A181, GESTIONES!$B:$B, BASE_CUENTAS!$C181)</f>
        <v>3</v>
      </c>
      <c r="L181">
        <f>COUNTIFS(GESTIONES!$A:$A, BASE_CUENTAS!$A181,GESTIONES!$B:$B, BASE_CUENTAS!$C181,GESTIONES!$E:$E, "S")</f>
        <v>1</v>
      </c>
      <c r="M181">
        <f>COUNTIFS(GESTIONES!$A:$A, BASE_CUENTAS!$A181,GESTIONES!$B:$B, BASE_CUENTAS!$C181,GESTIONES!$E:$E, "N")</f>
        <v>2</v>
      </c>
      <c r="N181">
        <f>COUNTIFS(GESTIONES!$A:$A, BASE_CUENTAS!$A181,GESTIONES!$B:$B, BASE_CUENTAS!$C181,GESTIONES!$D:$D, "SMS")</f>
        <v>0</v>
      </c>
      <c r="O181">
        <f>SUMIFS(PAGOS!$D:$D,PAGOS!$A:$A, BASE_CUENTAS!$A181,PAGOS!$B:$B, BASE_CUENTAS!$C181)</f>
        <v>124161</v>
      </c>
      <c r="P181" t="str">
        <f>IF(
VLOOKUP($C181,BASE_CIERRE_MES!$C:$G,5,FALSE)=0,
"Normalización",
IF(
VLOOKUP($C181,BASE_CIERRE_MES!$C:$G,5,FALSE)&lt;$H181,
"Recuperación",
IF(
VLOOKUP($C181,BASE_CIERRE_MES!$C:$G,5,FALSE)=$H181,
"Contención",
"Rodamiento"
)))</f>
        <v>Recuperación</v>
      </c>
      <c r="Q181">
        <f t="shared" si="2"/>
        <v>6.3114729515200835E-2</v>
      </c>
    </row>
    <row r="182" spans="1:17" x14ac:dyDescent="0.25">
      <c r="A182">
        <v>8166235</v>
      </c>
      <c r="B182" t="s">
        <v>17</v>
      </c>
      <c r="C182">
        <v>22194960</v>
      </c>
      <c r="D182" t="s">
        <v>7</v>
      </c>
      <c r="E182">
        <v>5955786</v>
      </c>
      <c r="F182" s="2">
        <v>3008696</v>
      </c>
      <c r="G182" s="2">
        <v>395182</v>
      </c>
      <c r="H182">
        <v>30</v>
      </c>
      <c r="I182" s="1">
        <v>42508</v>
      </c>
      <c r="J182" t="s">
        <v>6</v>
      </c>
      <c r="K182">
        <f>COUNTIFS(GESTIONES!$A:$A, BASE_CUENTAS!$A182, GESTIONES!$B:$B, BASE_CUENTAS!$C182)</f>
        <v>3</v>
      </c>
      <c r="L182">
        <f>COUNTIFS(GESTIONES!$A:$A, BASE_CUENTAS!$A182,GESTIONES!$B:$B, BASE_CUENTAS!$C182,GESTIONES!$E:$E, "S")</f>
        <v>1</v>
      </c>
      <c r="M182">
        <f>COUNTIFS(GESTIONES!$A:$A, BASE_CUENTAS!$A182,GESTIONES!$B:$B, BASE_CUENTAS!$C182,GESTIONES!$E:$E, "N")</f>
        <v>2</v>
      </c>
      <c r="N182">
        <f>COUNTIFS(GESTIONES!$A:$A, BASE_CUENTAS!$A182,GESTIONES!$B:$B, BASE_CUENTAS!$C182,GESTIONES!$D:$D, "SMS")</f>
        <v>1</v>
      </c>
      <c r="O182">
        <f>SUMIFS(PAGOS!$D:$D,PAGOS!$A:$A, BASE_CUENTAS!$A182,PAGOS!$B:$B, BASE_CUENTAS!$C182)</f>
        <v>0</v>
      </c>
      <c r="P182" t="str">
        <f>IF(
VLOOKUP($C182,BASE_CIERRE_MES!$C:$G,5,FALSE)=0,
"Normalización",
IF(
VLOOKUP($C182,BASE_CIERRE_MES!$C:$G,5,FALSE)&lt;$H182,
"Recuperación",
IF(
VLOOKUP($C182,BASE_CIERRE_MES!$C:$G,5,FALSE)=$H182,
"Contención",
"Rodamiento"
)))</f>
        <v>Rodamiento</v>
      </c>
      <c r="Q182">
        <f t="shared" si="2"/>
        <v>0</v>
      </c>
    </row>
    <row r="183" spans="1:17" x14ac:dyDescent="0.25">
      <c r="A183">
        <v>8166235</v>
      </c>
      <c r="B183" t="s">
        <v>17</v>
      </c>
      <c r="C183">
        <v>23293642</v>
      </c>
      <c r="D183" t="s">
        <v>7</v>
      </c>
      <c r="E183">
        <v>5955786</v>
      </c>
      <c r="F183" s="2">
        <v>2947090</v>
      </c>
      <c r="G183" s="2">
        <v>354842</v>
      </c>
      <c r="H183">
        <v>30</v>
      </c>
      <c r="I183" s="1">
        <v>42508</v>
      </c>
      <c r="J183" t="s">
        <v>6</v>
      </c>
      <c r="K183">
        <f>COUNTIFS(GESTIONES!$A:$A, BASE_CUENTAS!$A183, GESTIONES!$B:$B, BASE_CUENTAS!$C183)</f>
        <v>3</v>
      </c>
      <c r="L183">
        <f>COUNTIFS(GESTIONES!$A:$A, BASE_CUENTAS!$A183,GESTIONES!$B:$B, BASE_CUENTAS!$C183,GESTIONES!$E:$E, "S")</f>
        <v>1</v>
      </c>
      <c r="M183">
        <f>COUNTIFS(GESTIONES!$A:$A, BASE_CUENTAS!$A183,GESTIONES!$B:$B, BASE_CUENTAS!$C183,GESTIONES!$E:$E, "N")</f>
        <v>2</v>
      </c>
      <c r="N183">
        <f>COUNTIFS(GESTIONES!$A:$A, BASE_CUENTAS!$A183,GESTIONES!$B:$B, BASE_CUENTAS!$C183,GESTIONES!$D:$D, "SMS")</f>
        <v>0</v>
      </c>
      <c r="O183">
        <f>SUMIFS(PAGOS!$D:$D,PAGOS!$A:$A, BASE_CUENTAS!$A183,PAGOS!$B:$B, BASE_CUENTAS!$C183)</f>
        <v>0</v>
      </c>
      <c r="P183" t="str">
        <f>IF(
VLOOKUP($C183,BASE_CIERRE_MES!$C:$G,5,FALSE)=0,
"Normalización",
IF(
VLOOKUP($C183,BASE_CIERRE_MES!$C:$G,5,FALSE)&lt;$H183,
"Recuperación",
IF(
VLOOKUP($C183,BASE_CIERRE_MES!$C:$G,5,FALSE)=$H183,
"Contención",
"Rodamiento"
)))</f>
        <v>Rodamiento</v>
      </c>
      <c r="Q183">
        <f t="shared" si="2"/>
        <v>0</v>
      </c>
    </row>
    <row r="184" spans="1:17" x14ac:dyDescent="0.25">
      <c r="A184">
        <v>8166389</v>
      </c>
      <c r="B184" t="s">
        <v>18</v>
      </c>
      <c r="C184">
        <v>26935836</v>
      </c>
      <c r="D184" t="s">
        <v>7</v>
      </c>
      <c r="E184">
        <v>1750281</v>
      </c>
      <c r="F184" s="2">
        <v>1750281</v>
      </c>
      <c r="G184" s="2">
        <v>248728</v>
      </c>
      <c r="H184">
        <v>60</v>
      </c>
      <c r="I184" s="1">
        <v>42519</v>
      </c>
      <c r="J184" t="s">
        <v>6</v>
      </c>
      <c r="K184">
        <f>COUNTIFS(GESTIONES!$A:$A, BASE_CUENTAS!$A184, GESTIONES!$B:$B, BASE_CUENTAS!$C184)</f>
        <v>3</v>
      </c>
      <c r="L184">
        <f>COUNTIFS(GESTIONES!$A:$A, BASE_CUENTAS!$A184,GESTIONES!$B:$B, BASE_CUENTAS!$C184,GESTIONES!$E:$E, "S")</f>
        <v>0</v>
      </c>
      <c r="M184">
        <f>COUNTIFS(GESTIONES!$A:$A, BASE_CUENTAS!$A184,GESTIONES!$B:$B, BASE_CUENTAS!$C184,GESTIONES!$E:$E, "N")</f>
        <v>3</v>
      </c>
      <c r="N184">
        <f>COUNTIFS(GESTIONES!$A:$A, BASE_CUENTAS!$A184,GESTIONES!$B:$B, BASE_CUENTAS!$C184,GESTIONES!$D:$D, "SMS")</f>
        <v>2</v>
      </c>
      <c r="O184">
        <f>SUMIFS(PAGOS!$D:$D,PAGOS!$A:$A, BASE_CUENTAS!$A184,PAGOS!$B:$B, BASE_CUENTAS!$C184)</f>
        <v>248728</v>
      </c>
      <c r="P184" t="str">
        <f>IF(
VLOOKUP($C184,BASE_CIERRE_MES!$C:$G,5,FALSE)=0,
"Normalización",
IF(
VLOOKUP($C184,BASE_CIERRE_MES!$C:$G,5,FALSE)&lt;$H184,
"Recuperación",
IF(
VLOOKUP($C184,BASE_CIERRE_MES!$C:$G,5,FALSE)=$H184,
"Contención",
"Rodamiento"
)))</f>
        <v>Normalización</v>
      </c>
      <c r="Q184">
        <f t="shared" si="2"/>
        <v>0.14210746731524823</v>
      </c>
    </row>
    <row r="185" spans="1:17" x14ac:dyDescent="0.25">
      <c r="A185">
        <v>8166412</v>
      </c>
      <c r="B185" t="s">
        <v>18</v>
      </c>
      <c r="C185">
        <v>28040121</v>
      </c>
      <c r="D185" t="s">
        <v>7</v>
      </c>
      <c r="E185">
        <v>744968</v>
      </c>
      <c r="F185" s="2">
        <v>744968</v>
      </c>
      <c r="G185" s="2">
        <v>88702</v>
      </c>
      <c r="H185">
        <v>30</v>
      </c>
      <c r="I185" s="1">
        <v>42521</v>
      </c>
      <c r="J185" t="s">
        <v>4</v>
      </c>
      <c r="K185">
        <f>COUNTIFS(GESTIONES!$A:$A, BASE_CUENTAS!$A185, GESTIONES!$B:$B, BASE_CUENTAS!$C185)</f>
        <v>3</v>
      </c>
      <c r="L185">
        <f>COUNTIFS(GESTIONES!$A:$A, BASE_CUENTAS!$A185,GESTIONES!$B:$B, BASE_CUENTAS!$C185,GESTIONES!$E:$E, "S")</f>
        <v>1</v>
      </c>
      <c r="M185">
        <f>COUNTIFS(GESTIONES!$A:$A, BASE_CUENTAS!$A185,GESTIONES!$B:$B, BASE_CUENTAS!$C185,GESTIONES!$E:$E, "N")</f>
        <v>2</v>
      </c>
      <c r="N185">
        <f>COUNTIFS(GESTIONES!$A:$A, BASE_CUENTAS!$A185,GESTIONES!$B:$B, BASE_CUENTAS!$C185,GESTIONES!$D:$D, "SMS")</f>
        <v>1</v>
      </c>
      <c r="O185">
        <f>SUMIFS(PAGOS!$D:$D,PAGOS!$A:$A, BASE_CUENTAS!$A185,PAGOS!$B:$B, BASE_CUENTAS!$C185)</f>
        <v>0</v>
      </c>
      <c r="P185" t="str">
        <f>IF(
VLOOKUP($C185,BASE_CIERRE_MES!$C:$G,5,FALSE)=0,
"Normalización",
IF(
VLOOKUP($C185,BASE_CIERRE_MES!$C:$G,5,FALSE)&lt;$H185,
"Recuperación",
IF(
VLOOKUP($C185,BASE_CIERRE_MES!$C:$G,5,FALSE)=$H185,
"Contención",
"Rodamiento"
)))</f>
        <v>Rodamiento</v>
      </c>
      <c r="Q185">
        <f t="shared" si="2"/>
        <v>0</v>
      </c>
    </row>
    <row r="186" spans="1:17" x14ac:dyDescent="0.25">
      <c r="A186">
        <v>8166533</v>
      </c>
      <c r="B186" t="s">
        <v>18</v>
      </c>
      <c r="C186">
        <v>27048470</v>
      </c>
      <c r="D186" t="s">
        <v>7</v>
      </c>
      <c r="E186">
        <v>370758</v>
      </c>
      <c r="F186" s="2">
        <v>370758</v>
      </c>
      <c r="G186" s="2">
        <v>36789</v>
      </c>
      <c r="H186">
        <v>30</v>
      </c>
      <c r="I186" s="1">
        <v>42480</v>
      </c>
      <c r="J186" t="s">
        <v>6</v>
      </c>
      <c r="K186">
        <f>COUNTIFS(GESTIONES!$A:$A, BASE_CUENTAS!$A186, GESTIONES!$B:$B, BASE_CUENTAS!$C186)</f>
        <v>3</v>
      </c>
      <c r="L186">
        <f>COUNTIFS(GESTIONES!$A:$A, BASE_CUENTAS!$A186,GESTIONES!$B:$B, BASE_CUENTAS!$C186,GESTIONES!$E:$E, "S")</f>
        <v>1</v>
      </c>
      <c r="M186">
        <f>COUNTIFS(GESTIONES!$A:$A, BASE_CUENTAS!$A186,GESTIONES!$B:$B, BASE_CUENTAS!$C186,GESTIONES!$E:$E, "N")</f>
        <v>2</v>
      </c>
      <c r="N186">
        <f>COUNTIFS(GESTIONES!$A:$A, BASE_CUENTAS!$A186,GESTIONES!$B:$B, BASE_CUENTAS!$C186,GESTIONES!$D:$D, "SMS")</f>
        <v>0</v>
      </c>
      <c r="O186">
        <f>SUMIFS(PAGOS!$D:$D,PAGOS!$A:$A, BASE_CUENTAS!$A186,PAGOS!$B:$B, BASE_CUENTAS!$C186)</f>
        <v>36789</v>
      </c>
      <c r="P186" t="str">
        <f>IF(
VLOOKUP($C186,BASE_CIERRE_MES!$C:$G,5,FALSE)=0,
"Normalización",
IF(
VLOOKUP($C186,BASE_CIERRE_MES!$C:$G,5,FALSE)&lt;$H186,
"Recuperación",
IF(
VLOOKUP($C186,BASE_CIERRE_MES!$C:$G,5,FALSE)=$H186,
"Contención",
"Rodamiento"
)))</f>
        <v>Normalización</v>
      </c>
      <c r="Q186">
        <f t="shared" si="2"/>
        <v>9.9226449597850888E-2</v>
      </c>
    </row>
    <row r="187" spans="1:17" x14ac:dyDescent="0.25">
      <c r="A187">
        <v>8166876</v>
      </c>
      <c r="B187" t="s">
        <v>17</v>
      </c>
      <c r="C187">
        <v>25427986</v>
      </c>
      <c r="D187" t="s">
        <v>7</v>
      </c>
      <c r="E187">
        <v>9342267</v>
      </c>
      <c r="F187" s="2">
        <v>1423007</v>
      </c>
      <c r="G187" s="2">
        <v>49461</v>
      </c>
      <c r="H187">
        <v>30</v>
      </c>
      <c r="I187" s="1">
        <v>42508</v>
      </c>
      <c r="J187" t="s">
        <v>5</v>
      </c>
      <c r="K187">
        <f>COUNTIFS(GESTIONES!$A:$A, BASE_CUENTAS!$A187, GESTIONES!$B:$B, BASE_CUENTAS!$C187)</f>
        <v>3</v>
      </c>
      <c r="L187">
        <f>COUNTIFS(GESTIONES!$A:$A, BASE_CUENTAS!$A187,GESTIONES!$B:$B, BASE_CUENTAS!$C187,GESTIONES!$E:$E, "S")</f>
        <v>1</v>
      </c>
      <c r="M187">
        <f>COUNTIFS(GESTIONES!$A:$A, BASE_CUENTAS!$A187,GESTIONES!$B:$B, BASE_CUENTAS!$C187,GESTIONES!$E:$E, "N")</f>
        <v>2</v>
      </c>
      <c r="N187">
        <f>COUNTIFS(GESTIONES!$A:$A, BASE_CUENTAS!$A187,GESTIONES!$B:$B, BASE_CUENTAS!$C187,GESTIONES!$D:$D, "SMS")</f>
        <v>1</v>
      </c>
      <c r="O187">
        <f>SUMIFS(PAGOS!$D:$D,PAGOS!$A:$A, BASE_CUENTAS!$A187,PAGOS!$B:$B, BASE_CUENTAS!$C187)</f>
        <v>24731</v>
      </c>
      <c r="P187" t="str">
        <f>IF(
VLOOKUP($C187,BASE_CIERRE_MES!$C:$G,5,FALSE)=0,
"Normalización",
IF(
VLOOKUP($C187,BASE_CIERRE_MES!$C:$G,5,FALSE)&lt;$H187,
"Recuperación",
IF(
VLOOKUP($C187,BASE_CIERRE_MES!$C:$G,5,FALSE)=$H187,
"Contención",
"Rodamiento"
)))</f>
        <v>Recuperación</v>
      </c>
      <c r="Q187">
        <f t="shared" si="2"/>
        <v>1.7379394479436854E-2</v>
      </c>
    </row>
    <row r="188" spans="1:17" x14ac:dyDescent="0.25">
      <c r="A188">
        <v>8166876</v>
      </c>
      <c r="B188" t="s">
        <v>17</v>
      </c>
      <c r="C188">
        <v>25433531</v>
      </c>
      <c r="D188" t="s">
        <v>9</v>
      </c>
      <c r="E188">
        <v>9342267</v>
      </c>
      <c r="F188" s="2">
        <v>5417097</v>
      </c>
      <c r="G188" s="2">
        <v>171660</v>
      </c>
      <c r="H188">
        <v>29</v>
      </c>
      <c r="I188" s="1">
        <v>42501</v>
      </c>
      <c r="J188" t="s">
        <v>5</v>
      </c>
      <c r="K188">
        <f>COUNTIFS(GESTIONES!$A:$A, BASE_CUENTAS!$A188, GESTIONES!$B:$B, BASE_CUENTAS!$C188)</f>
        <v>3</v>
      </c>
      <c r="L188">
        <f>COUNTIFS(GESTIONES!$A:$A, BASE_CUENTAS!$A188,GESTIONES!$B:$B, BASE_CUENTAS!$C188,GESTIONES!$E:$E, "S")</f>
        <v>1</v>
      </c>
      <c r="M188">
        <f>COUNTIFS(GESTIONES!$A:$A, BASE_CUENTAS!$A188,GESTIONES!$B:$B, BASE_CUENTAS!$C188,GESTIONES!$E:$E, "N")</f>
        <v>2</v>
      </c>
      <c r="N188">
        <f>COUNTIFS(GESTIONES!$A:$A, BASE_CUENTAS!$A188,GESTIONES!$B:$B, BASE_CUENTAS!$C188,GESTIONES!$D:$D, "SMS")</f>
        <v>0</v>
      </c>
      <c r="O188">
        <f>SUMIFS(PAGOS!$D:$D,PAGOS!$A:$A, BASE_CUENTAS!$A188,PAGOS!$B:$B, BASE_CUENTAS!$C188)</f>
        <v>0</v>
      </c>
      <c r="P188" t="str">
        <f>IF(
VLOOKUP($C188,BASE_CIERRE_MES!$C:$G,5,FALSE)=0,
"Normalización",
IF(
VLOOKUP($C188,BASE_CIERRE_MES!$C:$G,5,FALSE)&lt;$H188,
"Recuperación",
IF(
VLOOKUP($C188,BASE_CIERRE_MES!$C:$G,5,FALSE)=$H188,
"Contención",
"Rodamiento"
)))</f>
        <v>Rodamiento</v>
      </c>
      <c r="Q188">
        <f t="shared" si="2"/>
        <v>0</v>
      </c>
    </row>
    <row r="189" spans="1:17" x14ac:dyDescent="0.25">
      <c r="A189">
        <v>8166895</v>
      </c>
      <c r="B189" t="s">
        <v>18</v>
      </c>
      <c r="C189">
        <v>17937860</v>
      </c>
      <c r="D189" t="s">
        <v>7</v>
      </c>
      <c r="E189">
        <v>1359116</v>
      </c>
      <c r="F189" s="2">
        <v>1359116</v>
      </c>
      <c r="G189" s="2">
        <v>183894</v>
      </c>
      <c r="H189">
        <v>30</v>
      </c>
      <c r="I189" s="1">
        <v>42521</v>
      </c>
      <c r="J189" t="s">
        <v>4</v>
      </c>
      <c r="K189">
        <f>COUNTIFS(GESTIONES!$A:$A, BASE_CUENTAS!$A189, GESTIONES!$B:$B, BASE_CUENTAS!$C189)</f>
        <v>3</v>
      </c>
      <c r="L189">
        <f>COUNTIFS(GESTIONES!$A:$A, BASE_CUENTAS!$A189,GESTIONES!$B:$B, BASE_CUENTAS!$C189,GESTIONES!$E:$E, "S")</f>
        <v>0</v>
      </c>
      <c r="M189">
        <f>COUNTIFS(GESTIONES!$A:$A, BASE_CUENTAS!$A189,GESTIONES!$B:$B, BASE_CUENTAS!$C189,GESTIONES!$E:$E, "N")</f>
        <v>3</v>
      </c>
      <c r="N189">
        <f>COUNTIFS(GESTIONES!$A:$A, BASE_CUENTAS!$A189,GESTIONES!$B:$B, BASE_CUENTAS!$C189,GESTIONES!$D:$D, "SMS")</f>
        <v>2</v>
      </c>
      <c r="O189">
        <f>SUMIFS(PAGOS!$D:$D,PAGOS!$A:$A, BASE_CUENTAS!$A189,PAGOS!$B:$B, BASE_CUENTAS!$C189)</f>
        <v>0</v>
      </c>
      <c r="P189" t="str">
        <f>IF(
VLOOKUP($C189,BASE_CIERRE_MES!$C:$G,5,FALSE)=0,
"Normalización",
IF(
VLOOKUP($C189,BASE_CIERRE_MES!$C:$G,5,FALSE)&lt;$H189,
"Recuperación",
IF(
VLOOKUP($C189,BASE_CIERRE_MES!$C:$G,5,FALSE)=$H189,
"Contención",
"Rodamiento"
)))</f>
        <v>Rodamiento</v>
      </c>
      <c r="Q189">
        <f t="shared" si="2"/>
        <v>0</v>
      </c>
    </row>
    <row r="190" spans="1:17" x14ac:dyDescent="0.25">
      <c r="A190">
        <v>8167005</v>
      </c>
      <c r="B190" t="s">
        <v>17</v>
      </c>
      <c r="C190">
        <v>25382403</v>
      </c>
      <c r="D190" t="s">
        <v>7</v>
      </c>
      <c r="E190">
        <v>4731519</v>
      </c>
      <c r="F190" s="2">
        <v>734787</v>
      </c>
      <c r="G190" s="2">
        <v>7806</v>
      </c>
      <c r="H190">
        <v>30</v>
      </c>
      <c r="I190" s="1">
        <v>42518</v>
      </c>
      <c r="J190" t="s">
        <v>6</v>
      </c>
      <c r="K190">
        <f>COUNTIFS(GESTIONES!$A:$A, BASE_CUENTAS!$A190, GESTIONES!$B:$B, BASE_CUENTAS!$C190)</f>
        <v>3</v>
      </c>
      <c r="L190">
        <f>COUNTIFS(GESTIONES!$A:$A, BASE_CUENTAS!$A190,GESTIONES!$B:$B, BASE_CUENTAS!$C190,GESTIONES!$E:$E, "S")</f>
        <v>1</v>
      </c>
      <c r="M190">
        <f>COUNTIFS(GESTIONES!$A:$A, BASE_CUENTAS!$A190,GESTIONES!$B:$B, BASE_CUENTAS!$C190,GESTIONES!$E:$E, "N")</f>
        <v>2</v>
      </c>
      <c r="N190">
        <f>COUNTIFS(GESTIONES!$A:$A, BASE_CUENTAS!$A190,GESTIONES!$B:$B, BASE_CUENTAS!$C190,GESTIONES!$D:$D, "SMS")</f>
        <v>1</v>
      </c>
      <c r="O190">
        <f>SUMIFS(PAGOS!$D:$D,PAGOS!$A:$A, BASE_CUENTAS!$A190,PAGOS!$B:$B, BASE_CUENTAS!$C190)</f>
        <v>2602</v>
      </c>
      <c r="P190" t="str">
        <f>IF(
VLOOKUP($C190,BASE_CIERRE_MES!$C:$G,5,FALSE)=0,
"Normalización",
IF(
VLOOKUP($C190,BASE_CIERRE_MES!$C:$G,5,FALSE)&lt;$H190,
"Recuperación",
IF(
VLOOKUP($C190,BASE_CIERRE_MES!$C:$G,5,FALSE)=$H190,
"Contención",
"Rodamiento"
)))</f>
        <v>Contención</v>
      </c>
      <c r="Q190">
        <f t="shared" si="2"/>
        <v>3.5411622687935417E-3</v>
      </c>
    </row>
    <row r="191" spans="1:17" x14ac:dyDescent="0.25">
      <c r="A191">
        <v>8167005</v>
      </c>
      <c r="B191" t="s">
        <v>17</v>
      </c>
      <c r="C191">
        <v>27609725</v>
      </c>
      <c r="D191" t="s">
        <v>7</v>
      </c>
      <c r="E191">
        <v>4731519</v>
      </c>
      <c r="F191" s="2">
        <v>1037574</v>
      </c>
      <c r="G191" s="2">
        <v>11709</v>
      </c>
      <c r="H191">
        <v>30</v>
      </c>
      <c r="I191" s="1">
        <v>42508</v>
      </c>
      <c r="J191" t="s">
        <v>6</v>
      </c>
      <c r="K191">
        <f>COUNTIFS(GESTIONES!$A:$A, BASE_CUENTAS!$A191, GESTIONES!$B:$B, BASE_CUENTAS!$C191)</f>
        <v>3</v>
      </c>
      <c r="L191">
        <f>COUNTIFS(GESTIONES!$A:$A, BASE_CUENTAS!$A191,GESTIONES!$B:$B, BASE_CUENTAS!$C191,GESTIONES!$E:$E, "S")</f>
        <v>1</v>
      </c>
      <c r="M191">
        <f>COUNTIFS(GESTIONES!$A:$A, BASE_CUENTAS!$A191,GESTIONES!$B:$B, BASE_CUENTAS!$C191,GESTIONES!$E:$E, "N")</f>
        <v>2</v>
      </c>
      <c r="N191">
        <f>COUNTIFS(GESTIONES!$A:$A, BASE_CUENTAS!$A191,GESTIONES!$B:$B, BASE_CUENTAS!$C191,GESTIONES!$D:$D, "SMS")</f>
        <v>0</v>
      </c>
      <c r="O191">
        <f>SUMIFS(PAGOS!$D:$D,PAGOS!$A:$A, BASE_CUENTAS!$A191,PAGOS!$B:$B, BASE_CUENTAS!$C191)</f>
        <v>11709</v>
      </c>
      <c r="P191" t="str">
        <f>IF(
VLOOKUP($C191,BASE_CIERRE_MES!$C:$G,5,FALSE)=0,
"Normalización",
IF(
VLOOKUP($C191,BASE_CIERRE_MES!$C:$G,5,FALSE)&lt;$H191,
"Recuperación",
IF(
VLOOKUP($C191,BASE_CIERRE_MES!$C:$G,5,FALSE)=$H191,
"Contención",
"Rodamiento"
)))</f>
        <v>Normalización</v>
      </c>
      <c r="Q191">
        <f t="shared" si="2"/>
        <v>1.1284978228058915E-2</v>
      </c>
    </row>
    <row r="192" spans="1:17" x14ac:dyDescent="0.25">
      <c r="A192">
        <v>8167406</v>
      </c>
      <c r="B192" t="s">
        <v>18</v>
      </c>
      <c r="C192">
        <v>18535343</v>
      </c>
      <c r="D192" t="s">
        <v>7</v>
      </c>
      <c r="E192">
        <v>1495475</v>
      </c>
      <c r="F192" s="2">
        <v>1495475</v>
      </c>
      <c r="G192" s="2">
        <v>418091</v>
      </c>
      <c r="H192">
        <v>30</v>
      </c>
      <c r="I192" s="1">
        <v>42521</v>
      </c>
      <c r="J192" t="s">
        <v>4</v>
      </c>
      <c r="K192">
        <f>COUNTIFS(GESTIONES!$A:$A, BASE_CUENTAS!$A192, GESTIONES!$B:$B, BASE_CUENTAS!$C192)</f>
        <v>3</v>
      </c>
      <c r="L192">
        <f>COUNTIFS(GESTIONES!$A:$A, BASE_CUENTAS!$A192,GESTIONES!$B:$B, BASE_CUENTAS!$C192,GESTIONES!$E:$E, "S")</f>
        <v>1</v>
      </c>
      <c r="M192">
        <f>COUNTIFS(GESTIONES!$A:$A, BASE_CUENTAS!$A192,GESTIONES!$B:$B, BASE_CUENTAS!$C192,GESTIONES!$E:$E, "N")</f>
        <v>2</v>
      </c>
      <c r="N192">
        <f>COUNTIFS(GESTIONES!$A:$A, BASE_CUENTAS!$A192,GESTIONES!$B:$B, BASE_CUENTAS!$C192,GESTIONES!$D:$D, "SMS")</f>
        <v>1</v>
      </c>
      <c r="O192">
        <f>SUMIFS(PAGOS!$D:$D,PAGOS!$A:$A, BASE_CUENTAS!$A192,PAGOS!$B:$B, BASE_CUENTAS!$C192)</f>
        <v>0</v>
      </c>
      <c r="P192" t="str">
        <f>IF(
VLOOKUP($C192,BASE_CIERRE_MES!$C:$G,5,FALSE)=0,
"Normalización",
IF(
VLOOKUP($C192,BASE_CIERRE_MES!$C:$G,5,FALSE)&lt;$H192,
"Recuperación",
IF(
VLOOKUP($C192,BASE_CIERRE_MES!$C:$G,5,FALSE)=$H192,
"Contención",
"Rodamiento"
)))</f>
        <v>Rodamiento</v>
      </c>
      <c r="Q192">
        <f t="shared" si="2"/>
        <v>0</v>
      </c>
    </row>
    <row r="193" spans="1:17" x14ac:dyDescent="0.25">
      <c r="A193">
        <v>8167480</v>
      </c>
      <c r="B193" t="s">
        <v>17</v>
      </c>
      <c r="C193">
        <v>24965165</v>
      </c>
      <c r="D193" t="s">
        <v>7</v>
      </c>
      <c r="E193">
        <v>5793752</v>
      </c>
      <c r="F193" s="2">
        <v>2019650</v>
      </c>
      <c r="G193" s="2">
        <v>2019650</v>
      </c>
      <c r="H193">
        <v>150</v>
      </c>
      <c r="I193" s="1">
        <v>42491</v>
      </c>
      <c r="J193" t="s">
        <v>5</v>
      </c>
      <c r="K193">
        <f>COUNTIFS(GESTIONES!$A:$A, BASE_CUENTAS!$A193, GESTIONES!$B:$B, BASE_CUENTAS!$C193)</f>
        <v>3</v>
      </c>
      <c r="L193">
        <f>COUNTIFS(GESTIONES!$A:$A, BASE_CUENTAS!$A193,GESTIONES!$B:$B, BASE_CUENTAS!$C193,GESTIONES!$E:$E, "S")</f>
        <v>2</v>
      </c>
      <c r="M193">
        <f>COUNTIFS(GESTIONES!$A:$A, BASE_CUENTAS!$A193,GESTIONES!$B:$B, BASE_CUENTAS!$C193,GESTIONES!$E:$E, "N")</f>
        <v>1</v>
      </c>
      <c r="N193">
        <f>COUNTIFS(GESTIONES!$A:$A, BASE_CUENTAS!$A193,GESTIONES!$B:$B, BASE_CUENTAS!$C193,GESTIONES!$D:$D, "SMS")</f>
        <v>0</v>
      </c>
      <c r="O193">
        <f>SUMIFS(PAGOS!$D:$D,PAGOS!$A:$A, BASE_CUENTAS!$A193,PAGOS!$B:$B, BASE_CUENTAS!$C193)</f>
        <v>2019650</v>
      </c>
      <c r="P193" t="str">
        <f>IF(
VLOOKUP($C193,BASE_CIERRE_MES!$C:$G,5,FALSE)=0,
"Normalización",
IF(
VLOOKUP($C193,BASE_CIERRE_MES!$C:$G,5,FALSE)&lt;$H193,
"Recuperación",
IF(
VLOOKUP($C193,BASE_CIERRE_MES!$C:$G,5,FALSE)=$H193,
"Contención",
"Rodamiento"
)))</f>
        <v>Normalización</v>
      </c>
      <c r="Q193">
        <f t="shared" si="2"/>
        <v>1</v>
      </c>
    </row>
    <row r="194" spans="1:17" x14ac:dyDescent="0.25">
      <c r="A194">
        <v>8167480</v>
      </c>
      <c r="B194" t="s">
        <v>17</v>
      </c>
      <c r="C194">
        <v>24967274</v>
      </c>
      <c r="D194" t="s">
        <v>7</v>
      </c>
      <c r="E194">
        <v>5793752</v>
      </c>
      <c r="F194" s="2">
        <v>1799454</v>
      </c>
      <c r="G194" s="2">
        <v>1799454</v>
      </c>
      <c r="H194">
        <v>120</v>
      </c>
      <c r="I194" s="1">
        <v>42491</v>
      </c>
      <c r="J194" t="s">
        <v>5</v>
      </c>
      <c r="K194">
        <f>COUNTIFS(GESTIONES!$A:$A, BASE_CUENTAS!$A194, GESTIONES!$B:$B, BASE_CUENTAS!$C194)</f>
        <v>3</v>
      </c>
      <c r="L194">
        <f>COUNTIFS(GESTIONES!$A:$A, BASE_CUENTAS!$A194,GESTIONES!$B:$B, BASE_CUENTAS!$C194,GESTIONES!$E:$E, "S")</f>
        <v>1</v>
      </c>
      <c r="M194">
        <f>COUNTIFS(GESTIONES!$A:$A, BASE_CUENTAS!$A194,GESTIONES!$B:$B, BASE_CUENTAS!$C194,GESTIONES!$E:$E, "N")</f>
        <v>2</v>
      </c>
      <c r="N194">
        <f>COUNTIFS(GESTIONES!$A:$A, BASE_CUENTAS!$A194,GESTIONES!$B:$B, BASE_CUENTAS!$C194,GESTIONES!$D:$D, "SMS")</f>
        <v>1</v>
      </c>
      <c r="O194">
        <f>SUMIFS(PAGOS!$D:$D,PAGOS!$A:$A, BASE_CUENTAS!$A194,PAGOS!$B:$B, BASE_CUENTAS!$C194)</f>
        <v>0</v>
      </c>
      <c r="P194" t="str">
        <f>IF(
VLOOKUP($C194,BASE_CIERRE_MES!$C:$G,5,FALSE)=0,
"Normalización",
IF(
VLOOKUP($C194,BASE_CIERRE_MES!$C:$G,5,FALSE)&lt;$H194,
"Recuperación",
IF(
VLOOKUP($C194,BASE_CIERRE_MES!$C:$G,5,FALSE)=$H194,
"Contención",
"Rodamiento"
)))</f>
        <v>Rodamiento</v>
      </c>
      <c r="Q194">
        <f t="shared" si="2"/>
        <v>0</v>
      </c>
    </row>
    <row r="195" spans="1:17" x14ac:dyDescent="0.25">
      <c r="A195">
        <v>8167480</v>
      </c>
      <c r="B195" t="s">
        <v>17</v>
      </c>
      <c r="C195">
        <v>25550360</v>
      </c>
      <c r="D195" t="s">
        <v>7</v>
      </c>
      <c r="E195">
        <v>5793752</v>
      </c>
      <c r="F195" s="2">
        <v>1974648</v>
      </c>
      <c r="G195" s="2">
        <v>1974648</v>
      </c>
      <c r="H195">
        <v>150</v>
      </c>
      <c r="I195" s="1">
        <v>42491</v>
      </c>
      <c r="J195" t="s">
        <v>5</v>
      </c>
      <c r="K195">
        <f>COUNTIFS(GESTIONES!$A:$A, BASE_CUENTAS!$A195, GESTIONES!$B:$B, BASE_CUENTAS!$C195)</f>
        <v>3</v>
      </c>
      <c r="L195">
        <f>COUNTIFS(GESTIONES!$A:$A, BASE_CUENTAS!$A195,GESTIONES!$B:$B, BASE_CUENTAS!$C195,GESTIONES!$E:$E, "S")</f>
        <v>0</v>
      </c>
      <c r="M195">
        <f>COUNTIFS(GESTIONES!$A:$A, BASE_CUENTAS!$A195,GESTIONES!$B:$B, BASE_CUENTAS!$C195,GESTIONES!$E:$E, "N")</f>
        <v>3</v>
      </c>
      <c r="N195">
        <f>COUNTIFS(GESTIONES!$A:$A, BASE_CUENTAS!$A195,GESTIONES!$B:$B, BASE_CUENTAS!$C195,GESTIONES!$D:$D, "SMS")</f>
        <v>1</v>
      </c>
      <c r="O195">
        <f>SUMIFS(PAGOS!$D:$D,PAGOS!$A:$A, BASE_CUENTAS!$A195,PAGOS!$B:$B, BASE_CUENTAS!$C195)</f>
        <v>0</v>
      </c>
      <c r="P195" t="str">
        <f>IF(
VLOOKUP($C195,BASE_CIERRE_MES!$C:$G,5,FALSE)=0,
"Normalización",
IF(
VLOOKUP($C195,BASE_CIERRE_MES!$C:$G,5,FALSE)&lt;$H195,
"Recuperación",
IF(
VLOOKUP($C195,BASE_CIERRE_MES!$C:$G,5,FALSE)=$H195,
"Contención",
"Rodamiento"
)))</f>
        <v>Rodamiento</v>
      </c>
      <c r="Q195">
        <f t="shared" ref="Q195:Q258" si="3">IF(F195=0,0,VALUE(O195)/VALUE(F195))</f>
        <v>0</v>
      </c>
    </row>
    <row r="196" spans="1:17" x14ac:dyDescent="0.25">
      <c r="A196">
        <v>8167498</v>
      </c>
      <c r="B196" t="s">
        <v>18</v>
      </c>
      <c r="C196">
        <v>14496476</v>
      </c>
      <c r="D196" t="s">
        <v>7</v>
      </c>
      <c r="E196">
        <v>1063853</v>
      </c>
      <c r="F196" s="2">
        <v>1063853</v>
      </c>
      <c r="G196" s="2">
        <v>1063853</v>
      </c>
      <c r="H196">
        <v>360</v>
      </c>
      <c r="I196" s="1">
        <v>42485</v>
      </c>
      <c r="J196" t="s">
        <v>5</v>
      </c>
      <c r="K196">
        <f>COUNTIFS(GESTIONES!$A:$A, BASE_CUENTAS!$A196, GESTIONES!$B:$B, BASE_CUENTAS!$C196)</f>
        <v>3</v>
      </c>
      <c r="L196">
        <f>COUNTIFS(GESTIONES!$A:$A, BASE_CUENTAS!$A196,GESTIONES!$B:$B, BASE_CUENTAS!$C196,GESTIONES!$E:$E, "S")</f>
        <v>1</v>
      </c>
      <c r="M196">
        <f>COUNTIFS(GESTIONES!$A:$A, BASE_CUENTAS!$A196,GESTIONES!$B:$B, BASE_CUENTAS!$C196,GESTIONES!$E:$E, "N")</f>
        <v>2</v>
      </c>
      <c r="N196">
        <f>COUNTIFS(GESTIONES!$A:$A, BASE_CUENTAS!$A196,GESTIONES!$B:$B, BASE_CUENTAS!$C196,GESTIONES!$D:$D, "SMS")</f>
        <v>1</v>
      </c>
      <c r="O196">
        <f>SUMIFS(PAGOS!$D:$D,PAGOS!$A:$A, BASE_CUENTAS!$A196,PAGOS!$B:$B, BASE_CUENTAS!$C196)</f>
        <v>0</v>
      </c>
      <c r="P196" t="str">
        <f>IF(
VLOOKUP($C196,BASE_CIERRE_MES!$C:$G,5,FALSE)=0,
"Normalización",
IF(
VLOOKUP($C196,BASE_CIERRE_MES!$C:$G,5,FALSE)&lt;$H196,
"Recuperación",
IF(
VLOOKUP($C196,BASE_CIERRE_MES!$C:$G,5,FALSE)=$H196,
"Contención",
"Rodamiento"
)))</f>
        <v>Rodamiento</v>
      </c>
      <c r="Q196">
        <f t="shared" si="3"/>
        <v>0</v>
      </c>
    </row>
    <row r="197" spans="1:17" x14ac:dyDescent="0.25">
      <c r="A197">
        <v>8167510</v>
      </c>
      <c r="B197" t="s">
        <v>18</v>
      </c>
      <c r="C197">
        <v>24373132</v>
      </c>
      <c r="D197" t="s">
        <v>7</v>
      </c>
      <c r="E197">
        <v>205477</v>
      </c>
      <c r="F197" s="2">
        <v>205477</v>
      </c>
      <c r="G197" s="2">
        <v>106820</v>
      </c>
      <c r="H197">
        <v>60</v>
      </c>
      <c r="I197" s="1">
        <v>42480</v>
      </c>
      <c r="J197" t="s">
        <v>6</v>
      </c>
      <c r="K197">
        <f>COUNTIFS(GESTIONES!$A:$A, BASE_CUENTAS!$A197, GESTIONES!$B:$B, BASE_CUENTAS!$C197)</f>
        <v>3</v>
      </c>
      <c r="L197">
        <f>COUNTIFS(GESTIONES!$A:$A, BASE_CUENTAS!$A197,GESTIONES!$B:$B, BASE_CUENTAS!$C197,GESTIONES!$E:$E, "S")</f>
        <v>1</v>
      </c>
      <c r="M197">
        <f>COUNTIFS(GESTIONES!$A:$A, BASE_CUENTAS!$A197,GESTIONES!$B:$B, BASE_CUENTAS!$C197,GESTIONES!$E:$E, "N")</f>
        <v>2</v>
      </c>
      <c r="N197">
        <f>COUNTIFS(GESTIONES!$A:$A, BASE_CUENTAS!$A197,GESTIONES!$B:$B, BASE_CUENTAS!$C197,GESTIONES!$D:$D, "SMS")</f>
        <v>1</v>
      </c>
      <c r="O197">
        <f>SUMIFS(PAGOS!$D:$D,PAGOS!$A:$A, BASE_CUENTAS!$A197,PAGOS!$B:$B, BASE_CUENTAS!$C197)</f>
        <v>0</v>
      </c>
      <c r="P197" t="str">
        <f>IF(
VLOOKUP($C197,BASE_CIERRE_MES!$C:$G,5,FALSE)=0,
"Normalización",
IF(
VLOOKUP($C197,BASE_CIERRE_MES!$C:$G,5,FALSE)&lt;$H197,
"Recuperación",
IF(
VLOOKUP($C197,BASE_CIERRE_MES!$C:$G,5,FALSE)=$H197,
"Contención",
"Rodamiento"
)))</f>
        <v>Rodamiento</v>
      </c>
      <c r="Q197">
        <f t="shared" si="3"/>
        <v>0</v>
      </c>
    </row>
    <row r="198" spans="1:17" x14ac:dyDescent="0.25">
      <c r="A198">
        <v>8167543</v>
      </c>
      <c r="B198" t="s">
        <v>18</v>
      </c>
      <c r="C198">
        <v>14590137</v>
      </c>
      <c r="D198" t="s">
        <v>7</v>
      </c>
      <c r="E198">
        <v>564584</v>
      </c>
      <c r="F198" s="2">
        <v>564584</v>
      </c>
      <c r="G198" s="2">
        <v>458921</v>
      </c>
      <c r="H198">
        <v>60</v>
      </c>
      <c r="I198" s="1">
        <v>42481</v>
      </c>
      <c r="J198" t="s">
        <v>6</v>
      </c>
      <c r="K198">
        <f>COUNTIFS(GESTIONES!$A:$A, BASE_CUENTAS!$A198, GESTIONES!$B:$B, BASE_CUENTAS!$C198)</f>
        <v>3</v>
      </c>
      <c r="L198">
        <f>COUNTIFS(GESTIONES!$A:$A, BASE_CUENTAS!$A198,GESTIONES!$B:$B, BASE_CUENTAS!$C198,GESTIONES!$E:$E, "S")</f>
        <v>1</v>
      </c>
      <c r="M198">
        <f>COUNTIFS(GESTIONES!$A:$A, BASE_CUENTAS!$A198,GESTIONES!$B:$B, BASE_CUENTAS!$C198,GESTIONES!$E:$E, "N")</f>
        <v>2</v>
      </c>
      <c r="N198">
        <f>COUNTIFS(GESTIONES!$A:$A, BASE_CUENTAS!$A198,GESTIONES!$B:$B, BASE_CUENTAS!$C198,GESTIONES!$D:$D, "SMS")</f>
        <v>0</v>
      </c>
      <c r="O198">
        <f>SUMIFS(PAGOS!$D:$D,PAGOS!$A:$A, BASE_CUENTAS!$A198,PAGOS!$B:$B, BASE_CUENTAS!$C198)</f>
        <v>0</v>
      </c>
      <c r="P198" t="str">
        <f>IF(
VLOOKUP($C198,BASE_CIERRE_MES!$C:$G,5,FALSE)=0,
"Normalización",
IF(
VLOOKUP($C198,BASE_CIERRE_MES!$C:$G,5,FALSE)&lt;$H198,
"Recuperación",
IF(
VLOOKUP($C198,BASE_CIERRE_MES!$C:$G,5,FALSE)=$H198,
"Contención",
"Rodamiento"
)))</f>
        <v>Rodamiento</v>
      </c>
      <c r="Q198">
        <f t="shared" si="3"/>
        <v>0</v>
      </c>
    </row>
    <row r="199" spans="1:17" x14ac:dyDescent="0.25">
      <c r="A199">
        <v>8167778</v>
      </c>
      <c r="B199" t="s">
        <v>18</v>
      </c>
      <c r="C199">
        <v>27145364</v>
      </c>
      <c r="D199" t="s">
        <v>7</v>
      </c>
      <c r="E199">
        <v>3777955</v>
      </c>
      <c r="F199" s="2">
        <v>1843829</v>
      </c>
      <c r="G199" s="2">
        <v>319741</v>
      </c>
      <c r="H199">
        <v>60</v>
      </c>
      <c r="I199" s="1">
        <v>42481</v>
      </c>
      <c r="J199" t="s">
        <v>6</v>
      </c>
      <c r="K199">
        <f>COUNTIFS(GESTIONES!$A:$A, BASE_CUENTAS!$A199, GESTIONES!$B:$B, BASE_CUENTAS!$C199)</f>
        <v>3</v>
      </c>
      <c r="L199">
        <f>COUNTIFS(GESTIONES!$A:$A, BASE_CUENTAS!$A199,GESTIONES!$B:$B, BASE_CUENTAS!$C199,GESTIONES!$E:$E, "S")</f>
        <v>1</v>
      </c>
      <c r="M199">
        <f>COUNTIFS(GESTIONES!$A:$A, BASE_CUENTAS!$A199,GESTIONES!$B:$B, BASE_CUENTAS!$C199,GESTIONES!$E:$E, "N")</f>
        <v>2</v>
      </c>
      <c r="N199">
        <f>COUNTIFS(GESTIONES!$A:$A, BASE_CUENTAS!$A199,GESTIONES!$B:$B, BASE_CUENTAS!$C199,GESTIONES!$D:$D, "SMS")</f>
        <v>1</v>
      </c>
      <c r="O199">
        <f>SUMIFS(PAGOS!$D:$D,PAGOS!$A:$A, BASE_CUENTAS!$A199,PAGOS!$B:$B, BASE_CUENTAS!$C199)</f>
        <v>319741</v>
      </c>
      <c r="P199" t="str">
        <f>IF(
VLOOKUP($C199,BASE_CIERRE_MES!$C:$G,5,FALSE)=0,
"Normalización",
IF(
VLOOKUP($C199,BASE_CIERRE_MES!$C:$G,5,FALSE)&lt;$H199,
"Recuperación",
IF(
VLOOKUP($C199,BASE_CIERRE_MES!$C:$G,5,FALSE)=$H199,
"Contención",
"Rodamiento"
)))</f>
        <v>Normalización</v>
      </c>
      <c r="Q199">
        <f t="shared" si="3"/>
        <v>0.17341141721927575</v>
      </c>
    </row>
    <row r="200" spans="1:17" x14ac:dyDescent="0.25">
      <c r="A200">
        <v>8167784</v>
      </c>
      <c r="B200" t="s">
        <v>18</v>
      </c>
      <c r="C200">
        <v>21647828</v>
      </c>
      <c r="D200" t="s">
        <v>7</v>
      </c>
      <c r="E200">
        <v>23487</v>
      </c>
      <c r="F200" s="2">
        <v>23487</v>
      </c>
      <c r="G200" s="2">
        <v>16068</v>
      </c>
      <c r="H200">
        <v>30</v>
      </c>
      <c r="I200" s="1">
        <v>42521</v>
      </c>
      <c r="J200" t="s">
        <v>4</v>
      </c>
      <c r="K200">
        <f>COUNTIFS(GESTIONES!$A:$A, BASE_CUENTAS!$A200, GESTIONES!$B:$B, BASE_CUENTAS!$C200)</f>
        <v>3</v>
      </c>
      <c r="L200">
        <f>COUNTIFS(GESTIONES!$A:$A, BASE_CUENTAS!$A200,GESTIONES!$B:$B, BASE_CUENTAS!$C200,GESTIONES!$E:$E, "S")</f>
        <v>0</v>
      </c>
      <c r="M200">
        <f>COUNTIFS(GESTIONES!$A:$A, BASE_CUENTAS!$A200,GESTIONES!$B:$B, BASE_CUENTAS!$C200,GESTIONES!$E:$E, "N")</f>
        <v>3</v>
      </c>
      <c r="N200">
        <f>COUNTIFS(GESTIONES!$A:$A, BASE_CUENTAS!$A200,GESTIONES!$B:$B, BASE_CUENTAS!$C200,GESTIONES!$D:$D, "SMS")</f>
        <v>1</v>
      </c>
      <c r="O200">
        <f>SUMIFS(PAGOS!$D:$D,PAGOS!$A:$A, BASE_CUENTAS!$A200,PAGOS!$B:$B, BASE_CUENTAS!$C200)</f>
        <v>5356</v>
      </c>
      <c r="P200" t="str">
        <f>IF(
VLOOKUP($C200,BASE_CIERRE_MES!$C:$G,5,FALSE)=0,
"Normalización",
IF(
VLOOKUP($C200,BASE_CIERRE_MES!$C:$G,5,FALSE)&lt;$H200,
"Recuperación",
IF(
VLOOKUP($C200,BASE_CIERRE_MES!$C:$G,5,FALSE)=$H200,
"Contención",
"Rodamiento"
)))</f>
        <v>Contención</v>
      </c>
      <c r="Q200">
        <f t="shared" si="3"/>
        <v>0.22804104398177716</v>
      </c>
    </row>
    <row r="201" spans="1:17" x14ac:dyDescent="0.25">
      <c r="A201">
        <v>8167985</v>
      </c>
      <c r="B201" t="s">
        <v>18</v>
      </c>
      <c r="C201">
        <v>21128781</v>
      </c>
      <c r="D201" t="s">
        <v>7</v>
      </c>
      <c r="E201">
        <v>1701266</v>
      </c>
      <c r="F201" s="2">
        <v>1701266</v>
      </c>
      <c r="G201" s="2">
        <v>154225</v>
      </c>
      <c r="H201">
        <v>30</v>
      </c>
      <c r="I201" s="1">
        <v>42521</v>
      </c>
      <c r="J201" t="s">
        <v>4</v>
      </c>
      <c r="K201">
        <f>COUNTIFS(GESTIONES!$A:$A, BASE_CUENTAS!$A201, GESTIONES!$B:$B, BASE_CUENTAS!$C201)</f>
        <v>3</v>
      </c>
      <c r="L201">
        <f>COUNTIFS(GESTIONES!$A:$A, BASE_CUENTAS!$A201,GESTIONES!$B:$B, BASE_CUENTAS!$C201,GESTIONES!$E:$E, "S")</f>
        <v>1</v>
      </c>
      <c r="M201">
        <f>COUNTIFS(GESTIONES!$A:$A, BASE_CUENTAS!$A201,GESTIONES!$B:$B, BASE_CUENTAS!$C201,GESTIONES!$E:$E, "N")</f>
        <v>2</v>
      </c>
      <c r="N201">
        <f>COUNTIFS(GESTIONES!$A:$A, BASE_CUENTAS!$A201,GESTIONES!$B:$B, BASE_CUENTAS!$C201,GESTIONES!$D:$D, "SMS")</f>
        <v>1</v>
      </c>
      <c r="O201">
        <f>SUMIFS(PAGOS!$D:$D,PAGOS!$A:$A, BASE_CUENTAS!$A201,PAGOS!$B:$B, BASE_CUENTAS!$C201)</f>
        <v>154225</v>
      </c>
      <c r="P201" t="str">
        <f>IF(
VLOOKUP($C201,BASE_CIERRE_MES!$C:$G,5,FALSE)=0,
"Normalización",
IF(
VLOOKUP($C201,BASE_CIERRE_MES!$C:$G,5,FALSE)&lt;$H201,
"Recuperación",
IF(
VLOOKUP($C201,BASE_CIERRE_MES!$C:$G,5,FALSE)=$H201,
"Contención",
"Rodamiento"
)))</f>
        <v>Normalización</v>
      </c>
      <c r="Q201">
        <f t="shared" si="3"/>
        <v>9.065307835459005E-2</v>
      </c>
    </row>
    <row r="202" spans="1:17" x14ac:dyDescent="0.25">
      <c r="A202">
        <v>8168164</v>
      </c>
      <c r="B202" t="s">
        <v>18</v>
      </c>
      <c r="C202">
        <v>27255677</v>
      </c>
      <c r="D202" t="s">
        <v>7</v>
      </c>
      <c r="E202">
        <v>1713019</v>
      </c>
      <c r="F202" s="2">
        <v>1713019</v>
      </c>
      <c r="G202" s="2">
        <v>113740</v>
      </c>
      <c r="H202">
        <v>30</v>
      </c>
      <c r="I202" s="1">
        <v>42508</v>
      </c>
      <c r="J202" t="s">
        <v>6</v>
      </c>
      <c r="K202">
        <f>COUNTIFS(GESTIONES!$A:$A, BASE_CUENTAS!$A202, GESTIONES!$B:$B, BASE_CUENTAS!$C202)</f>
        <v>3</v>
      </c>
      <c r="L202">
        <f>COUNTIFS(GESTIONES!$A:$A, BASE_CUENTAS!$A202,GESTIONES!$B:$B, BASE_CUENTAS!$C202,GESTIONES!$E:$E, "S")</f>
        <v>1</v>
      </c>
      <c r="M202">
        <f>COUNTIFS(GESTIONES!$A:$A, BASE_CUENTAS!$A202,GESTIONES!$B:$B, BASE_CUENTAS!$C202,GESTIONES!$E:$E, "N")</f>
        <v>2</v>
      </c>
      <c r="N202">
        <f>COUNTIFS(GESTIONES!$A:$A, BASE_CUENTAS!$A202,GESTIONES!$B:$B, BASE_CUENTAS!$C202,GESTIONES!$D:$D, "SMS")</f>
        <v>1</v>
      </c>
      <c r="O202">
        <f>SUMIFS(PAGOS!$D:$D,PAGOS!$A:$A, BASE_CUENTAS!$A202,PAGOS!$B:$B, BASE_CUENTAS!$C202)</f>
        <v>0</v>
      </c>
      <c r="P202" t="str">
        <f>IF(
VLOOKUP($C202,BASE_CIERRE_MES!$C:$G,5,FALSE)=0,
"Normalización",
IF(
VLOOKUP($C202,BASE_CIERRE_MES!$C:$G,5,FALSE)&lt;$H202,
"Recuperación",
IF(
VLOOKUP($C202,BASE_CIERRE_MES!$C:$G,5,FALSE)=$H202,
"Contención",
"Rodamiento"
)))</f>
        <v>Rodamiento</v>
      </c>
      <c r="Q202">
        <f t="shared" si="3"/>
        <v>0</v>
      </c>
    </row>
    <row r="203" spans="1:17" x14ac:dyDescent="0.25">
      <c r="A203">
        <v>8168198</v>
      </c>
      <c r="B203" t="s">
        <v>18</v>
      </c>
      <c r="C203">
        <v>23820381</v>
      </c>
      <c r="D203" t="s">
        <v>7</v>
      </c>
      <c r="E203">
        <v>2351175</v>
      </c>
      <c r="F203" s="2">
        <v>780934</v>
      </c>
      <c r="G203" s="2">
        <v>208200</v>
      </c>
      <c r="H203">
        <v>30</v>
      </c>
      <c r="I203" s="1">
        <v>42521</v>
      </c>
      <c r="J203" t="s">
        <v>4</v>
      </c>
      <c r="K203">
        <f>COUNTIFS(GESTIONES!$A:$A, BASE_CUENTAS!$A203, GESTIONES!$B:$B, BASE_CUENTAS!$C203)</f>
        <v>3</v>
      </c>
      <c r="L203">
        <f>COUNTIFS(GESTIONES!$A:$A, BASE_CUENTAS!$A203,GESTIONES!$B:$B, BASE_CUENTAS!$C203,GESTIONES!$E:$E, "S")</f>
        <v>1</v>
      </c>
      <c r="M203">
        <f>COUNTIFS(GESTIONES!$A:$A, BASE_CUENTAS!$A203,GESTIONES!$B:$B, BASE_CUENTAS!$C203,GESTIONES!$E:$E, "N")</f>
        <v>2</v>
      </c>
      <c r="N203">
        <f>COUNTIFS(GESTIONES!$A:$A, BASE_CUENTAS!$A203,GESTIONES!$B:$B, BASE_CUENTAS!$C203,GESTIONES!$D:$D, "SMS")</f>
        <v>0</v>
      </c>
      <c r="O203">
        <f>SUMIFS(PAGOS!$D:$D,PAGOS!$A:$A, BASE_CUENTAS!$A203,PAGOS!$B:$B, BASE_CUENTAS!$C203)</f>
        <v>0</v>
      </c>
      <c r="P203" t="str">
        <f>IF(
VLOOKUP($C203,BASE_CIERRE_MES!$C:$G,5,FALSE)=0,
"Normalización",
IF(
VLOOKUP($C203,BASE_CIERRE_MES!$C:$G,5,FALSE)&lt;$H203,
"Recuperación",
IF(
VLOOKUP($C203,BASE_CIERRE_MES!$C:$G,5,FALSE)=$H203,
"Contención",
"Rodamiento"
)))</f>
        <v>Rodamiento</v>
      </c>
      <c r="Q203">
        <f t="shared" si="3"/>
        <v>0</v>
      </c>
    </row>
    <row r="204" spans="1:17" x14ac:dyDescent="0.25">
      <c r="A204">
        <v>8168200</v>
      </c>
      <c r="B204" t="s">
        <v>18</v>
      </c>
      <c r="C204">
        <v>24390372</v>
      </c>
      <c r="D204" t="s">
        <v>7</v>
      </c>
      <c r="E204">
        <v>4045042</v>
      </c>
      <c r="F204" s="2">
        <v>4045042</v>
      </c>
      <c r="G204" s="2">
        <v>312381</v>
      </c>
      <c r="H204">
        <v>30</v>
      </c>
      <c r="I204" s="1">
        <v>42522</v>
      </c>
      <c r="J204" t="s">
        <v>6</v>
      </c>
      <c r="K204">
        <f>COUNTIFS(GESTIONES!$A:$A, BASE_CUENTAS!$A204, GESTIONES!$B:$B, BASE_CUENTAS!$C204)</f>
        <v>3</v>
      </c>
      <c r="L204">
        <f>COUNTIFS(GESTIONES!$A:$A, BASE_CUENTAS!$A204,GESTIONES!$B:$B, BASE_CUENTAS!$C204,GESTIONES!$E:$E, "S")</f>
        <v>1</v>
      </c>
      <c r="M204">
        <f>COUNTIFS(GESTIONES!$A:$A, BASE_CUENTAS!$A204,GESTIONES!$B:$B, BASE_CUENTAS!$C204,GESTIONES!$E:$E, "N")</f>
        <v>2</v>
      </c>
      <c r="N204">
        <f>COUNTIFS(GESTIONES!$A:$A, BASE_CUENTAS!$A204,GESTIONES!$B:$B, BASE_CUENTAS!$C204,GESTIONES!$D:$D, "SMS")</f>
        <v>1</v>
      </c>
      <c r="O204">
        <f>SUMIFS(PAGOS!$D:$D,PAGOS!$A:$A, BASE_CUENTAS!$A204,PAGOS!$B:$B, BASE_CUENTAS!$C204)</f>
        <v>156191</v>
      </c>
      <c r="P204" t="str">
        <f>IF(
VLOOKUP($C204,BASE_CIERRE_MES!$C:$G,5,FALSE)=0,
"Normalización",
IF(
VLOOKUP($C204,BASE_CIERRE_MES!$C:$G,5,FALSE)&lt;$H204,
"Recuperación",
IF(
VLOOKUP($C204,BASE_CIERRE_MES!$C:$G,5,FALSE)=$H204,
"Contención",
"Rodamiento"
)))</f>
        <v>Recuperación</v>
      </c>
      <c r="Q204">
        <f t="shared" si="3"/>
        <v>3.861294888903502E-2</v>
      </c>
    </row>
    <row r="205" spans="1:17" x14ac:dyDescent="0.25">
      <c r="A205">
        <v>8168429</v>
      </c>
      <c r="B205" t="s">
        <v>17</v>
      </c>
      <c r="C205">
        <v>28586542</v>
      </c>
      <c r="D205" t="s">
        <v>7</v>
      </c>
      <c r="E205">
        <v>12009370</v>
      </c>
      <c r="F205" s="2">
        <v>2268817</v>
      </c>
      <c r="G205" s="2">
        <v>62110</v>
      </c>
      <c r="H205">
        <v>30</v>
      </c>
      <c r="I205" s="1">
        <v>42524</v>
      </c>
      <c r="J205" t="s">
        <v>6</v>
      </c>
      <c r="K205">
        <f>COUNTIFS(GESTIONES!$A:$A, BASE_CUENTAS!$A205, GESTIONES!$B:$B, BASE_CUENTAS!$C205)</f>
        <v>3</v>
      </c>
      <c r="L205">
        <f>COUNTIFS(GESTIONES!$A:$A, BASE_CUENTAS!$A205,GESTIONES!$B:$B, BASE_CUENTAS!$C205,GESTIONES!$E:$E, "S")</f>
        <v>0</v>
      </c>
      <c r="M205">
        <f>COUNTIFS(GESTIONES!$A:$A, BASE_CUENTAS!$A205,GESTIONES!$B:$B, BASE_CUENTAS!$C205,GESTIONES!$E:$E, "N")</f>
        <v>3</v>
      </c>
      <c r="N205">
        <f>COUNTIFS(GESTIONES!$A:$A, BASE_CUENTAS!$A205,GESTIONES!$B:$B, BASE_CUENTAS!$C205,GESTIONES!$D:$D, "SMS")</f>
        <v>1</v>
      </c>
      <c r="O205">
        <f>SUMIFS(PAGOS!$D:$D,PAGOS!$A:$A, BASE_CUENTAS!$A205,PAGOS!$B:$B, BASE_CUENTAS!$C205)</f>
        <v>31055</v>
      </c>
      <c r="P205" t="str">
        <f>IF(
VLOOKUP($C205,BASE_CIERRE_MES!$C:$G,5,FALSE)=0,
"Normalización",
IF(
VLOOKUP($C205,BASE_CIERRE_MES!$C:$G,5,FALSE)&lt;$H205,
"Recuperación",
IF(
VLOOKUP($C205,BASE_CIERRE_MES!$C:$G,5,FALSE)=$H205,
"Contención",
"Rodamiento"
)))</f>
        <v>Recuperación</v>
      </c>
      <c r="Q205">
        <f t="shared" si="3"/>
        <v>1.368775004771209E-2</v>
      </c>
    </row>
    <row r="206" spans="1:17" x14ac:dyDescent="0.25">
      <c r="A206">
        <v>8168460</v>
      </c>
      <c r="B206" t="s">
        <v>18</v>
      </c>
      <c r="C206">
        <v>2891486</v>
      </c>
      <c r="D206" t="s">
        <v>7</v>
      </c>
      <c r="E206">
        <v>573993</v>
      </c>
      <c r="F206" s="2">
        <v>573993</v>
      </c>
      <c r="G206" s="2">
        <v>65242</v>
      </c>
      <c r="H206">
        <v>30</v>
      </c>
      <c r="I206" s="1">
        <v>42521</v>
      </c>
      <c r="J206" t="s">
        <v>4</v>
      </c>
      <c r="K206">
        <f>COUNTIFS(GESTIONES!$A:$A, BASE_CUENTAS!$A206, GESTIONES!$B:$B, BASE_CUENTAS!$C206)</f>
        <v>3</v>
      </c>
      <c r="L206">
        <f>COUNTIFS(GESTIONES!$A:$A, BASE_CUENTAS!$A206,GESTIONES!$B:$B, BASE_CUENTAS!$C206,GESTIONES!$E:$E, "S")</f>
        <v>1</v>
      </c>
      <c r="M206">
        <f>COUNTIFS(GESTIONES!$A:$A, BASE_CUENTAS!$A206,GESTIONES!$B:$B, BASE_CUENTAS!$C206,GESTIONES!$E:$E, "N")</f>
        <v>2</v>
      </c>
      <c r="N206">
        <f>COUNTIFS(GESTIONES!$A:$A, BASE_CUENTAS!$A206,GESTIONES!$B:$B, BASE_CUENTAS!$C206,GESTIONES!$D:$D, "SMS")</f>
        <v>1</v>
      </c>
      <c r="O206">
        <f>SUMIFS(PAGOS!$D:$D,PAGOS!$A:$A, BASE_CUENTAS!$A206,PAGOS!$B:$B, BASE_CUENTAS!$C206)</f>
        <v>0</v>
      </c>
      <c r="P206" t="str">
        <f>IF(
VLOOKUP($C206,BASE_CIERRE_MES!$C:$G,5,FALSE)=0,
"Normalización",
IF(
VLOOKUP($C206,BASE_CIERRE_MES!$C:$G,5,FALSE)&lt;$H206,
"Recuperación",
IF(
VLOOKUP($C206,BASE_CIERRE_MES!$C:$G,5,FALSE)=$H206,
"Contención",
"Rodamiento"
)))</f>
        <v>Rodamiento</v>
      </c>
      <c r="Q206">
        <f t="shared" si="3"/>
        <v>0</v>
      </c>
    </row>
    <row r="207" spans="1:17" x14ac:dyDescent="0.25">
      <c r="A207">
        <v>8168855</v>
      </c>
      <c r="B207" t="s">
        <v>18</v>
      </c>
      <c r="C207">
        <v>19612833</v>
      </c>
      <c r="D207" t="s">
        <v>7</v>
      </c>
      <c r="E207">
        <v>1627420</v>
      </c>
      <c r="F207" s="2">
        <v>1627420</v>
      </c>
      <c r="G207" s="2">
        <v>215240</v>
      </c>
      <c r="H207">
        <v>30</v>
      </c>
      <c r="I207" s="1">
        <v>42508</v>
      </c>
      <c r="J207" t="s">
        <v>6</v>
      </c>
      <c r="K207">
        <f>COUNTIFS(GESTIONES!$A:$A, BASE_CUENTAS!$A207, GESTIONES!$B:$B, BASE_CUENTAS!$C207)</f>
        <v>3</v>
      </c>
      <c r="L207">
        <f>COUNTIFS(GESTIONES!$A:$A, BASE_CUENTAS!$A207,GESTIONES!$B:$B, BASE_CUENTAS!$C207,GESTIONES!$E:$E, "S")</f>
        <v>1</v>
      </c>
      <c r="M207">
        <f>COUNTIFS(GESTIONES!$A:$A, BASE_CUENTAS!$A207,GESTIONES!$B:$B, BASE_CUENTAS!$C207,GESTIONES!$E:$E, "N")</f>
        <v>2</v>
      </c>
      <c r="N207">
        <f>COUNTIFS(GESTIONES!$A:$A, BASE_CUENTAS!$A207,GESTIONES!$B:$B, BASE_CUENTAS!$C207,GESTIONES!$D:$D, "SMS")</f>
        <v>1</v>
      </c>
      <c r="O207">
        <f>SUMIFS(PAGOS!$D:$D,PAGOS!$A:$A, BASE_CUENTAS!$A207,PAGOS!$B:$B, BASE_CUENTAS!$C207)</f>
        <v>0</v>
      </c>
      <c r="P207" t="str">
        <f>IF(
VLOOKUP($C207,BASE_CIERRE_MES!$C:$G,5,FALSE)=0,
"Normalización",
IF(
VLOOKUP($C207,BASE_CIERRE_MES!$C:$G,5,FALSE)&lt;$H207,
"Recuperación",
IF(
VLOOKUP($C207,BASE_CIERRE_MES!$C:$G,5,FALSE)=$H207,
"Contención",
"Rodamiento"
)))</f>
        <v>Rodamiento</v>
      </c>
      <c r="Q207">
        <f t="shared" si="3"/>
        <v>0</v>
      </c>
    </row>
    <row r="208" spans="1:17" x14ac:dyDescent="0.25">
      <c r="A208">
        <v>8168905</v>
      </c>
      <c r="B208" t="s">
        <v>18</v>
      </c>
      <c r="C208">
        <v>27915388</v>
      </c>
      <c r="D208" t="s">
        <v>7</v>
      </c>
      <c r="E208">
        <v>2992447</v>
      </c>
      <c r="F208" s="2">
        <v>2992447</v>
      </c>
      <c r="G208" s="2">
        <v>266325</v>
      </c>
      <c r="H208">
        <v>30</v>
      </c>
      <c r="I208" s="1">
        <v>42521</v>
      </c>
      <c r="J208" t="s">
        <v>4</v>
      </c>
      <c r="K208">
        <f>COUNTIFS(GESTIONES!$A:$A, BASE_CUENTAS!$A208, GESTIONES!$B:$B, BASE_CUENTAS!$C208)</f>
        <v>3</v>
      </c>
      <c r="L208">
        <f>COUNTIFS(GESTIONES!$A:$A, BASE_CUENTAS!$A208,GESTIONES!$B:$B, BASE_CUENTAS!$C208,GESTIONES!$E:$E, "S")</f>
        <v>1</v>
      </c>
      <c r="M208">
        <f>COUNTIFS(GESTIONES!$A:$A, BASE_CUENTAS!$A208,GESTIONES!$B:$B, BASE_CUENTAS!$C208,GESTIONES!$E:$E, "N")</f>
        <v>2</v>
      </c>
      <c r="N208">
        <f>COUNTIFS(GESTIONES!$A:$A, BASE_CUENTAS!$A208,GESTIONES!$B:$B, BASE_CUENTAS!$C208,GESTIONES!$D:$D, "SMS")</f>
        <v>0</v>
      </c>
      <c r="O208">
        <f>SUMIFS(PAGOS!$D:$D,PAGOS!$A:$A, BASE_CUENTAS!$A208,PAGOS!$B:$B, BASE_CUENTAS!$C208)</f>
        <v>266325</v>
      </c>
      <c r="P208" t="str">
        <f>IF(
VLOOKUP($C208,BASE_CIERRE_MES!$C:$G,5,FALSE)=0,
"Normalización",
IF(
VLOOKUP($C208,BASE_CIERRE_MES!$C:$G,5,FALSE)&lt;$H208,
"Recuperación",
IF(
VLOOKUP($C208,BASE_CIERRE_MES!$C:$G,5,FALSE)=$H208,
"Contención",
"Rodamiento"
)))</f>
        <v>Normalización</v>
      </c>
      <c r="Q208">
        <f t="shared" si="3"/>
        <v>8.8999069991882895E-2</v>
      </c>
    </row>
    <row r="209" spans="1:17" x14ac:dyDescent="0.25">
      <c r="A209">
        <v>8168937</v>
      </c>
      <c r="B209" t="s">
        <v>17</v>
      </c>
      <c r="C209">
        <v>21552660</v>
      </c>
      <c r="D209" t="s">
        <v>7</v>
      </c>
      <c r="E209">
        <v>6618994</v>
      </c>
      <c r="F209" s="2">
        <v>1642928</v>
      </c>
      <c r="G209" s="2">
        <v>387007</v>
      </c>
      <c r="H209">
        <v>60</v>
      </c>
      <c r="I209" s="1">
        <v>42480</v>
      </c>
      <c r="J209" t="s">
        <v>6</v>
      </c>
      <c r="K209">
        <f>COUNTIFS(GESTIONES!$A:$A, BASE_CUENTAS!$A209, GESTIONES!$B:$B, BASE_CUENTAS!$C209)</f>
        <v>3</v>
      </c>
      <c r="L209">
        <f>COUNTIFS(GESTIONES!$A:$A, BASE_CUENTAS!$A209,GESTIONES!$B:$B, BASE_CUENTAS!$C209,GESTIONES!$E:$E, "S")</f>
        <v>2</v>
      </c>
      <c r="M209">
        <f>COUNTIFS(GESTIONES!$A:$A, BASE_CUENTAS!$A209,GESTIONES!$B:$B, BASE_CUENTAS!$C209,GESTIONES!$E:$E, "N")</f>
        <v>1</v>
      </c>
      <c r="N209">
        <f>COUNTIFS(GESTIONES!$A:$A, BASE_CUENTAS!$A209,GESTIONES!$B:$B, BASE_CUENTAS!$C209,GESTIONES!$D:$D, "SMS")</f>
        <v>1</v>
      </c>
      <c r="O209">
        <f>SUMIFS(PAGOS!$D:$D,PAGOS!$A:$A, BASE_CUENTAS!$A209,PAGOS!$B:$B, BASE_CUENTAS!$C209)</f>
        <v>0</v>
      </c>
      <c r="P209" t="str">
        <f>IF(
VLOOKUP($C209,BASE_CIERRE_MES!$C:$G,5,FALSE)=0,
"Normalización",
IF(
VLOOKUP($C209,BASE_CIERRE_MES!$C:$G,5,FALSE)&lt;$H209,
"Recuperación",
IF(
VLOOKUP($C209,BASE_CIERRE_MES!$C:$G,5,FALSE)=$H209,
"Contención",
"Rodamiento"
)))</f>
        <v>Rodamiento</v>
      </c>
      <c r="Q209">
        <f t="shared" si="3"/>
        <v>0</v>
      </c>
    </row>
    <row r="210" spans="1:17" x14ac:dyDescent="0.25">
      <c r="A210">
        <v>8169074</v>
      </c>
      <c r="B210" t="s">
        <v>18</v>
      </c>
      <c r="C210">
        <v>25017414</v>
      </c>
      <c r="D210" t="s">
        <v>7</v>
      </c>
      <c r="E210">
        <v>2021021</v>
      </c>
      <c r="F210" s="2">
        <v>991716</v>
      </c>
      <c r="G210" s="2">
        <v>294586</v>
      </c>
      <c r="H210">
        <v>60</v>
      </c>
      <c r="I210" s="1">
        <v>42491</v>
      </c>
      <c r="J210" t="s">
        <v>6</v>
      </c>
      <c r="K210">
        <f>COUNTIFS(GESTIONES!$A:$A, BASE_CUENTAS!$A210, GESTIONES!$B:$B, BASE_CUENTAS!$C210)</f>
        <v>3</v>
      </c>
      <c r="L210">
        <f>COUNTIFS(GESTIONES!$A:$A, BASE_CUENTAS!$A210,GESTIONES!$B:$B, BASE_CUENTAS!$C210,GESTIONES!$E:$E, "S")</f>
        <v>1</v>
      </c>
      <c r="M210">
        <f>COUNTIFS(GESTIONES!$A:$A, BASE_CUENTAS!$A210,GESTIONES!$B:$B, BASE_CUENTAS!$C210,GESTIONES!$E:$E, "N")</f>
        <v>2</v>
      </c>
      <c r="N210">
        <f>COUNTIFS(GESTIONES!$A:$A, BASE_CUENTAS!$A210,GESTIONES!$B:$B, BASE_CUENTAS!$C210,GESTIONES!$D:$D, "SMS")</f>
        <v>0</v>
      </c>
      <c r="O210">
        <f>SUMIFS(PAGOS!$D:$D,PAGOS!$A:$A, BASE_CUENTAS!$A210,PAGOS!$B:$B, BASE_CUENTAS!$C210)</f>
        <v>294586</v>
      </c>
      <c r="P210" t="str">
        <f>IF(
VLOOKUP($C210,BASE_CIERRE_MES!$C:$G,5,FALSE)=0,
"Normalización",
IF(
VLOOKUP($C210,BASE_CIERRE_MES!$C:$G,5,FALSE)&lt;$H210,
"Recuperación",
IF(
VLOOKUP($C210,BASE_CIERRE_MES!$C:$G,5,FALSE)=$H210,
"Contención",
"Rodamiento"
)))</f>
        <v>Normalización</v>
      </c>
      <c r="Q210">
        <f t="shared" si="3"/>
        <v>0.29704673515401586</v>
      </c>
    </row>
    <row r="211" spans="1:17" x14ac:dyDescent="0.25">
      <c r="A211">
        <v>8169074</v>
      </c>
      <c r="B211" t="s">
        <v>18</v>
      </c>
      <c r="C211">
        <v>25018031</v>
      </c>
      <c r="D211" t="s">
        <v>7</v>
      </c>
      <c r="E211">
        <v>2021021</v>
      </c>
      <c r="F211" s="2">
        <v>1029305</v>
      </c>
      <c r="G211" s="2">
        <v>296680</v>
      </c>
      <c r="H211">
        <v>60</v>
      </c>
      <c r="I211" s="1">
        <v>42490</v>
      </c>
      <c r="J211" t="s">
        <v>6</v>
      </c>
      <c r="K211">
        <f>COUNTIFS(GESTIONES!$A:$A, BASE_CUENTAS!$A211, GESTIONES!$B:$B, BASE_CUENTAS!$C211)</f>
        <v>3</v>
      </c>
      <c r="L211">
        <f>COUNTIFS(GESTIONES!$A:$A, BASE_CUENTAS!$A211,GESTIONES!$B:$B, BASE_CUENTAS!$C211,GESTIONES!$E:$E, "S")</f>
        <v>0</v>
      </c>
      <c r="M211">
        <f>COUNTIFS(GESTIONES!$A:$A, BASE_CUENTAS!$A211,GESTIONES!$B:$B, BASE_CUENTAS!$C211,GESTIONES!$E:$E, "N")</f>
        <v>3</v>
      </c>
      <c r="N211">
        <f>COUNTIFS(GESTIONES!$A:$A, BASE_CUENTAS!$A211,GESTIONES!$B:$B, BASE_CUENTAS!$C211,GESTIONES!$D:$D, "SMS")</f>
        <v>1</v>
      </c>
      <c r="O211">
        <f>SUMIFS(PAGOS!$D:$D,PAGOS!$A:$A, BASE_CUENTAS!$A211,PAGOS!$B:$B, BASE_CUENTAS!$C211)</f>
        <v>1029305</v>
      </c>
      <c r="P211" t="str">
        <f>IF(
VLOOKUP($C211,BASE_CIERRE_MES!$C:$G,5,FALSE)=0,
"Normalización",
IF(
VLOOKUP($C211,BASE_CIERRE_MES!$C:$G,5,FALSE)&lt;$H211,
"Recuperación",
IF(
VLOOKUP($C211,BASE_CIERRE_MES!$C:$G,5,FALSE)=$H211,
"Contención",
"Rodamiento"
)))</f>
        <v>Normalización</v>
      </c>
      <c r="Q211">
        <f t="shared" si="3"/>
        <v>1</v>
      </c>
    </row>
    <row r="212" spans="1:17" x14ac:dyDescent="0.25">
      <c r="A212">
        <v>8169102</v>
      </c>
      <c r="B212" t="s">
        <v>18</v>
      </c>
      <c r="C212">
        <v>25450537</v>
      </c>
      <c r="D212" t="s">
        <v>7</v>
      </c>
      <c r="E212">
        <v>719082</v>
      </c>
      <c r="F212" s="2">
        <v>719082</v>
      </c>
      <c r="G212" s="2">
        <v>103698</v>
      </c>
      <c r="H212">
        <v>30</v>
      </c>
      <c r="I212" s="1">
        <v>42508</v>
      </c>
      <c r="J212" t="s">
        <v>6</v>
      </c>
      <c r="K212">
        <f>COUNTIFS(GESTIONES!$A:$A, BASE_CUENTAS!$A212, GESTIONES!$B:$B, BASE_CUENTAS!$C212)</f>
        <v>3</v>
      </c>
      <c r="L212">
        <f>COUNTIFS(GESTIONES!$A:$A, BASE_CUENTAS!$A212,GESTIONES!$B:$B, BASE_CUENTAS!$C212,GESTIONES!$E:$E, "S")</f>
        <v>1</v>
      </c>
      <c r="M212">
        <f>COUNTIFS(GESTIONES!$A:$A, BASE_CUENTAS!$A212,GESTIONES!$B:$B, BASE_CUENTAS!$C212,GESTIONES!$E:$E, "N")</f>
        <v>2</v>
      </c>
      <c r="N212">
        <f>COUNTIFS(GESTIONES!$A:$A, BASE_CUENTAS!$A212,GESTIONES!$B:$B, BASE_CUENTAS!$C212,GESTIONES!$D:$D, "SMS")</f>
        <v>2</v>
      </c>
      <c r="O212">
        <f>SUMIFS(PAGOS!$D:$D,PAGOS!$A:$A, BASE_CUENTAS!$A212,PAGOS!$B:$B, BASE_CUENTAS!$C212)</f>
        <v>103698</v>
      </c>
      <c r="P212" t="str">
        <f>IF(
VLOOKUP($C212,BASE_CIERRE_MES!$C:$G,5,FALSE)=0,
"Normalización",
IF(
VLOOKUP($C212,BASE_CIERRE_MES!$C:$G,5,FALSE)&lt;$H212,
"Recuperación",
IF(
VLOOKUP($C212,BASE_CIERRE_MES!$C:$G,5,FALSE)=$H212,
"Contención",
"Rodamiento"
)))</f>
        <v>Normalización</v>
      </c>
      <c r="Q212">
        <f t="shared" si="3"/>
        <v>0.14420886630453827</v>
      </c>
    </row>
    <row r="213" spans="1:17" x14ac:dyDescent="0.25">
      <c r="A213">
        <v>8169114</v>
      </c>
      <c r="B213" t="s">
        <v>17</v>
      </c>
      <c r="C213">
        <v>28219094</v>
      </c>
      <c r="D213" t="s">
        <v>7</v>
      </c>
      <c r="E213">
        <v>8556160</v>
      </c>
      <c r="F213" s="2">
        <v>4153892</v>
      </c>
      <c r="G213" s="2">
        <v>84414</v>
      </c>
      <c r="H213">
        <v>30</v>
      </c>
      <c r="I213" s="1">
        <v>42521</v>
      </c>
      <c r="J213" t="s">
        <v>4</v>
      </c>
      <c r="K213">
        <f>COUNTIFS(GESTIONES!$A:$A, BASE_CUENTAS!$A213, GESTIONES!$B:$B, BASE_CUENTAS!$C213)</f>
        <v>3</v>
      </c>
      <c r="L213">
        <f>COUNTIFS(GESTIONES!$A:$A, BASE_CUENTAS!$A213,GESTIONES!$B:$B, BASE_CUENTAS!$C213,GESTIONES!$E:$E, "S")</f>
        <v>1</v>
      </c>
      <c r="M213">
        <f>COUNTIFS(GESTIONES!$A:$A, BASE_CUENTAS!$A213,GESTIONES!$B:$B, BASE_CUENTAS!$C213,GESTIONES!$E:$E, "N")</f>
        <v>2</v>
      </c>
      <c r="N213">
        <f>COUNTIFS(GESTIONES!$A:$A, BASE_CUENTAS!$A213,GESTIONES!$B:$B, BASE_CUENTAS!$C213,GESTIONES!$D:$D, "SMS")</f>
        <v>0</v>
      </c>
      <c r="O213">
        <f>SUMIFS(PAGOS!$D:$D,PAGOS!$A:$A, BASE_CUENTAS!$A213,PAGOS!$B:$B, BASE_CUENTAS!$C213)</f>
        <v>42207</v>
      </c>
      <c r="P213" t="str">
        <f>IF(
VLOOKUP($C213,BASE_CIERRE_MES!$C:$G,5,FALSE)=0,
"Normalización",
IF(
VLOOKUP($C213,BASE_CIERRE_MES!$C:$G,5,FALSE)&lt;$H213,
"Recuperación",
IF(
VLOOKUP($C213,BASE_CIERRE_MES!$C:$G,5,FALSE)=$H213,
"Contención",
"Rodamiento"
)))</f>
        <v>Recuperación</v>
      </c>
      <c r="Q213">
        <f t="shared" si="3"/>
        <v>1.0160832298962034E-2</v>
      </c>
    </row>
    <row r="214" spans="1:17" x14ac:dyDescent="0.25">
      <c r="A214">
        <v>8169123</v>
      </c>
      <c r="B214" t="s">
        <v>18</v>
      </c>
      <c r="C214">
        <v>23737110</v>
      </c>
      <c r="D214" t="s">
        <v>7</v>
      </c>
      <c r="E214">
        <v>4789710</v>
      </c>
      <c r="F214" s="2">
        <v>4789710</v>
      </c>
      <c r="G214" s="2">
        <v>415801</v>
      </c>
      <c r="H214">
        <v>30</v>
      </c>
      <c r="I214" s="1">
        <v>42508</v>
      </c>
      <c r="J214" t="s">
        <v>6</v>
      </c>
      <c r="K214">
        <f>COUNTIFS(GESTIONES!$A:$A, BASE_CUENTAS!$A214, GESTIONES!$B:$B, BASE_CUENTAS!$C214)</f>
        <v>3</v>
      </c>
      <c r="L214">
        <f>COUNTIFS(GESTIONES!$A:$A, BASE_CUENTAS!$A214,GESTIONES!$B:$B, BASE_CUENTAS!$C214,GESTIONES!$E:$E, "S")</f>
        <v>1</v>
      </c>
      <c r="M214">
        <f>COUNTIFS(GESTIONES!$A:$A, BASE_CUENTAS!$A214,GESTIONES!$B:$B, BASE_CUENTAS!$C214,GESTIONES!$E:$E, "N")</f>
        <v>2</v>
      </c>
      <c r="N214">
        <f>COUNTIFS(GESTIONES!$A:$A, BASE_CUENTAS!$A214,GESTIONES!$B:$B, BASE_CUENTAS!$C214,GESTIONES!$D:$D, "SMS")</f>
        <v>1</v>
      </c>
      <c r="O214">
        <f>SUMIFS(PAGOS!$D:$D,PAGOS!$A:$A, BASE_CUENTAS!$A214,PAGOS!$B:$B, BASE_CUENTAS!$C214)</f>
        <v>138600</v>
      </c>
      <c r="P214" t="str">
        <f>IF(
VLOOKUP($C214,BASE_CIERRE_MES!$C:$G,5,FALSE)=0,
"Normalización",
IF(
VLOOKUP($C214,BASE_CIERRE_MES!$C:$G,5,FALSE)&lt;$H214,
"Recuperación",
IF(
VLOOKUP($C214,BASE_CIERRE_MES!$C:$G,5,FALSE)=$H214,
"Contención",
"Rodamiento"
)))</f>
        <v>Contención</v>
      </c>
      <c r="Q214">
        <f t="shared" si="3"/>
        <v>2.8937033766136155E-2</v>
      </c>
    </row>
    <row r="215" spans="1:17" x14ac:dyDescent="0.25">
      <c r="A215">
        <v>8169305</v>
      </c>
      <c r="B215" t="s">
        <v>17</v>
      </c>
      <c r="C215">
        <v>23981315</v>
      </c>
      <c r="D215" t="s">
        <v>7</v>
      </c>
      <c r="E215">
        <v>7172558</v>
      </c>
      <c r="F215" s="2">
        <v>4095822</v>
      </c>
      <c r="G215" s="2">
        <v>1735554</v>
      </c>
      <c r="H215">
        <v>90</v>
      </c>
      <c r="I215" s="1">
        <v>42519</v>
      </c>
      <c r="J215" t="s">
        <v>6</v>
      </c>
      <c r="K215">
        <f>COUNTIFS(GESTIONES!$A:$A, BASE_CUENTAS!$A215, GESTIONES!$B:$B, BASE_CUENTAS!$C215)</f>
        <v>3</v>
      </c>
      <c r="L215">
        <f>COUNTIFS(GESTIONES!$A:$A, BASE_CUENTAS!$A215,GESTIONES!$B:$B, BASE_CUENTAS!$C215,GESTIONES!$E:$E, "S")</f>
        <v>1</v>
      </c>
      <c r="M215">
        <f>COUNTIFS(GESTIONES!$A:$A, BASE_CUENTAS!$A215,GESTIONES!$B:$B, BASE_CUENTAS!$C215,GESTIONES!$E:$E, "N")</f>
        <v>2</v>
      </c>
      <c r="N215">
        <f>COUNTIFS(GESTIONES!$A:$A, BASE_CUENTAS!$A215,GESTIONES!$B:$B, BASE_CUENTAS!$C215,GESTIONES!$D:$D, "SMS")</f>
        <v>0</v>
      </c>
      <c r="O215">
        <f>SUMIFS(PAGOS!$D:$D,PAGOS!$A:$A, BASE_CUENTAS!$A215,PAGOS!$B:$B, BASE_CUENTAS!$C215)</f>
        <v>4095822</v>
      </c>
      <c r="P215" t="str">
        <f>IF(
VLOOKUP($C215,BASE_CIERRE_MES!$C:$G,5,FALSE)=0,
"Normalización",
IF(
VLOOKUP($C215,BASE_CIERRE_MES!$C:$G,5,FALSE)&lt;$H215,
"Recuperación",
IF(
VLOOKUP($C215,BASE_CIERRE_MES!$C:$G,5,FALSE)=$H215,
"Contención",
"Rodamiento"
)))</f>
        <v>Normalización</v>
      </c>
      <c r="Q215">
        <f t="shared" si="3"/>
        <v>1</v>
      </c>
    </row>
    <row r="216" spans="1:17" x14ac:dyDescent="0.25">
      <c r="A216">
        <v>8169312</v>
      </c>
      <c r="B216" t="s">
        <v>18</v>
      </c>
      <c r="C216">
        <v>27097133</v>
      </c>
      <c r="D216" t="s">
        <v>7</v>
      </c>
      <c r="E216">
        <v>1646465</v>
      </c>
      <c r="F216" s="2">
        <v>1646465</v>
      </c>
      <c r="G216" s="2">
        <v>256848</v>
      </c>
      <c r="H216">
        <v>30</v>
      </c>
      <c r="I216" s="1">
        <v>42521</v>
      </c>
      <c r="J216" t="s">
        <v>4</v>
      </c>
      <c r="K216">
        <f>COUNTIFS(GESTIONES!$A:$A, BASE_CUENTAS!$A216, GESTIONES!$B:$B, BASE_CUENTAS!$C216)</f>
        <v>3</v>
      </c>
      <c r="L216">
        <f>COUNTIFS(GESTIONES!$A:$A, BASE_CUENTAS!$A216,GESTIONES!$B:$B, BASE_CUENTAS!$C216,GESTIONES!$E:$E, "S")</f>
        <v>0</v>
      </c>
      <c r="M216">
        <f>COUNTIFS(GESTIONES!$A:$A, BASE_CUENTAS!$A216,GESTIONES!$B:$B, BASE_CUENTAS!$C216,GESTIONES!$E:$E, "N")</f>
        <v>3</v>
      </c>
      <c r="N216">
        <f>COUNTIFS(GESTIONES!$A:$A, BASE_CUENTAS!$A216,GESTIONES!$B:$B, BASE_CUENTAS!$C216,GESTIONES!$D:$D, "SMS")</f>
        <v>1</v>
      </c>
      <c r="O216">
        <f>SUMIFS(PAGOS!$D:$D,PAGOS!$A:$A, BASE_CUENTAS!$A216,PAGOS!$B:$B, BASE_CUENTAS!$C216)</f>
        <v>0</v>
      </c>
      <c r="P216" t="str">
        <f>IF(
VLOOKUP($C216,BASE_CIERRE_MES!$C:$G,5,FALSE)=0,
"Normalización",
IF(
VLOOKUP($C216,BASE_CIERRE_MES!$C:$G,5,FALSE)&lt;$H216,
"Recuperación",
IF(
VLOOKUP($C216,BASE_CIERRE_MES!$C:$G,5,FALSE)=$H216,
"Contención",
"Rodamiento"
)))</f>
        <v>Rodamiento</v>
      </c>
      <c r="Q216">
        <f t="shared" si="3"/>
        <v>0</v>
      </c>
    </row>
    <row r="217" spans="1:17" x14ac:dyDescent="0.25">
      <c r="A217">
        <v>8169455</v>
      </c>
      <c r="B217" t="s">
        <v>18</v>
      </c>
      <c r="C217">
        <v>17140148</v>
      </c>
      <c r="D217" t="s">
        <v>7</v>
      </c>
      <c r="E217">
        <v>1007996</v>
      </c>
      <c r="F217" s="2">
        <v>1007996</v>
      </c>
      <c r="G217" s="2">
        <v>328142</v>
      </c>
      <c r="H217">
        <v>60</v>
      </c>
      <c r="I217" s="1">
        <v>42490</v>
      </c>
      <c r="J217" t="s">
        <v>6</v>
      </c>
      <c r="K217">
        <f>COUNTIFS(GESTIONES!$A:$A, BASE_CUENTAS!$A217, GESTIONES!$B:$B, BASE_CUENTAS!$C217)</f>
        <v>3</v>
      </c>
      <c r="L217">
        <f>COUNTIFS(GESTIONES!$A:$A, BASE_CUENTAS!$A217,GESTIONES!$B:$B, BASE_CUENTAS!$C217,GESTIONES!$E:$E, "S")</f>
        <v>1</v>
      </c>
      <c r="M217">
        <f>COUNTIFS(GESTIONES!$A:$A, BASE_CUENTAS!$A217,GESTIONES!$B:$B, BASE_CUENTAS!$C217,GESTIONES!$E:$E, "N")</f>
        <v>2</v>
      </c>
      <c r="N217">
        <f>COUNTIFS(GESTIONES!$A:$A, BASE_CUENTAS!$A217,GESTIONES!$B:$B, BASE_CUENTAS!$C217,GESTIONES!$D:$D, "SMS")</f>
        <v>2</v>
      </c>
      <c r="O217">
        <f>SUMIFS(PAGOS!$D:$D,PAGOS!$A:$A, BASE_CUENTAS!$A217,PAGOS!$B:$B, BASE_CUENTAS!$C217)</f>
        <v>164071</v>
      </c>
      <c r="P217" t="str">
        <f>IF(
VLOOKUP($C217,BASE_CIERRE_MES!$C:$G,5,FALSE)=0,
"Normalización",
IF(
VLOOKUP($C217,BASE_CIERRE_MES!$C:$G,5,FALSE)&lt;$H217,
"Recuperación",
IF(
VLOOKUP($C217,BASE_CIERRE_MES!$C:$G,5,FALSE)=$H217,
"Contención",
"Rodamiento"
)))</f>
        <v>Recuperación</v>
      </c>
      <c r="Q217">
        <f t="shared" si="3"/>
        <v>0.16276949511704411</v>
      </c>
    </row>
    <row r="218" spans="1:17" x14ac:dyDescent="0.25">
      <c r="A218">
        <v>8169800</v>
      </c>
      <c r="B218" t="s">
        <v>18</v>
      </c>
      <c r="C218">
        <v>27338499</v>
      </c>
      <c r="D218" t="s">
        <v>7</v>
      </c>
      <c r="E218">
        <v>1894254</v>
      </c>
      <c r="F218" s="2">
        <v>1894254</v>
      </c>
      <c r="G218" s="2">
        <v>350572</v>
      </c>
      <c r="H218">
        <v>30</v>
      </c>
      <c r="I218" s="1">
        <v>42521</v>
      </c>
      <c r="J218" t="s">
        <v>4</v>
      </c>
      <c r="K218">
        <f>COUNTIFS(GESTIONES!$A:$A, BASE_CUENTAS!$A218, GESTIONES!$B:$B, BASE_CUENTAS!$C218)</f>
        <v>3</v>
      </c>
      <c r="L218">
        <f>COUNTIFS(GESTIONES!$A:$A, BASE_CUENTAS!$A218,GESTIONES!$B:$B, BASE_CUENTAS!$C218,GESTIONES!$E:$E, "S")</f>
        <v>1</v>
      </c>
      <c r="M218">
        <f>COUNTIFS(GESTIONES!$A:$A, BASE_CUENTAS!$A218,GESTIONES!$B:$B, BASE_CUENTAS!$C218,GESTIONES!$E:$E, "N")</f>
        <v>2</v>
      </c>
      <c r="N218">
        <f>COUNTIFS(GESTIONES!$A:$A, BASE_CUENTAS!$A218,GESTIONES!$B:$B, BASE_CUENTAS!$C218,GESTIONES!$D:$D, "SMS")</f>
        <v>0</v>
      </c>
      <c r="O218">
        <f>SUMIFS(PAGOS!$D:$D,PAGOS!$A:$A, BASE_CUENTAS!$A218,PAGOS!$B:$B, BASE_CUENTAS!$C218)</f>
        <v>0</v>
      </c>
      <c r="P218" t="str">
        <f>IF(
VLOOKUP($C218,BASE_CIERRE_MES!$C:$G,5,FALSE)=0,
"Normalización",
IF(
VLOOKUP($C218,BASE_CIERRE_MES!$C:$G,5,FALSE)&lt;$H218,
"Recuperación",
IF(
VLOOKUP($C218,BASE_CIERRE_MES!$C:$G,5,FALSE)=$H218,
"Contención",
"Rodamiento"
)))</f>
        <v>Rodamiento</v>
      </c>
      <c r="Q218">
        <f t="shared" si="3"/>
        <v>0</v>
      </c>
    </row>
    <row r="219" spans="1:17" x14ac:dyDescent="0.25">
      <c r="A219">
        <v>8169896</v>
      </c>
      <c r="B219" t="s">
        <v>17</v>
      </c>
      <c r="C219">
        <v>23435595</v>
      </c>
      <c r="D219" t="s">
        <v>7</v>
      </c>
      <c r="E219">
        <v>2691763</v>
      </c>
      <c r="F219" s="2">
        <v>1347698</v>
      </c>
      <c r="G219" s="2">
        <v>468209</v>
      </c>
      <c r="H219">
        <v>90</v>
      </c>
      <c r="I219" s="1">
        <v>42508</v>
      </c>
      <c r="J219" t="s">
        <v>6</v>
      </c>
      <c r="K219">
        <f>COUNTIFS(GESTIONES!$A:$A, BASE_CUENTAS!$A219, GESTIONES!$B:$B, BASE_CUENTAS!$C219)</f>
        <v>3</v>
      </c>
      <c r="L219">
        <f>COUNTIFS(GESTIONES!$A:$A, BASE_CUENTAS!$A219,GESTIONES!$B:$B, BASE_CUENTAS!$C219,GESTIONES!$E:$E, "S")</f>
        <v>1</v>
      </c>
      <c r="M219">
        <f>COUNTIFS(GESTIONES!$A:$A, BASE_CUENTAS!$A219,GESTIONES!$B:$B, BASE_CUENTAS!$C219,GESTIONES!$E:$E, "N")</f>
        <v>2</v>
      </c>
      <c r="N219">
        <f>COUNTIFS(GESTIONES!$A:$A, BASE_CUENTAS!$A219,GESTIONES!$B:$B, BASE_CUENTAS!$C219,GESTIONES!$D:$D, "SMS")</f>
        <v>1</v>
      </c>
      <c r="O219">
        <f>SUMIFS(PAGOS!$D:$D,PAGOS!$A:$A, BASE_CUENTAS!$A219,PAGOS!$B:$B, BASE_CUENTAS!$C219)</f>
        <v>0</v>
      </c>
      <c r="P219" t="str">
        <f>IF(
VLOOKUP($C219,BASE_CIERRE_MES!$C:$G,5,FALSE)=0,
"Normalización",
IF(
VLOOKUP($C219,BASE_CIERRE_MES!$C:$G,5,FALSE)&lt;$H219,
"Recuperación",
IF(
VLOOKUP($C219,BASE_CIERRE_MES!$C:$G,5,FALSE)=$H219,
"Contención",
"Rodamiento"
)))</f>
        <v>Rodamiento</v>
      </c>
      <c r="Q219">
        <f t="shared" si="3"/>
        <v>0</v>
      </c>
    </row>
    <row r="220" spans="1:17" x14ac:dyDescent="0.25">
      <c r="A220">
        <v>8169896</v>
      </c>
      <c r="B220" t="s">
        <v>17</v>
      </c>
      <c r="C220">
        <v>23435865</v>
      </c>
      <c r="D220" t="s">
        <v>7</v>
      </c>
      <c r="E220">
        <v>2691763</v>
      </c>
      <c r="F220" s="2">
        <v>1344064</v>
      </c>
      <c r="G220" s="2">
        <v>397486</v>
      </c>
      <c r="H220">
        <v>90</v>
      </c>
      <c r="I220" s="1">
        <v>42508</v>
      </c>
      <c r="J220" t="s">
        <v>6</v>
      </c>
      <c r="K220">
        <f>COUNTIFS(GESTIONES!$A:$A, BASE_CUENTAS!$A220, GESTIONES!$B:$B, BASE_CUENTAS!$C220)</f>
        <v>3</v>
      </c>
      <c r="L220">
        <f>COUNTIFS(GESTIONES!$A:$A, BASE_CUENTAS!$A220,GESTIONES!$B:$B, BASE_CUENTAS!$C220,GESTIONES!$E:$E, "S")</f>
        <v>1</v>
      </c>
      <c r="M220">
        <f>COUNTIFS(GESTIONES!$A:$A, BASE_CUENTAS!$A220,GESTIONES!$B:$B, BASE_CUENTAS!$C220,GESTIONES!$E:$E, "N")</f>
        <v>2</v>
      </c>
      <c r="N220">
        <f>COUNTIFS(GESTIONES!$A:$A, BASE_CUENTAS!$A220,GESTIONES!$B:$B, BASE_CUENTAS!$C220,GESTIONES!$D:$D, "SMS")</f>
        <v>0</v>
      </c>
      <c r="O220">
        <f>SUMIFS(PAGOS!$D:$D,PAGOS!$A:$A, BASE_CUENTAS!$A220,PAGOS!$B:$B, BASE_CUENTAS!$C220)</f>
        <v>0</v>
      </c>
      <c r="P220" t="str">
        <f>IF(
VLOOKUP($C220,BASE_CIERRE_MES!$C:$G,5,FALSE)=0,
"Normalización",
IF(
VLOOKUP($C220,BASE_CIERRE_MES!$C:$G,5,FALSE)&lt;$H220,
"Recuperación",
IF(
VLOOKUP($C220,BASE_CIERRE_MES!$C:$G,5,FALSE)=$H220,
"Contención",
"Rodamiento"
)))</f>
        <v>Rodamiento</v>
      </c>
      <c r="Q220">
        <f t="shared" si="3"/>
        <v>0</v>
      </c>
    </row>
    <row r="221" spans="1:17" x14ac:dyDescent="0.25">
      <c r="A221">
        <v>8169918</v>
      </c>
      <c r="B221" t="s">
        <v>18</v>
      </c>
      <c r="C221">
        <v>25753095</v>
      </c>
      <c r="D221" t="s">
        <v>7</v>
      </c>
      <c r="E221">
        <v>783257</v>
      </c>
      <c r="F221" s="2">
        <v>783257</v>
      </c>
      <c r="G221" s="2">
        <v>783257</v>
      </c>
      <c r="H221">
        <v>180</v>
      </c>
      <c r="I221" s="1">
        <v>42480</v>
      </c>
      <c r="J221" t="s">
        <v>5</v>
      </c>
      <c r="K221">
        <f>COUNTIFS(GESTIONES!$A:$A, BASE_CUENTAS!$A221, GESTIONES!$B:$B, BASE_CUENTAS!$C221)</f>
        <v>3</v>
      </c>
      <c r="L221">
        <f>COUNTIFS(GESTIONES!$A:$A, BASE_CUENTAS!$A221,GESTIONES!$B:$B, BASE_CUENTAS!$C221,GESTIONES!$E:$E, "S")</f>
        <v>0</v>
      </c>
      <c r="M221">
        <f>COUNTIFS(GESTIONES!$A:$A, BASE_CUENTAS!$A221,GESTIONES!$B:$B, BASE_CUENTAS!$C221,GESTIONES!$E:$E, "N")</f>
        <v>3</v>
      </c>
      <c r="N221">
        <f>COUNTIFS(GESTIONES!$A:$A, BASE_CUENTAS!$A221,GESTIONES!$B:$B, BASE_CUENTAS!$C221,GESTIONES!$D:$D, "SMS")</f>
        <v>1</v>
      </c>
      <c r="O221">
        <f>SUMIFS(PAGOS!$D:$D,PAGOS!$A:$A, BASE_CUENTAS!$A221,PAGOS!$B:$B, BASE_CUENTAS!$C221)</f>
        <v>783257</v>
      </c>
      <c r="P221" t="str">
        <f>IF(
VLOOKUP($C221,BASE_CIERRE_MES!$C:$G,5,FALSE)=0,
"Normalización",
IF(
VLOOKUP($C221,BASE_CIERRE_MES!$C:$G,5,FALSE)&lt;$H221,
"Recuperación",
IF(
VLOOKUP($C221,BASE_CIERRE_MES!$C:$G,5,FALSE)=$H221,
"Contención",
"Rodamiento"
)))</f>
        <v>Normalización</v>
      </c>
      <c r="Q221">
        <f t="shared" si="3"/>
        <v>1</v>
      </c>
    </row>
    <row r="222" spans="1:17" x14ac:dyDescent="0.25">
      <c r="A222">
        <v>8169981</v>
      </c>
      <c r="B222" t="s">
        <v>17</v>
      </c>
      <c r="C222">
        <v>27032129</v>
      </c>
      <c r="D222" t="s">
        <v>7</v>
      </c>
      <c r="E222">
        <v>5113212</v>
      </c>
      <c r="F222" s="2">
        <v>2487286</v>
      </c>
      <c r="G222" s="2">
        <v>392482</v>
      </c>
      <c r="H222">
        <v>60</v>
      </c>
      <c r="I222" s="1">
        <v>42480</v>
      </c>
      <c r="J222" t="s">
        <v>6</v>
      </c>
      <c r="K222">
        <f>COUNTIFS(GESTIONES!$A:$A, BASE_CUENTAS!$A222, GESTIONES!$B:$B, BASE_CUENTAS!$C222)</f>
        <v>3</v>
      </c>
      <c r="L222">
        <f>COUNTIFS(GESTIONES!$A:$A, BASE_CUENTAS!$A222,GESTIONES!$B:$B, BASE_CUENTAS!$C222,GESTIONES!$E:$E, "S")</f>
        <v>1</v>
      </c>
      <c r="M222">
        <f>COUNTIFS(GESTIONES!$A:$A, BASE_CUENTAS!$A222,GESTIONES!$B:$B, BASE_CUENTAS!$C222,GESTIONES!$E:$E, "N")</f>
        <v>2</v>
      </c>
      <c r="N222">
        <f>COUNTIFS(GESTIONES!$A:$A, BASE_CUENTAS!$A222,GESTIONES!$B:$B, BASE_CUENTAS!$C222,GESTIONES!$D:$D, "SMS")</f>
        <v>2</v>
      </c>
      <c r="O222">
        <f>SUMIFS(PAGOS!$D:$D,PAGOS!$A:$A, BASE_CUENTAS!$A222,PAGOS!$B:$B, BASE_CUENTAS!$C222)</f>
        <v>130827</v>
      </c>
      <c r="P222" t="str">
        <f>IF(
VLOOKUP($C222,BASE_CIERRE_MES!$C:$G,5,FALSE)=0,
"Normalización",
IF(
VLOOKUP($C222,BASE_CIERRE_MES!$C:$G,5,FALSE)&lt;$H222,
"Recuperación",
IF(
VLOOKUP($C222,BASE_CIERRE_MES!$C:$G,5,FALSE)=$H222,
"Contención",
"Rodamiento"
)))</f>
        <v>Contención</v>
      </c>
      <c r="Q222">
        <f t="shared" si="3"/>
        <v>5.2598293883373282E-2</v>
      </c>
    </row>
    <row r="223" spans="1:17" x14ac:dyDescent="0.25">
      <c r="A223">
        <v>8169981</v>
      </c>
      <c r="B223" t="s">
        <v>17</v>
      </c>
      <c r="C223">
        <v>27033156</v>
      </c>
      <c r="D223" t="s">
        <v>7</v>
      </c>
      <c r="E223">
        <v>5113212</v>
      </c>
      <c r="F223" s="2">
        <v>2625926</v>
      </c>
      <c r="G223" s="2">
        <v>429219</v>
      </c>
      <c r="H223">
        <v>60</v>
      </c>
      <c r="I223" s="1">
        <v>42481</v>
      </c>
      <c r="J223" t="s">
        <v>6</v>
      </c>
      <c r="K223">
        <f>COUNTIFS(GESTIONES!$A:$A, BASE_CUENTAS!$A223, GESTIONES!$B:$B, BASE_CUENTAS!$C223)</f>
        <v>3</v>
      </c>
      <c r="L223">
        <f>COUNTIFS(GESTIONES!$A:$A, BASE_CUENTAS!$A223,GESTIONES!$B:$B, BASE_CUENTAS!$C223,GESTIONES!$E:$E, "S")</f>
        <v>1</v>
      </c>
      <c r="M223">
        <f>COUNTIFS(GESTIONES!$A:$A, BASE_CUENTAS!$A223,GESTIONES!$B:$B, BASE_CUENTAS!$C223,GESTIONES!$E:$E, "N")</f>
        <v>2</v>
      </c>
      <c r="N223">
        <f>COUNTIFS(GESTIONES!$A:$A, BASE_CUENTAS!$A223,GESTIONES!$B:$B, BASE_CUENTAS!$C223,GESTIONES!$D:$D, "SMS")</f>
        <v>0</v>
      </c>
      <c r="O223">
        <f>SUMIFS(PAGOS!$D:$D,PAGOS!$A:$A, BASE_CUENTAS!$A223,PAGOS!$B:$B, BASE_CUENTAS!$C223)</f>
        <v>143073</v>
      </c>
      <c r="P223" t="str">
        <f>IF(
VLOOKUP($C223,BASE_CIERRE_MES!$C:$G,5,FALSE)=0,
"Normalización",
IF(
VLOOKUP($C223,BASE_CIERRE_MES!$C:$G,5,FALSE)&lt;$H223,
"Recuperación",
IF(
VLOOKUP($C223,BASE_CIERRE_MES!$C:$G,5,FALSE)=$H223,
"Contención",
"Rodamiento"
)))</f>
        <v>Contención</v>
      </c>
      <c r="Q223">
        <f t="shared" si="3"/>
        <v>5.4484779845281245E-2</v>
      </c>
    </row>
    <row r="224" spans="1:17" x14ac:dyDescent="0.25">
      <c r="A224">
        <v>8170036</v>
      </c>
      <c r="B224" t="s">
        <v>18</v>
      </c>
      <c r="C224">
        <v>21447860</v>
      </c>
      <c r="D224" t="s">
        <v>7</v>
      </c>
      <c r="E224">
        <v>1760563</v>
      </c>
      <c r="F224" s="2">
        <v>1742797</v>
      </c>
      <c r="G224" s="2">
        <v>91656</v>
      </c>
      <c r="H224">
        <v>30</v>
      </c>
      <c r="I224" s="1">
        <v>42521</v>
      </c>
      <c r="J224" t="s">
        <v>4</v>
      </c>
      <c r="K224">
        <f>COUNTIFS(GESTIONES!$A:$A, BASE_CUENTAS!$A224, GESTIONES!$B:$B, BASE_CUENTAS!$C224)</f>
        <v>3</v>
      </c>
      <c r="L224">
        <f>COUNTIFS(GESTIONES!$A:$A, BASE_CUENTAS!$A224,GESTIONES!$B:$B, BASE_CUENTAS!$C224,GESTIONES!$E:$E, "S")</f>
        <v>1</v>
      </c>
      <c r="M224">
        <f>COUNTIFS(GESTIONES!$A:$A, BASE_CUENTAS!$A224,GESTIONES!$B:$B, BASE_CUENTAS!$C224,GESTIONES!$E:$E, "N")</f>
        <v>2</v>
      </c>
      <c r="N224">
        <f>COUNTIFS(GESTIONES!$A:$A, BASE_CUENTAS!$A224,GESTIONES!$B:$B, BASE_CUENTAS!$C224,GESTIONES!$D:$D, "SMS")</f>
        <v>1</v>
      </c>
      <c r="O224">
        <f>SUMIFS(PAGOS!$D:$D,PAGOS!$A:$A, BASE_CUENTAS!$A224,PAGOS!$B:$B, BASE_CUENTAS!$C224)</f>
        <v>91656</v>
      </c>
      <c r="P224" t="str">
        <f>IF(
VLOOKUP($C224,BASE_CIERRE_MES!$C:$G,5,FALSE)=0,
"Normalización",
IF(
VLOOKUP($C224,BASE_CIERRE_MES!$C:$G,5,FALSE)&lt;$H224,
"Recuperación",
IF(
VLOOKUP($C224,BASE_CIERRE_MES!$C:$G,5,FALSE)=$H224,
"Contención",
"Rodamiento"
)))</f>
        <v>Normalización</v>
      </c>
      <c r="Q224">
        <f t="shared" si="3"/>
        <v>5.2591323028442209E-2</v>
      </c>
    </row>
    <row r="225" spans="1:17" x14ac:dyDescent="0.25">
      <c r="A225">
        <v>8170123</v>
      </c>
      <c r="B225" t="s">
        <v>18</v>
      </c>
      <c r="C225">
        <v>25601009</v>
      </c>
      <c r="D225" t="s">
        <v>7</v>
      </c>
      <c r="E225">
        <v>947845</v>
      </c>
      <c r="F225" s="2">
        <v>947845</v>
      </c>
      <c r="G225" s="2">
        <v>947845</v>
      </c>
      <c r="H225">
        <v>150</v>
      </c>
      <c r="I225" s="1">
        <v>42509</v>
      </c>
      <c r="J225" t="s">
        <v>5</v>
      </c>
      <c r="K225">
        <f>COUNTIFS(GESTIONES!$A:$A, BASE_CUENTAS!$A225, GESTIONES!$B:$B, BASE_CUENTAS!$C225)</f>
        <v>3</v>
      </c>
      <c r="L225">
        <f>COUNTIFS(GESTIONES!$A:$A, BASE_CUENTAS!$A225,GESTIONES!$B:$B, BASE_CUENTAS!$C225,GESTIONES!$E:$E, "S")</f>
        <v>2</v>
      </c>
      <c r="M225">
        <f>COUNTIFS(GESTIONES!$A:$A, BASE_CUENTAS!$A225,GESTIONES!$B:$B, BASE_CUENTAS!$C225,GESTIONES!$E:$E, "N")</f>
        <v>1</v>
      </c>
      <c r="N225">
        <f>COUNTIFS(GESTIONES!$A:$A, BASE_CUENTAS!$A225,GESTIONES!$B:$B, BASE_CUENTAS!$C225,GESTIONES!$D:$D, "SMS")</f>
        <v>0</v>
      </c>
      <c r="O225">
        <f>SUMIFS(PAGOS!$D:$D,PAGOS!$A:$A, BASE_CUENTAS!$A225,PAGOS!$B:$B, BASE_CUENTAS!$C225)</f>
        <v>0</v>
      </c>
      <c r="P225" t="str">
        <f>IF(
VLOOKUP($C225,BASE_CIERRE_MES!$C:$G,5,FALSE)=0,
"Normalización",
IF(
VLOOKUP($C225,BASE_CIERRE_MES!$C:$G,5,FALSE)&lt;$H225,
"Recuperación",
IF(
VLOOKUP($C225,BASE_CIERRE_MES!$C:$G,5,FALSE)=$H225,
"Contención",
"Rodamiento"
)))</f>
        <v>Rodamiento</v>
      </c>
      <c r="Q225">
        <f t="shared" si="3"/>
        <v>0</v>
      </c>
    </row>
    <row r="226" spans="1:17" x14ac:dyDescent="0.25">
      <c r="A226">
        <v>8170382</v>
      </c>
      <c r="B226" t="s">
        <v>16</v>
      </c>
      <c r="C226">
        <v>26499265</v>
      </c>
      <c r="D226" t="s">
        <v>11</v>
      </c>
      <c r="E226">
        <v>22577038</v>
      </c>
      <c r="F226" s="2">
        <v>18218649</v>
      </c>
      <c r="G226" s="2">
        <v>389043</v>
      </c>
      <c r="H226">
        <v>3</v>
      </c>
      <c r="I226" s="1">
        <v>42529</v>
      </c>
      <c r="J226" t="s">
        <v>6</v>
      </c>
      <c r="K226">
        <f>COUNTIFS(GESTIONES!$A:$A, BASE_CUENTAS!$A226, GESTIONES!$B:$B, BASE_CUENTAS!$C226)</f>
        <v>3</v>
      </c>
      <c r="L226">
        <f>COUNTIFS(GESTIONES!$A:$A, BASE_CUENTAS!$A226,GESTIONES!$B:$B, BASE_CUENTAS!$C226,GESTIONES!$E:$E, "S")</f>
        <v>1</v>
      </c>
      <c r="M226">
        <f>COUNTIFS(GESTIONES!$A:$A, BASE_CUENTAS!$A226,GESTIONES!$B:$B, BASE_CUENTAS!$C226,GESTIONES!$E:$E, "N")</f>
        <v>2</v>
      </c>
      <c r="N226">
        <f>COUNTIFS(GESTIONES!$A:$A, BASE_CUENTAS!$A226,GESTIONES!$B:$B, BASE_CUENTAS!$C226,GESTIONES!$D:$D, "SMS")</f>
        <v>0</v>
      </c>
      <c r="O226">
        <f>SUMIFS(PAGOS!$D:$D,PAGOS!$A:$A, BASE_CUENTAS!$A226,PAGOS!$B:$B, BASE_CUENTAS!$C226)</f>
        <v>389043</v>
      </c>
      <c r="P226" t="str">
        <f>IF(
VLOOKUP($C226,BASE_CIERRE_MES!$C:$G,5,FALSE)=0,
"Normalización",
IF(
VLOOKUP($C226,BASE_CIERRE_MES!$C:$G,5,FALSE)&lt;$H226,
"Recuperación",
IF(
VLOOKUP($C226,BASE_CIERRE_MES!$C:$G,5,FALSE)=$H226,
"Contención",
"Rodamiento"
)))</f>
        <v>Normalización</v>
      </c>
      <c r="Q226">
        <f t="shared" si="3"/>
        <v>2.1354108090012602E-2</v>
      </c>
    </row>
    <row r="227" spans="1:17" x14ac:dyDescent="0.25">
      <c r="A227">
        <v>8170382</v>
      </c>
      <c r="B227" t="s">
        <v>16</v>
      </c>
      <c r="C227">
        <v>28063744</v>
      </c>
      <c r="D227" t="s">
        <v>7</v>
      </c>
      <c r="E227">
        <v>22577038</v>
      </c>
      <c r="F227" s="2">
        <v>2140266</v>
      </c>
      <c r="G227" s="2">
        <v>427254</v>
      </c>
      <c r="H227">
        <v>30</v>
      </c>
      <c r="I227" s="1">
        <v>42508</v>
      </c>
      <c r="J227" t="s">
        <v>6</v>
      </c>
      <c r="K227">
        <f>COUNTIFS(GESTIONES!$A:$A, BASE_CUENTAS!$A227, GESTIONES!$B:$B, BASE_CUENTAS!$C227)</f>
        <v>3</v>
      </c>
      <c r="L227">
        <f>COUNTIFS(GESTIONES!$A:$A, BASE_CUENTAS!$A227,GESTIONES!$B:$B, BASE_CUENTAS!$C227,GESTIONES!$E:$E, "S")</f>
        <v>0</v>
      </c>
      <c r="M227">
        <f>COUNTIFS(GESTIONES!$A:$A, BASE_CUENTAS!$A227,GESTIONES!$B:$B, BASE_CUENTAS!$C227,GESTIONES!$E:$E, "N")</f>
        <v>3</v>
      </c>
      <c r="N227">
        <f>COUNTIFS(GESTIONES!$A:$A, BASE_CUENTAS!$A227,GESTIONES!$B:$B, BASE_CUENTAS!$C227,GESTIONES!$D:$D, "SMS")</f>
        <v>2</v>
      </c>
      <c r="O227">
        <f>SUMIFS(PAGOS!$D:$D,PAGOS!$A:$A, BASE_CUENTAS!$A227,PAGOS!$B:$B, BASE_CUENTAS!$C227)</f>
        <v>427254</v>
      </c>
      <c r="P227" t="str">
        <f>IF(
VLOOKUP($C227,BASE_CIERRE_MES!$C:$G,5,FALSE)=0,
"Normalización",
IF(
VLOOKUP($C227,BASE_CIERRE_MES!$C:$G,5,FALSE)&lt;$H227,
"Recuperación",
IF(
VLOOKUP($C227,BASE_CIERRE_MES!$C:$G,5,FALSE)=$H227,
"Contención",
"Rodamiento"
)))</f>
        <v>Normalización</v>
      </c>
      <c r="Q227">
        <f t="shared" si="3"/>
        <v>0.19962658847077885</v>
      </c>
    </row>
    <row r="228" spans="1:17" x14ac:dyDescent="0.25">
      <c r="A228">
        <v>8170382</v>
      </c>
      <c r="B228" t="s">
        <v>16</v>
      </c>
      <c r="C228">
        <v>28065349</v>
      </c>
      <c r="D228" t="s">
        <v>7</v>
      </c>
      <c r="E228">
        <v>22577038</v>
      </c>
      <c r="F228" s="2">
        <v>2218123</v>
      </c>
      <c r="G228" s="2">
        <v>329619</v>
      </c>
      <c r="H228">
        <v>30</v>
      </c>
      <c r="I228" s="1">
        <v>42509</v>
      </c>
      <c r="J228" t="s">
        <v>6</v>
      </c>
      <c r="K228">
        <f>COUNTIFS(GESTIONES!$A:$A, BASE_CUENTAS!$A228, GESTIONES!$B:$B, BASE_CUENTAS!$C228)</f>
        <v>3</v>
      </c>
      <c r="L228">
        <f>COUNTIFS(GESTIONES!$A:$A, BASE_CUENTAS!$A228,GESTIONES!$B:$B, BASE_CUENTAS!$C228,GESTIONES!$E:$E, "S")</f>
        <v>1</v>
      </c>
      <c r="M228">
        <f>COUNTIFS(GESTIONES!$A:$A, BASE_CUENTAS!$A228,GESTIONES!$B:$B, BASE_CUENTAS!$C228,GESTIONES!$E:$E, "N")</f>
        <v>2</v>
      </c>
      <c r="N228">
        <f>COUNTIFS(GESTIONES!$A:$A, BASE_CUENTAS!$A228,GESTIONES!$B:$B, BASE_CUENTAS!$C228,GESTIONES!$D:$D, "SMS")</f>
        <v>1</v>
      </c>
      <c r="O228">
        <f>SUMIFS(PAGOS!$D:$D,PAGOS!$A:$A, BASE_CUENTAS!$A228,PAGOS!$B:$B, BASE_CUENTAS!$C228)</f>
        <v>0</v>
      </c>
      <c r="P228" t="str">
        <f>IF(
VLOOKUP($C228,BASE_CIERRE_MES!$C:$G,5,FALSE)=0,
"Normalización",
IF(
VLOOKUP($C228,BASE_CIERRE_MES!$C:$G,5,FALSE)&lt;$H228,
"Recuperación",
IF(
VLOOKUP($C228,BASE_CIERRE_MES!$C:$G,5,FALSE)=$H228,
"Contención",
"Rodamiento"
)))</f>
        <v>Rodamiento</v>
      </c>
      <c r="Q228">
        <f t="shared" si="3"/>
        <v>0</v>
      </c>
    </row>
    <row r="229" spans="1:17" x14ac:dyDescent="0.25">
      <c r="A229">
        <v>8170439</v>
      </c>
      <c r="B229" t="s">
        <v>18</v>
      </c>
      <c r="C229">
        <v>27843990</v>
      </c>
      <c r="D229" t="s">
        <v>7</v>
      </c>
      <c r="E229">
        <v>3697789</v>
      </c>
      <c r="F229" s="2">
        <v>3697789</v>
      </c>
      <c r="G229" s="2">
        <v>342226</v>
      </c>
      <c r="H229">
        <v>30</v>
      </c>
      <c r="I229" s="1">
        <v>42509</v>
      </c>
      <c r="J229" t="s">
        <v>6</v>
      </c>
      <c r="K229">
        <f>COUNTIFS(GESTIONES!$A:$A, BASE_CUENTAS!$A229, GESTIONES!$B:$B, BASE_CUENTAS!$C229)</f>
        <v>3</v>
      </c>
      <c r="L229">
        <f>COUNTIFS(GESTIONES!$A:$A, BASE_CUENTAS!$A229,GESTIONES!$B:$B, BASE_CUENTAS!$C229,GESTIONES!$E:$E, "S")</f>
        <v>1</v>
      </c>
      <c r="M229">
        <f>COUNTIFS(GESTIONES!$A:$A, BASE_CUENTAS!$A229,GESTIONES!$B:$B, BASE_CUENTAS!$C229,GESTIONES!$E:$E, "N")</f>
        <v>2</v>
      </c>
      <c r="N229">
        <f>COUNTIFS(GESTIONES!$A:$A, BASE_CUENTAS!$A229,GESTIONES!$B:$B, BASE_CUENTAS!$C229,GESTIONES!$D:$D, "SMS")</f>
        <v>1</v>
      </c>
      <c r="O229">
        <f>SUMIFS(PAGOS!$D:$D,PAGOS!$A:$A, BASE_CUENTAS!$A229,PAGOS!$B:$B, BASE_CUENTAS!$C229)</f>
        <v>342226</v>
      </c>
      <c r="P229" t="str">
        <f>IF(
VLOOKUP($C229,BASE_CIERRE_MES!$C:$G,5,FALSE)=0,
"Normalización",
IF(
VLOOKUP($C229,BASE_CIERRE_MES!$C:$G,5,FALSE)&lt;$H229,
"Recuperación",
IF(
VLOOKUP($C229,BASE_CIERRE_MES!$C:$G,5,FALSE)=$H229,
"Contención",
"Rodamiento"
)))</f>
        <v>Normalización</v>
      </c>
      <c r="Q229">
        <f t="shared" si="3"/>
        <v>9.2548817685379023E-2</v>
      </c>
    </row>
    <row r="230" spans="1:17" x14ac:dyDescent="0.25">
      <c r="A230">
        <v>8170763</v>
      </c>
      <c r="B230" t="s">
        <v>17</v>
      </c>
      <c r="C230">
        <v>26772925</v>
      </c>
      <c r="D230" t="s">
        <v>11</v>
      </c>
      <c r="E230">
        <v>7161947</v>
      </c>
      <c r="F230" s="2">
        <v>6615699</v>
      </c>
      <c r="G230" s="2">
        <v>142107</v>
      </c>
      <c r="H230">
        <v>7</v>
      </c>
      <c r="I230" s="1">
        <v>42528</v>
      </c>
      <c r="J230" t="s">
        <v>5</v>
      </c>
      <c r="K230">
        <f>COUNTIFS(GESTIONES!$A:$A, BASE_CUENTAS!$A230, GESTIONES!$B:$B, BASE_CUENTAS!$C230)</f>
        <v>3</v>
      </c>
      <c r="L230">
        <f>COUNTIFS(GESTIONES!$A:$A, BASE_CUENTAS!$A230,GESTIONES!$B:$B, BASE_CUENTAS!$C230,GESTIONES!$E:$E, "S")</f>
        <v>1</v>
      </c>
      <c r="M230">
        <f>COUNTIFS(GESTIONES!$A:$A, BASE_CUENTAS!$A230,GESTIONES!$B:$B, BASE_CUENTAS!$C230,GESTIONES!$E:$E, "N")</f>
        <v>2</v>
      </c>
      <c r="N230">
        <f>COUNTIFS(GESTIONES!$A:$A, BASE_CUENTAS!$A230,GESTIONES!$B:$B, BASE_CUENTAS!$C230,GESTIONES!$D:$D, "SMS")</f>
        <v>0</v>
      </c>
      <c r="O230">
        <f>SUMIFS(PAGOS!$D:$D,PAGOS!$A:$A, BASE_CUENTAS!$A230,PAGOS!$B:$B, BASE_CUENTAS!$C230)</f>
        <v>0</v>
      </c>
      <c r="P230" t="str">
        <f>IF(
VLOOKUP($C230,BASE_CIERRE_MES!$C:$G,5,FALSE)=0,
"Normalización",
IF(
VLOOKUP($C230,BASE_CIERRE_MES!$C:$G,5,FALSE)&lt;$H230,
"Recuperación",
IF(
VLOOKUP($C230,BASE_CIERRE_MES!$C:$G,5,FALSE)=$H230,
"Contención",
"Rodamiento"
)))</f>
        <v>Rodamiento</v>
      </c>
      <c r="Q230">
        <f t="shared" si="3"/>
        <v>0</v>
      </c>
    </row>
    <row r="231" spans="1:17" x14ac:dyDescent="0.25">
      <c r="A231">
        <v>8170763</v>
      </c>
      <c r="B231" t="s">
        <v>17</v>
      </c>
      <c r="C231">
        <v>27233973</v>
      </c>
      <c r="D231" t="s">
        <v>7</v>
      </c>
      <c r="E231">
        <v>7161947</v>
      </c>
      <c r="F231" s="2">
        <v>546248</v>
      </c>
      <c r="G231" s="2">
        <v>546248</v>
      </c>
      <c r="H231">
        <v>120</v>
      </c>
      <c r="I231" s="1">
        <v>42518</v>
      </c>
      <c r="J231" t="s">
        <v>5</v>
      </c>
      <c r="K231">
        <f>COUNTIFS(GESTIONES!$A:$A, BASE_CUENTAS!$A231, GESTIONES!$B:$B, BASE_CUENTAS!$C231)</f>
        <v>3</v>
      </c>
      <c r="L231">
        <f>COUNTIFS(GESTIONES!$A:$A, BASE_CUENTAS!$A231,GESTIONES!$B:$B, BASE_CUENTAS!$C231,GESTIONES!$E:$E, "S")</f>
        <v>1</v>
      </c>
      <c r="M231">
        <f>COUNTIFS(GESTIONES!$A:$A, BASE_CUENTAS!$A231,GESTIONES!$B:$B, BASE_CUENTAS!$C231,GESTIONES!$E:$E, "N")</f>
        <v>2</v>
      </c>
      <c r="N231">
        <f>COUNTIFS(GESTIONES!$A:$A, BASE_CUENTAS!$A231,GESTIONES!$B:$B, BASE_CUENTAS!$C231,GESTIONES!$D:$D, "SMS")</f>
        <v>0</v>
      </c>
      <c r="O231">
        <f>SUMIFS(PAGOS!$D:$D,PAGOS!$A:$A, BASE_CUENTAS!$A231,PAGOS!$B:$B, BASE_CUENTAS!$C231)</f>
        <v>546248</v>
      </c>
      <c r="P231" t="str">
        <f>IF(
VLOOKUP($C231,BASE_CIERRE_MES!$C:$G,5,FALSE)=0,
"Normalización",
IF(
VLOOKUP($C231,BASE_CIERRE_MES!$C:$G,5,FALSE)&lt;$H231,
"Recuperación",
IF(
VLOOKUP($C231,BASE_CIERRE_MES!$C:$G,5,FALSE)=$H231,
"Contención",
"Rodamiento"
)))</f>
        <v>Normalización</v>
      </c>
      <c r="Q231">
        <f t="shared" si="3"/>
        <v>1</v>
      </c>
    </row>
    <row r="232" spans="1:17" x14ac:dyDescent="0.25">
      <c r="A232">
        <v>8170768</v>
      </c>
      <c r="B232" t="s">
        <v>18</v>
      </c>
      <c r="C232">
        <v>25300694</v>
      </c>
      <c r="D232" t="s">
        <v>7</v>
      </c>
      <c r="E232">
        <v>2146760</v>
      </c>
      <c r="F232" s="2">
        <v>673220</v>
      </c>
      <c r="G232" s="2">
        <v>680640</v>
      </c>
      <c r="H232">
        <v>240</v>
      </c>
      <c r="I232" s="1">
        <v>42417</v>
      </c>
      <c r="J232" t="s">
        <v>5</v>
      </c>
      <c r="K232">
        <f>COUNTIFS(GESTIONES!$A:$A, BASE_CUENTAS!$A232, GESTIONES!$B:$B, BASE_CUENTAS!$C232)</f>
        <v>3</v>
      </c>
      <c r="L232">
        <f>COUNTIFS(GESTIONES!$A:$A, BASE_CUENTAS!$A232,GESTIONES!$B:$B, BASE_CUENTAS!$C232,GESTIONES!$E:$E, "S")</f>
        <v>0</v>
      </c>
      <c r="M232">
        <f>COUNTIFS(GESTIONES!$A:$A, BASE_CUENTAS!$A232,GESTIONES!$B:$B, BASE_CUENTAS!$C232,GESTIONES!$E:$E, "N")</f>
        <v>3</v>
      </c>
      <c r="N232">
        <f>COUNTIFS(GESTIONES!$A:$A, BASE_CUENTAS!$A232,GESTIONES!$B:$B, BASE_CUENTAS!$C232,GESTIONES!$D:$D, "SMS")</f>
        <v>2</v>
      </c>
      <c r="O232">
        <f>SUMIFS(PAGOS!$D:$D,PAGOS!$A:$A, BASE_CUENTAS!$A232,PAGOS!$B:$B, BASE_CUENTAS!$C232)</f>
        <v>444690</v>
      </c>
      <c r="P232" t="str">
        <f>IF(
VLOOKUP($C232,BASE_CIERRE_MES!$C:$G,5,FALSE)=0,
"Normalización",
IF(
VLOOKUP($C232,BASE_CIERRE_MES!$C:$G,5,FALSE)&lt;$H232,
"Recuperación",
IF(
VLOOKUP($C232,BASE_CIERRE_MES!$C:$G,5,FALSE)=$H232,
"Contención",
"Rodamiento"
)))</f>
        <v>Recuperación</v>
      </c>
      <c r="Q232">
        <f t="shared" si="3"/>
        <v>0.66054187338462911</v>
      </c>
    </row>
    <row r="233" spans="1:17" x14ac:dyDescent="0.25">
      <c r="A233">
        <v>8170777</v>
      </c>
      <c r="B233" t="s">
        <v>17</v>
      </c>
      <c r="C233">
        <v>26247384</v>
      </c>
      <c r="D233" t="s">
        <v>7</v>
      </c>
      <c r="E233">
        <v>8741727</v>
      </c>
      <c r="F233" s="2">
        <v>3429567</v>
      </c>
      <c r="G233" s="2">
        <v>719109</v>
      </c>
      <c r="H233">
        <v>90</v>
      </c>
      <c r="I233" s="1">
        <v>42508</v>
      </c>
      <c r="J233" t="s">
        <v>6</v>
      </c>
      <c r="K233">
        <f>COUNTIFS(GESTIONES!$A:$A, BASE_CUENTAS!$A233, GESTIONES!$B:$B, BASE_CUENTAS!$C233)</f>
        <v>3</v>
      </c>
      <c r="L233">
        <f>COUNTIFS(GESTIONES!$A:$A, BASE_CUENTAS!$A233,GESTIONES!$B:$B, BASE_CUENTAS!$C233,GESTIONES!$E:$E, "S")</f>
        <v>1</v>
      </c>
      <c r="M233">
        <f>COUNTIFS(GESTIONES!$A:$A, BASE_CUENTAS!$A233,GESTIONES!$B:$B, BASE_CUENTAS!$C233,GESTIONES!$E:$E, "N")</f>
        <v>2</v>
      </c>
      <c r="N233">
        <f>COUNTIFS(GESTIONES!$A:$A, BASE_CUENTAS!$A233,GESTIONES!$B:$B, BASE_CUENTAS!$C233,GESTIONES!$D:$D, "SMS")</f>
        <v>1</v>
      </c>
      <c r="O233">
        <f>SUMIFS(PAGOS!$D:$D,PAGOS!$A:$A, BASE_CUENTAS!$A233,PAGOS!$B:$B, BASE_CUENTAS!$C233)</f>
        <v>3429567</v>
      </c>
      <c r="P233" t="str">
        <f>IF(
VLOOKUP($C233,BASE_CIERRE_MES!$C:$G,5,FALSE)=0,
"Normalización",
IF(
VLOOKUP($C233,BASE_CIERRE_MES!$C:$G,5,FALSE)&lt;$H233,
"Recuperación",
IF(
VLOOKUP($C233,BASE_CIERRE_MES!$C:$G,5,FALSE)=$H233,
"Contención",
"Rodamiento"
)))</f>
        <v>Normalización</v>
      </c>
      <c r="Q233">
        <f t="shared" si="3"/>
        <v>1</v>
      </c>
    </row>
    <row r="234" spans="1:17" x14ac:dyDescent="0.25">
      <c r="A234">
        <v>8170777</v>
      </c>
      <c r="B234" t="s">
        <v>17</v>
      </c>
      <c r="C234">
        <v>27130922</v>
      </c>
      <c r="D234" t="s">
        <v>7</v>
      </c>
      <c r="E234">
        <v>8741727</v>
      </c>
      <c r="F234" s="2">
        <v>5312160</v>
      </c>
      <c r="G234" s="2">
        <v>764532</v>
      </c>
      <c r="H234">
        <v>60</v>
      </c>
      <c r="I234" s="1">
        <v>42508</v>
      </c>
      <c r="J234" t="s">
        <v>6</v>
      </c>
      <c r="K234">
        <f>COUNTIFS(GESTIONES!$A:$A, BASE_CUENTAS!$A234, GESTIONES!$B:$B, BASE_CUENTAS!$C234)</f>
        <v>3</v>
      </c>
      <c r="L234">
        <f>COUNTIFS(GESTIONES!$A:$A, BASE_CUENTAS!$A234,GESTIONES!$B:$B, BASE_CUENTAS!$C234,GESTIONES!$E:$E, "S")</f>
        <v>1</v>
      </c>
      <c r="M234">
        <f>COUNTIFS(GESTIONES!$A:$A, BASE_CUENTAS!$A234,GESTIONES!$B:$B, BASE_CUENTAS!$C234,GESTIONES!$E:$E, "N")</f>
        <v>2</v>
      </c>
      <c r="N234">
        <f>COUNTIFS(GESTIONES!$A:$A, BASE_CUENTAS!$A234,GESTIONES!$B:$B, BASE_CUENTAS!$C234,GESTIONES!$D:$D, "SMS")</f>
        <v>1</v>
      </c>
      <c r="O234">
        <f>SUMIFS(PAGOS!$D:$D,PAGOS!$A:$A, BASE_CUENTAS!$A234,PAGOS!$B:$B, BASE_CUENTAS!$C234)</f>
        <v>382266</v>
      </c>
      <c r="P234" t="str">
        <f>IF(
VLOOKUP($C234,BASE_CIERRE_MES!$C:$G,5,FALSE)=0,
"Normalización",
IF(
VLOOKUP($C234,BASE_CIERRE_MES!$C:$G,5,FALSE)&lt;$H234,
"Recuperación",
IF(
VLOOKUP($C234,BASE_CIERRE_MES!$C:$G,5,FALSE)=$H234,
"Contención",
"Rodamiento"
)))</f>
        <v>Recuperación</v>
      </c>
      <c r="Q234">
        <f t="shared" si="3"/>
        <v>7.1960558416915149E-2</v>
      </c>
    </row>
    <row r="235" spans="1:17" x14ac:dyDescent="0.25">
      <c r="A235">
        <v>8170803</v>
      </c>
      <c r="B235" t="s">
        <v>18</v>
      </c>
      <c r="C235">
        <v>25962079</v>
      </c>
      <c r="D235" t="s">
        <v>7</v>
      </c>
      <c r="E235">
        <v>1434936</v>
      </c>
      <c r="F235" s="2">
        <v>1434936</v>
      </c>
      <c r="G235" s="2">
        <v>476789</v>
      </c>
      <c r="H235">
        <v>60</v>
      </c>
      <c r="I235" s="1">
        <v>42491</v>
      </c>
      <c r="J235" t="s">
        <v>6</v>
      </c>
      <c r="K235">
        <f>COUNTIFS(GESTIONES!$A:$A, BASE_CUENTAS!$A235, GESTIONES!$B:$B, BASE_CUENTAS!$C235)</f>
        <v>3</v>
      </c>
      <c r="L235">
        <f>COUNTIFS(GESTIONES!$A:$A, BASE_CUENTAS!$A235,GESTIONES!$B:$B, BASE_CUENTAS!$C235,GESTIONES!$E:$E, "S")</f>
        <v>1</v>
      </c>
      <c r="M235">
        <f>COUNTIFS(GESTIONES!$A:$A, BASE_CUENTAS!$A235,GESTIONES!$B:$B, BASE_CUENTAS!$C235,GESTIONES!$E:$E, "N")</f>
        <v>2</v>
      </c>
      <c r="N235">
        <f>COUNTIFS(GESTIONES!$A:$A, BASE_CUENTAS!$A235,GESTIONES!$B:$B, BASE_CUENTAS!$C235,GESTIONES!$D:$D, "SMS")</f>
        <v>0</v>
      </c>
      <c r="O235">
        <f>SUMIFS(PAGOS!$D:$D,PAGOS!$A:$A, BASE_CUENTAS!$A235,PAGOS!$B:$B, BASE_CUENTAS!$C235)</f>
        <v>238395</v>
      </c>
      <c r="P235" t="str">
        <f>IF(
VLOOKUP($C235,BASE_CIERRE_MES!$C:$G,5,FALSE)=0,
"Normalización",
IF(
VLOOKUP($C235,BASE_CIERRE_MES!$C:$G,5,FALSE)&lt;$H235,
"Recuperación",
IF(
VLOOKUP($C235,BASE_CIERRE_MES!$C:$G,5,FALSE)=$H235,
"Contención",
"Rodamiento"
)))</f>
        <v>Recuperación</v>
      </c>
      <c r="Q235">
        <f t="shared" si="3"/>
        <v>0.16613632942514509</v>
      </c>
    </row>
    <row r="236" spans="1:17" x14ac:dyDescent="0.25">
      <c r="A236">
        <v>8170829</v>
      </c>
      <c r="B236" t="s">
        <v>17</v>
      </c>
      <c r="C236">
        <v>27287702</v>
      </c>
      <c r="D236" t="s">
        <v>7</v>
      </c>
      <c r="E236">
        <v>3045836</v>
      </c>
      <c r="F236" s="2">
        <v>1352706</v>
      </c>
      <c r="G236" s="2">
        <v>557681</v>
      </c>
      <c r="H236">
        <v>60</v>
      </c>
      <c r="I236" s="1">
        <v>42509</v>
      </c>
      <c r="J236" t="s">
        <v>5</v>
      </c>
      <c r="K236">
        <f>COUNTIFS(GESTIONES!$A:$A, BASE_CUENTAS!$A236, GESTIONES!$B:$B, BASE_CUENTAS!$C236)</f>
        <v>3</v>
      </c>
      <c r="L236">
        <f>COUNTIFS(GESTIONES!$A:$A, BASE_CUENTAS!$A236,GESTIONES!$B:$B, BASE_CUENTAS!$C236,GESTIONES!$E:$E, "S")</f>
        <v>1</v>
      </c>
      <c r="M236">
        <f>COUNTIFS(GESTIONES!$A:$A, BASE_CUENTAS!$A236,GESTIONES!$B:$B, BASE_CUENTAS!$C236,GESTIONES!$E:$E, "N")</f>
        <v>2</v>
      </c>
      <c r="N236">
        <f>COUNTIFS(GESTIONES!$A:$A, BASE_CUENTAS!$A236,GESTIONES!$B:$B, BASE_CUENTAS!$C236,GESTIONES!$D:$D, "SMS")</f>
        <v>0</v>
      </c>
      <c r="O236">
        <f>SUMIFS(PAGOS!$D:$D,PAGOS!$A:$A, BASE_CUENTAS!$A236,PAGOS!$B:$B, BASE_CUENTAS!$C236)</f>
        <v>185894</v>
      </c>
      <c r="P236" t="str">
        <f>IF(
VLOOKUP($C236,BASE_CIERRE_MES!$C:$G,5,FALSE)=0,
"Normalización",
IF(
VLOOKUP($C236,BASE_CIERRE_MES!$C:$G,5,FALSE)&lt;$H236,
"Recuperación",
IF(
VLOOKUP($C236,BASE_CIERRE_MES!$C:$G,5,FALSE)=$H236,
"Contención",
"Rodamiento"
)))</f>
        <v>Contención</v>
      </c>
      <c r="Q236">
        <f t="shared" si="3"/>
        <v>0.1374238008850408</v>
      </c>
    </row>
    <row r="237" spans="1:17" x14ac:dyDescent="0.25">
      <c r="A237">
        <v>8170829</v>
      </c>
      <c r="B237" t="s">
        <v>17</v>
      </c>
      <c r="C237">
        <v>27289838</v>
      </c>
      <c r="D237" t="s">
        <v>7</v>
      </c>
      <c r="E237">
        <v>3045836</v>
      </c>
      <c r="F237" s="2">
        <v>1693130</v>
      </c>
      <c r="G237" s="2">
        <v>1693130</v>
      </c>
      <c r="H237">
        <v>120</v>
      </c>
      <c r="I237" s="1">
        <v>42509</v>
      </c>
      <c r="J237" t="s">
        <v>5</v>
      </c>
      <c r="K237">
        <f>COUNTIFS(GESTIONES!$A:$A, BASE_CUENTAS!$A237, GESTIONES!$B:$B, BASE_CUENTAS!$C237)</f>
        <v>3</v>
      </c>
      <c r="L237">
        <f>COUNTIFS(GESTIONES!$A:$A, BASE_CUENTAS!$A237,GESTIONES!$B:$B, BASE_CUENTAS!$C237,GESTIONES!$E:$E, "S")</f>
        <v>0</v>
      </c>
      <c r="M237">
        <f>COUNTIFS(GESTIONES!$A:$A, BASE_CUENTAS!$A237,GESTIONES!$B:$B, BASE_CUENTAS!$C237,GESTIONES!$E:$E, "N")</f>
        <v>3</v>
      </c>
      <c r="N237">
        <f>COUNTIFS(GESTIONES!$A:$A, BASE_CUENTAS!$A237,GESTIONES!$B:$B, BASE_CUENTAS!$C237,GESTIONES!$D:$D, "SMS")</f>
        <v>2</v>
      </c>
      <c r="O237">
        <f>SUMIFS(PAGOS!$D:$D,PAGOS!$A:$A, BASE_CUENTAS!$A237,PAGOS!$B:$B, BASE_CUENTAS!$C237)</f>
        <v>0</v>
      </c>
      <c r="P237" t="str">
        <f>IF(
VLOOKUP($C237,BASE_CIERRE_MES!$C:$G,5,FALSE)=0,
"Normalización",
IF(
VLOOKUP($C237,BASE_CIERRE_MES!$C:$G,5,FALSE)&lt;$H237,
"Recuperación",
IF(
VLOOKUP($C237,BASE_CIERRE_MES!$C:$G,5,FALSE)=$H237,
"Contención",
"Rodamiento"
)))</f>
        <v>Rodamiento</v>
      </c>
      <c r="Q237">
        <f t="shared" si="3"/>
        <v>0</v>
      </c>
    </row>
    <row r="238" spans="1:17" x14ac:dyDescent="0.25">
      <c r="A238">
        <v>8170851</v>
      </c>
      <c r="B238" t="s">
        <v>18</v>
      </c>
      <c r="C238">
        <v>27057377</v>
      </c>
      <c r="D238" t="s">
        <v>7</v>
      </c>
      <c r="E238">
        <v>2440789</v>
      </c>
      <c r="F238" s="2">
        <v>1341555</v>
      </c>
      <c r="G238" s="2">
        <v>178016</v>
      </c>
      <c r="H238">
        <v>30</v>
      </c>
      <c r="I238" s="1">
        <v>42521</v>
      </c>
      <c r="J238" t="s">
        <v>4</v>
      </c>
      <c r="K238">
        <f>COUNTIFS(GESTIONES!$A:$A, BASE_CUENTAS!$A238, GESTIONES!$B:$B, BASE_CUENTAS!$C238)</f>
        <v>3</v>
      </c>
      <c r="L238">
        <f>COUNTIFS(GESTIONES!$A:$A, BASE_CUENTAS!$A238,GESTIONES!$B:$B, BASE_CUENTAS!$C238,GESTIONES!$E:$E, "S")</f>
        <v>1</v>
      </c>
      <c r="M238">
        <f>COUNTIFS(GESTIONES!$A:$A, BASE_CUENTAS!$A238,GESTIONES!$B:$B, BASE_CUENTAS!$C238,GESTIONES!$E:$E, "N")</f>
        <v>2</v>
      </c>
      <c r="N238">
        <f>COUNTIFS(GESTIONES!$A:$A, BASE_CUENTAS!$A238,GESTIONES!$B:$B, BASE_CUENTAS!$C238,GESTIONES!$D:$D, "SMS")</f>
        <v>1</v>
      </c>
      <c r="O238">
        <f>SUMIFS(PAGOS!$D:$D,PAGOS!$A:$A, BASE_CUENTAS!$A238,PAGOS!$B:$B, BASE_CUENTAS!$C238)</f>
        <v>1341555</v>
      </c>
      <c r="P238" t="str">
        <f>IF(
VLOOKUP($C238,BASE_CIERRE_MES!$C:$G,5,FALSE)=0,
"Normalización",
IF(
VLOOKUP($C238,BASE_CIERRE_MES!$C:$G,5,FALSE)&lt;$H238,
"Recuperación",
IF(
VLOOKUP($C238,BASE_CIERRE_MES!$C:$G,5,FALSE)=$H238,
"Contención",
"Rodamiento"
)))</f>
        <v>Normalización</v>
      </c>
      <c r="Q238">
        <f t="shared" si="3"/>
        <v>1</v>
      </c>
    </row>
    <row r="239" spans="1:17" x14ac:dyDescent="0.25">
      <c r="A239">
        <v>8170902</v>
      </c>
      <c r="B239" t="s">
        <v>17</v>
      </c>
      <c r="C239">
        <v>4617082</v>
      </c>
      <c r="D239" t="s">
        <v>7</v>
      </c>
      <c r="E239">
        <v>2717763</v>
      </c>
      <c r="F239" s="2">
        <v>1667020</v>
      </c>
      <c r="G239" s="2">
        <v>317673</v>
      </c>
      <c r="H239">
        <v>30</v>
      </c>
      <c r="I239" s="1">
        <v>42521</v>
      </c>
      <c r="J239" t="s">
        <v>5</v>
      </c>
      <c r="K239">
        <f>COUNTIFS(GESTIONES!$A:$A, BASE_CUENTAS!$A239, GESTIONES!$B:$B, BASE_CUENTAS!$C239)</f>
        <v>3</v>
      </c>
      <c r="L239">
        <f>COUNTIFS(GESTIONES!$A:$A, BASE_CUENTAS!$A239,GESTIONES!$B:$B, BASE_CUENTAS!$C239,GESTIONES!$E:$E, "S")</f>
        <v>1</v>
      </c>
      <c r="M239">
        <f>COUNTIFS(GESTIONES!$A:$A, BASE_CUENTAS!$A239,GESTIONES!$B:$B, BASE_CUENTAS!$C239,GESTIONES!$E:$E, "N")</f>
        <v>2</v>
      </c>
      <c r="N239">
        <f>COUNTIFS(GESTIONES!$A:$A, BASE_CUENTAS!$A239,GESTIONES!$B:$B, BASE_CUENTAS!$C239,GESTIONES!$D:$D, "SMS")</f>
        <v>1</v>
      </c>
      <c r="O239">
        <f>SUMIFS(PAGOS!$D:$D,PAGOS!$A:$A, BASE_CUENTAS!$A239,PAGOS!$B:$B, BASE_CUENTAS!$C239)</f>
        <v>105891</v>
      </c>
      <c r="P239" t="str">
        <f>IF(
VLOOKUP($C239,BASE_CIERRE_MES!$C:$G,5,FALSE)=0,
"Normalización",
IF(
VLOOKUP($C239,BASE_CIERRE_MES!$C:$G,5,FALSE)&lt;$H239,
"Recuperación",
IF(
VLOOKUP($C239,BASE_CIERRE_MES!$C:$G,5,FALSE)=$H239,
"Contención",
"Rodamiento"
)))</f>
        <v>Contención</v>
      </c>
      <c r="Q239">
        <f t="shared" si="3"/>
        <v>6.3521133519693823E-2</v>
      </c>
    </row>
    <row r="240" spans="1:17" x14ac:dyDescent="0.25">
      <c r="A240">
        <v>8170902</v>
      </c>
      <c r="B240" t="s">
        <v>17</v>
      </c>
      <c r="C240">
        <v>11334214</v>
      </c>
      <c r="D240" t="s">
        <v>13</v>
      </c>
      <c r="E240">
        <v>2717763</v>
      </c>
      <c r="F240" s="2">
        <v>1050743</v>
      </c>
      <c r="G240" s="2">
        <v>1053435</v>
      </c>
      <c r="H240">
        <v>339</v>
      </c>
      <c r="I240" s="1">
        <v>42483</v>
      </c>
      <c r="J240" t="s">
        <v>5</v>
      </c>
      <c r="K240">
        <f>COUNTIFS(GESTIONES!$A:$A, BASE_CUENTAS!$A240, GESTIONES!$B:$B, BASE_CUENTAS!$C240)</f>
        <v>3</v>
      </c>
      <c r="L240">
        <f>COUNTIFS(GESTIONES!$A:$A, BASE_CUENTAS!$A240,GESTIONES!$B:$B, BASE_CUENTAS!$C240,GESTIONES!$E:$E, "S")</f>
        <v>1</v>
      </c>
      <c r="M240">
        <f>COUNTIFS(GESTIONES!$A:$A, BASE_CUENTAS!$A240,GESTIONES!$B:$B, BASE_CUENTAS!$C240,GESTIONES!$E:$E, "N")</f>
        <v>2</v>
      </c>
      <c r="N240">
        <f>COUNTIFS(GESTIONES!$A:$A, BASE_CUENTAS!$A240,GESTIONES!$B:$B, BASE_CUENTAS!$C240,GESTIONES!$D:$D, "SMS")</f>
        <v>0</v>
      </c>
      <c r="O240">
        <f>SUMIFS(PAGOS!$D:$D,PAGOS!$A:$A, BASE_CUENTAS!$A240,PAGOS!$B:$B, BASE_CUENTAS!$C240)</f>
        <v>1050743</v>
      </c>
      <c r="P240" t="str">
        <f>IF(
VLOOKUP($C240,BASE_CIERRE_MES!$C:$G,5,FALSE)=0,
"Normalización",
IF(
VLOOKUP($C240,BASE_CIERRE_MES!$C:$G,5,FALSE)&lt;$H240,
"Recuperación",
IF(
VLOOKUP($C240,BASE_CIERRE_MES!$C:$G,5,FALSE)=$H240,
"Contención",
"Rodamiento"
)))</f>
        <v>Recuperación</v>
      </c>
      <c r="Q240">
        <f t="shared" si="3"/>
        <v>1</v>
      </c>
    </row>
    <row r="241" spans="1:17" x14ac:dyDescent="0.25">
      <c r="A241">
        <v>8171445</v>
      </c>
      <c r="B241" t="s">
        <v>18</v>
      </c>
      <c r="C241">
        <v>23926424</v>
      </c>
      <c r="D241" t="s">
        <v>7</v>
      </c>
      <c r="E241">
        <v>572418</v>
      </c>
      <c r="F241" s="2">
        <v>572418</v>
      </c>
      <c r="G241" s="2">
        <v>26887</v>
      </c>
      <c r="H241">
        <v>30</v>
      </c>
      <c r="I241" s="1">
        <v>42508</v>
      </c>
      <c r="J241" t="s">
        <v>6</v>
      </c>
      <c r="K241">
        <f>COUNTIFS(GESTIONES!$A:$A, BASE_CUENTAS!$A241, GESTIONES!$B:$B, BASE_CUENTAS!$C241)</f>
        <v>3</v>
      </c>
      <c r="L241">
        <f>COUNTIFS(GESTIONES!$A:$A, BASE_CUENTAS!$A241,GESTIONES!$B:$B, BASE_CUENTAS!$C241,GESTIONES!$E:$E, "S")</f>
        <v>2</v>
      </c>
      <c r="M241">
        <f>COUNTIFS(GESTIONES!$A:$A, BASE_CUENTAS!$A241,GESTIONES!$B:$B, BASE_CUENTAS!$C241,GESTIONES!$E:$E, "N")</f>
        <v>1</v>
      </c>
      <c r="N241">
        <f>COUNTIFS(GESTIONES!$A:$A, BASE_CUENTAS!$A241,GESTIONES!$B:$B, BASE_CUENTAS!$C241,GESTIONES!$D:$D, "SMS")</f>
        <v>0</v>
      </c>
      <c r="O241">
        <f>SUMIFS(PAGOS!$D:$D,PAGOS!$A:$A, BASE_CUENTAS!$A241,PAGOS!$B:$B, BASE_CUENTAS!$C241)</f>
        <v>0</v>
      </c>
      <c r="P241" t="str">
        <f>IF(
VLOOKUP($C241,BASE_CIERRE_MES!$C:$G,5,FALSE)=0,
"Normalización",
IF(
VLOOKUP($C241,BASE_CIERRE_MES!$C:$G,5,FALSE)&lt;$H241,
"Recuperación",
IF(
VLOOKUP($C241,BASE_CIERRE_MES!$C:$G,5,FALSE)=$H241,
"Contención",
"Rodamiento"
)))</f>
        <v>Rodamiento</v>
      </c>
      <c r="Q241">
        <f t="shared" si="3"/>
        <v>0</v>
      </c>
    </row>
    <row r="242" spans="1:17" x14ac:dyDescent="0.25">
      <c r="A242">
        <v>8171508</v>
      </c>
      <c r="B242" t="s">
        <v>18</v>
      </c>
      <c r="C242">
        <v>27924163</v>
      </c>
      <c r="D242" t="s">
        <v>7</v>
      </c>
      <c r="E242">
        <v>32898</v>
      </c>
      <c r="F242" s="2">
        <v>32898</v>
      </c>
      <c r="G242" s="2">
        <v>26455</v>
      </c>
      <c r="H242">
        <v>30</v>
      </c>
      <c r="I242" s="1">
        <v>42508</v>
      </c>
      <c r="J242" t="s">
        <v>6</v>
      </c>
      <c r="K242">
        <f>COUNTIFS(GESTIONES!$A:$A, BASE_CUENTAS!$A242, GESTIONES!$B:$B, BASE_CUENTAS!$C242)</f>
        <v>3</v>
      </c>
      <c r="L242">
        <f>COUNTIFS(GESTIONES!$A:$A, BASE_CUENTAS!$A242,GESTIONES!$B:$B, BASE_CUENTAS!$C242,GESTIONES!$E:$E, "S")</f>
        <v>1</v>
      </c>
      <c r="M242">
        <f>COUNTIFS(GESTIONES!$A:$A, BASE_CUENTAS!$A242,GESTIONES!$B:$B, BASE_CUENTAS!$C242,GESTIONES!$E:$E, "N")</f>
        <v>2</v>
      </c>
      <c r="N242">
        <f>COUNTIFS(GESTIONES!$A:$A, BASE_CUENTAS!$A242,GESTIONES!$B:$B, BASE_CUENTAS!$C242,GESTIONES!$D:$D, "SMS")</f>
        <v>1</v>
      </c>
      <c r="O242">
        <f>SUMIFS(PAGOS!$D:$D,PAGOS!$A:$A, BASE_CUENTAS!$A242,PAGOS!$B:$B, BASE_CUENTAS!$C242)</f>
        <v>0</v>
      </c>
      <c r="P242" t="str">
        <f>IF(
VLOOKUP($C242,BASE_CIERRE_MES!$C:$G,5,FALSE)=0,
"Normalización",
IF(
VLOOKUP($C242,BASE_CIERRE_MES!$C:$G,5,FALSE)&lt;$H242,
"Recuperación",
IF(
VLOOKUP($C242,BASE_CIERRE_MES!$C:$G,5,FALSE)=$H242,
"Contención",
"Rodamiento"
)))</f>
        <v>Rodamiento</v>
      </c>
      <c r="Q242">
        <f t="shared" si="3"/>
        <v>0</v>
      </c>
    </row>
    <row r="243" spans="1:17" x14ac:dyDescent="0.25">
      <c r="A243">
        <v>8171519</v>
      </c>
      <c r="B243" t="s">
        <v>17</v>
      </c>
      <c r="C243">
        <v>24829797</v>
      </c>
      <c r="D243" t="s">
        <v>7</v>
      </c>
      <c r="E243">
        <v>5541861</v>
      </c>
      <c r="F243" s="2">
        <v>4532330</v>
      </c>
      <c r="G243" s="2">
        <v>1694160</v>
      </c>
      <c r="H243">
        <v>120</v>
      </c>
      <c r="I243" s="1">
        <v>42510</v>
      </c>
      <c r="J243" t="s">
        <v>5</v>
      </c>
      <c r="K243">
        <f>COUNTIFS(GESTIONES!$A:$A, BASE_CUENTAS!$A243, GESTIONES!$B:$B, BASE_CUENTAS!$C243)</f>
        <v>3</v>
      </c>
      <c r="L243">
        <f>COUNTIFS(GESTIONES!$A:$A, BASE_CUENTAS!$A243,GESTIONES!$B:$B, BASE_CUENTAS!$C243,GESTIONES!$E:$E, "S")</f>
        <v>0</v>
      </c>
      <c r="M243">
        <f>COUNTIFS(GESTIONES!$A:$A, BASE_CUENTAS!$A243,GESTIONES!$B:$B, BASE_CUENTAS!$C243,GESTIONES!$E:$E, "N")</f>
        <v>3</v>
      </c>
      <c r="N243">
        <f>COUNTIFS(GESTIONES!$A:$A, BASE_CUENTAS!$A243,GESTIONES!$B:$B, BASE_CUENTAS!$C243,GESTIONES!$D:$D, "SMS")</f>
        <v>1</v>
      </c>
      <c r="O243">
        <f>SUMIFS(PAGOS!$D:$D,PAGOS!$A:$A, BASE_CUENTAS!$A243,PAGOS!$B:$B, BASE_CUENTAS!$C243)</f>
        <v>0</v>
      </c>
      <c r="P243" t="str">
        <f>IF(
VLOOKUP($C243,BASE_CIERRE_MES!$C:$G,5,FALSE)=0,
"Normalización",
IF(
VLOOKUP($C243,BASE_CIERRE_MES!$C:$G,5,FALSE)&lt;$H243,
"Recuperación",
IF(
VLOOKUP($C243,BASE_CIERRE_MES!$C:$G,5,FALSE)=$H243,
"Contención",
"Rodamiento"
)))</f>
        <v>Rodamiento</v>
      </c>
      <c r="Q243">
        <f t="shared" si="3"/>
        <v>0</v>
      </c>
    </row>
    <row r="244" spans="1:17" x14ac:dyDescent="0.25">
      <c r="A244">
        <v>8171519</v>
      </c>
      <c r="B244" t="s">
        <v>17</v>
      </c>
      <c r="C244">
        <v>25310605</v>
      </c>
      <c r="D244" t="s">
        <v>9</v>
      </c>
      <c r="E244">
        <v>5541861</v>
      </c>
      <c r="F244" s="2">
        <v>1009531</v>
      </c>
      <c r="G244" s="2">
        <v>432483</v>
      </c>
      <c r="H244">
        <v>110</v>
      </c>
      <c r="I244" s="1">
        <v>42510</v>
      </c>
      <c r="J244" t="s">
        <v>5</v>
      </c>
      <c r="K244">
        <f>COUNTIFS(GESTIONES!$A:$A, BASE_CUENTAS!$A244, GESTIONES!$B:$B, BASE_CUENTAS!$C244)</f>
        <v>3</v>
      </c>
      <c r="L244">
        <f>COUNTIFS(GESTIONES!$A:$A, BASE_CUENTAS!$A244,GESTIONES!$B:$B, BASE_CUENTAS!$C244,GESTIONES!$E:$E, "S")</f>
        <v>1</v>
      </c>
      <c r="M244">
        <f>COUNTIFS(GESTIONES!$A:$A, BASE_CUENTAS!$A244,GESTIONES!$B:$B, BASE_CUENTAS!$C244,GESTIONES!$E:$E, "N")</f>
        <v>2</v>
      </c>
      <c r="N244">
        <f>COUNTIFS(GESTIONES!$A:$A, BASE_CUENTAS!$A244,GESTIONES!$B:$B, BASE_CUENTAS!$C244,GESTIONES!$D:$D, "SMS")</f>
        <v>2</v>
      </c>
      <c r="O244">
        <f>SUMIFS(PAGOS!$D:$D,PAGOS!$A:$A, BASE_CUENTAS!$A244,PAGOS!$B:$B, BASE_CUENTAS!$C244)</f>
        <v>0</v>
      </c>
      <c r="P244" t="str">
        <f>IF(
VLOOKUP($C244,BASE_CIERRE_MES!$C:$G,5,FALSE)=0,
"Normalización",
IF(
VLOOKUP($C244,BASE_CIERRE_MES!$C:$G,5,FALSE)&lt;$H244,
"Recuperación",
IF(
VLOOKUP($C244,BASE_CIERRE_MES!$C:$G,5,FALSE)=$H244,
"Contención",
"Rodamiento"
)))</f>
        <v>Rodamiento</v>
      </c>
      <c r="Q244">
        <f t="shared" si="3"/>
        <v>0</v>
      </c>
    </row>
    <row r="245" spans="1:17" x14ac:dyDescent="0.25">
      <c r="A245">
        <v>8171572</v>
      </c>
      <c r="B245" t="s">
        <v>16</v>
      </c>
      <c r="C245">
        <v>26893789</v>
      </c>
      <c r="D245" t="s">
        <v>11</v>
      </c>
      <c r="E245">
        <v>45081146</v>
      </c>
      <c r="F245" s="2">
        <v>31475289</v>
      </c>
      <c r="G245" s="2">
        <v>2642183</v>
      </c>
      <c r="H245">
        <v>65</v>
      </c>
      <c r="I245" s="1">
        <v>42529</v>
      </c>
      <c r="J245" t="s">
        <v>5</v>
      </c>
      <c r="K245">
        <f>COUNTIFS(GESTIONES!$A:$A, BASE_CUENTAS!$A245, GESTIONES!$B:$B, BASE_CUENTAS!$C245)</f>
        <v>3</v>
      </c>
      <c r="L245">
        <f>COUNTIFS(GESTIONES!$A:$A, BASE_CUENTAS!$A245,GESTIONES!$B:$B, BASE_CUENTAS!$C245,GESTIONES!$E:$E, "S")</f>
        <v>1</v>
      </c>
      <c r="M245">
        <f>COUNTIFS(GESTIONES!$A:$A, BASE_CUENTAS!$A245,GESTIONES!$B:$B, BASE_CUENTAS!$C245,GESTIONES!$E:$E, "N")</f>
        <v>2</v>
      </c>
      <c r="N245">
        <f>COUNTIFS(GESTIONES!$A:$A, BASE_CUENTAS!$A245,GESTIONES!$B:$B, BASE_CUENTAS!$C245,GESTIONES!$D:$D, "SMS")</f>
        <v>0</v>
      </c>
      <c r="O245">
        <f>SUMIFS(PAGOS!$D:$D,PAGOS!$A:$A, BASE_CUENTAS!$A245,PAGOS!$B:$B, BASE_CUENTAS!$C245)</f>
        <v>0</v>
      </c>
      <c r="P245" t="str">
        <f>IF(
VLOOKUP($C245,BASE_CIERRE_MES!$C:$G,5,FALSE)=0,
"Normalización",
IF(
VLOOKUP($C245,BASE_CIERRE_MES!$C:$G,5,FALSE)&lt;$H245,
"Recuperación",
IF(
VLOOKUP($C245,BASE_CIERRE_MES!$C:$G,5,FALSE)=$H245,
"Contención",
"Rodamiento"
)))</f>
        <v>Rodamiento</v>
      </c>
      <c r="Q245">
        <f t="shared" si="3"/>
        <v>0</v>
      </c>
    </row>
    <row r="246" spans="1:17" x14ac:dyDescent="0.25">
      <c r="A246">
        <v>8171572</v>
      </c>
      <c r="B246" t="s">
        <v>16</v>
      </c>
      <c r="C246">
        <v>27857046</v>
      </c>
      <c r="D246" t="s">
        <v>7</v>
      </c>
      <c r="E246">
        <v>45081146</v>
      </c>
      <c r="F246" s="2">
        <v>6553880</v>
      </c>
      <c r="G246" s="2">
        <v>1425676</v>
      </c>
      <c r="H246">
        <v>60</v>
      </c>
      <c r="I246" s="1">
        <v>42529</v>
      </c>
      <c r="J246" t="s">
        <v>5</v>
      </c>
      <c r="K246">
        <f>COUNTIFS(GESTIONES!$A:$A, BASE_CUENTAS!$A246, GESTIONES!$B:$B, BASE_CUENTAS!$C246)</f>
        <v>3</v>
      </c>
      <c r="L246">
        <f>COUNTIFS(GESTIONES!$A:$A, BASE_CUENTAS!$A246,GESTIONES!$B:$B, BASE_CUENTAS!$C246,GESTIONES!$E:$E, "S")</f>
        <v>1</v>
      </c>
      <c r="M246">
        <f>COUNTIFS(GESTIONES!$A:$A, BASE_CUENTAS!$A246,GESTIONES!$B:$B, BASE_CUENTAS!$C246,GESTIONES!$E:$E, "N")</f>
        <v>2</v>
      </c>
      <c r="N246">
        <f>COUNTIFS(GESTIONES!$A:$A, BASE_CUENTAS!$A246,GESTIONES!$B:$B, BASE_CUENTAS!$C246,GESTIONES!$D:$D, "SMS")</f>
        <v>0</v>
      </c>
      <c r="O246">
        <f>SUMIFS(PAGOS!$D:$D,PAGOS!$A:$A, BASE_CUENTAS!$A246,PAGOS!$B:$B, BASE_CUENTAS!$C246)</f>
        <v>0</v>
      </c>
      <c r="P246" t="str">
        <f>IF(
VLOOKUP($C246,BASE_CIERRE_MES!$C:$G,5,FALSE)=0,
"Normalización",
IF(
VLOOKUP($C246,BASE_CIERRE_MES!$C:$G,5,FALSE)&lt;$H246,
"Recuperación",
IF(
VLOOKUP($C246,BASE_CIERRE_MES!$C:$G,5,FALSE)=$H246,
"Contención",
"Rodamiento"
)))</f>
        <v>Rodamiento</v>
      </c>
      <c r="Q246">
        <f t="shared" si="3"/>
        <v>0</v>
      </c>
    </row>
    <row r="247" spans="1:17" x14ac:dyDescent="0.25">
      <c r="A247">
        <v>8171572</v>
      </c>
      <c r="B247" t="s">
        <v>16</v>
      </c>
      <c r="C247">
        <v>27858009</v>
      </c>
      <c r="D247" t="s">
        <v>7</v>
      </c>
      <c r="E247">
        <v>45081146</v>
      </c>
      <c r="F247" s="2">
        <v>7051976</v>
      </c>
      <c r="G247" s="2">
        <v>1782848</v>
      </c>
      <c r="H247">
        <v>60</v>
      </c>
      <c r="I247" s="1">
        <v>42529</v>
      </c>
      <c r="J247" t="s">
        <v>5</v>
      </c>
      <c r="K247">
        <f>COUNTIFS(GESTIONES!$A:$A, BASE_CUENTAS!$A247, GESTIONES!$B:$B, BASE_CUENTAS!$C247)</f>
        <v>3</v>
      </c>
      <c r="L247">
        <f>COUNTIFS(GESTIONES!$A:$A, BASE_CUENTAS!$A247,GESTIONES!$B:$B, BASE_CUENTAS!$C247,GESTIONES!$E:$E, "S")</f>
        <v>1</v>
      </c>
      <c r="M247">
        <f>COUNTIFS(GESTIONES!$A:$A, BASE_CUENTAS!$A247,GESTIONES!$B:$B, BASE_CUENTAS!$C247,GESTIONES!$E:$E, "N")</f>
        <v>2</v>
      </c>
      <c r="N247">
        <f>COUNTIFS(GESTIONES!$A:$A, BASE_CUENTAS!$A247,GESTIONES!$B:$B, BASE_CUENTAS!$C247,GESTIONES!$D:$D, "SMS")</f>
        <v>1</v>
      </c>
      <c r="O247">
        <f>SUMIFS(PAGOS!$D:$D,PAGOS!$A:$A, BASE_CUENTAS!$A247,PAGOS!$B:$B, BASE_CUENTAS!$C247)</f>
        <v>1782848</v>
      </c>
      <c r="P247" t="str">
        <f>IF(
VLOOKUP($C247,BASE_CIERRE_MES!$C:$G,5,FALSE)=0,
"Normalización",
IF(
VLOOKUP($C247,BASE_CIERRE_MES!$C:$G,5,FALSE)&lt;$H247,
"Recuperación",
IF(
VLOOKUP($C247,BASE_CIERRE_MES!$C:$G,5,FALSE)=$H247,
"Contención",
"Rodamiento"
)))</f>
        <v>Normalización</v>
      </c>
      <c r="Q247">
        <f t="shared" si="3"/>
        <v>0.25281538110736623</v>
      </c>
    </row>
    <row r="248" spans="1:17" x14ac:dyDescent="0.25">
      <c r="A248">
        <v>8171608</v>
      </c>
      <c r="B248" t="s">
        <v>18</v>
      </c>
      <c r="C248">
        <v>27717868</v>
      </c>
      <c r="D248" t="s">
        <v>7</v>
      </c>
      <c r="E248">
        <v>4006310</v>
      </c>
      <c r="F248" s="2">
        <v>1091894</v>
      </c>
      <c r="G248" s="2">
        <v>28275</v>
      </c>
      <c r="H248">
        <v>30</v>
      </c>
      <c r="I248" s="1">
        <v>42509</v>
      </c>
      <c r="J248" t="s">
        <v>6</v>
      </c>
      <c r="K248">
        <f>COUNTIFS(GESTIONES!$A:$A, BASE_CUENTAS!$A248, GESTIONES!$B:$B, BASE_CUENTAS!$C248)</f>
        <v>3</v>
      </c>
      <c r="L248">
        <f>COUNTIFS(GESTIONES!$A:$A, BASE_CUENTAS!$A248,GESTIONES!$B:$B, BASE_CUENTAS!$C248,GESTIONES!$E:$E, "S")</f>
        <v>0</v>
      </c>
      <c r="M248">
        <f>COUNTIFS(GESTIONES!$A:$A, BASE_CUENTAS!$A248,GESTIONES!$B:$B, BASE_CUENTAS!$C248,GESTIONES!$E:$E, "N")</f>
        <v>3</v>
      </c>
      <c r="N248">
        <f>COUNTIFS(GESTIONES!$A:$A, BASE_CUENTAS!$A248,GESTIONES!$B:$B, BASE_CUENTAS!$C248,GESTIONES!$D:$D, "SMS")</f>
        <v>1</v>
      </c>
      <c r="O248">
        <f>SUMIFS(PAGOS!$D:$D,PAGOS!$A:$A, BASE_CUENTAS!$A248,PAGOS!$B:$B, BASE_CUENTAS!$C248)</f>
        <v>0</v>
      </c>
      <c r="P248" t="str">
        <f>IF(
VLOOKUP($C248,BASE_CIERRE_MES!$C:$G,5,FALSE)=0,
"Normalización",
IF(
VLOOKUP($C248,BASE_CIERRE_MES!$C:$G,5,FALSE)&lt;$H248,
"Recuperación",
IF(
VLOOKUP($C248,BASE_CIERRE_MES!$C:$G,5,FALSE)=$H248,
"Contención",
"Rodamiento"
)))</f>
        <v>Rodamiento</v>
      </c>
      <c r="Q248">
        <f t="shared" si="3"/>
        <v>0</v>
      </c>
    </row>
    <row r="249" spans="1:17" x14ac:dyDescent="0.25">
      <c r="A249">
        <v>8171628</v>
      </c>
      <c r="B249" t="s">
        <v>18</v>
      </c>
      <c r="C249">
        <v>25979102</v>
      </c>
      <c r="D249" t="s">
        <v>7</v>
      </c>
      <c r="E249">
        <v>4327540</v>
      </c>
      <c r="F249" s="2">
        <v>1424622</v>
      </c>
      <c r="G249" s="2">
        <v>121021</v>
      </c>
      <c r="H249">
        <v>30</v>
      </c>
      <c r="I249" s="1">
        <v>42509</v>
      </c>
      <c r="J249" t="s">
        <v>6</v>
      </c>
      <c r="K249">
        <f>COUNTIFS(GESTIONES!$A:$A, BASE_CUENTAS!$A249, GESTIONES!$B:$B, BASE_CUENTAS!$C249)</f>
        <v>3</v>
      </c>
      <c r="L249">
        <f>COUNTIFS(GESTIONES!$A:$A, BASE_CUENTAS!$A249,GESTIONES!$B:$B, BASE_CUENTAS!$C249,GESTIONES!$E:$E, "S")</f>
        <v>1</v>
      </c>
      <c r="M249">
        <f>COUNTIFS(GESTIONES!$A:$A, BASE_CUENTAS!$A249,GESTIONES!$B:$B, BASE_CUENTAS!$C249,GESTIONES!$E:$E, "N")</f>
        <v>2</v>
      </c>
      <c r="N249">
        <f>COUNTIFS(GESTIONES!$A:$A, BASE_CUENTAS!$A249,GESTIONES!$B:$B, BASE_CUENTAS!$C249,GESTIONES!$D:$D, "SMS")</f>
        <v>2</v>
      </c>
      <c r="O249">
        <f>SUMIFS(PAGOS!$D:$D,PAGOS!$A:$A, BASE_CUENTAS!$A249,PAGOS!$B:$B, BASE_CUENTAS!$C249)</f>
        <v>121021</v>
      </c>
      <c r="P249" t="str">
        <f>IF(
VLOOKUP($C249,BASE_CIERRE_MES!$C:$G,5,FALSE)=0,
"Normalización",
IF(
VLOOKUP($C249,BASE_CIERRE_MES!$C:$G,5,FALSE)&lt;$H249,
"Recuperación",
IF(
VLOOKUP($C249,BASE_CIERRE_MES!$C:$G,5,FALSE)=$H249,
"Contención",
"Rodamiento"
)))</f>
        <v>Normalización</v>
      </c>
      <c r="Q249">
        <f t="shared" si="3"/>
        <v>8.4949551530160275E-2</v>
      </c>
    </row>
    <row r="250" spans="1:17" x14ac:dyDescent="0.25">
      <c r="A250">
        <v>8171685</v>
      </c>
      <c r="B250" t="s">
        <v>18</v>
      </c>
      <c r="C250">
        <v>27541896</v>
      </c>
      <c r="D250" t="s">
        <v>7</v>
      </c>
      <c r="E250">
        <v>4894974</v>
      </c>
      <c r="F250" s="2">
        <v>733768</v>
      </c>
      <c r="G250" s="2">
        <v>163316</v>
      </c>
      <c r="H250">
        <v>60</v>
      </c>
      <c r="I250" s="1">
        <v>42491</v>
      </c>
      <c r="J250" t="s">
        <v>6</v>
      </c>
      <c r="K250">
        <f>COUNTIFS(GESTIONES!$A:$A, BASE_CUENTAS!$A250, GESTIONES!$B:$B, BASE_CUENTAS!$C250)</f>
        <v>3</v>
      </c>
      <c r="L250">
        <f>COUNTIFS(GESTIONES!$A:$A, BASE_CUENTAS!$A250,GESTIONES!$B:$B, BASE_CUENTAS!$C250,GESTIONES!$E:$E, "S")</f>
        <v>1</v>
      </c>
      <c r="M250">
        <f>COUNTIFS(GESTIONES!$A:$A, BASE_CUENTAS!$A250,GESTIONES!$B:$B, BASE_CUENTAS!$C250,GESTIONES!$E:$E, "N")</f>
        <v>2</v>
      </c>
      <c r="N250">
        <f>COUNTIFS(GESTIONES!$A:$A, BASE_CUENTAS!$A250,GESTIONES!$B:$B, BASE_CUENTAS!$C250,GESTIONES!$D:$D, "SMS")</f>
        <v>0</v>
      </c>
      <c r="O250">
        <f>SUMIFS(PAGOS!$D:$D,PAGOS!$A:$A, BASE_CUENTAS!$A250,PAGOS!$B:$B, BASE_CUENTAS!$C250)</f>
        <v>0</v>
      </c>
      <c r="P250" t="str">
        <f>IF(
VLOOKUP($C250,BASE_CIERRE_MES!$C:$G,5,FALSE)=0,
"Normalización",
IF(
VLOOKUP($C250,BASE_CIERRE_MES!$C:$G,5,FALSE)&lt;$H250,
"Recuperación",
IF(
VLOOKUP($C250,BASE_CIERRE_MES!$C:$G,5,FALSE)=$H250,
"Contención",
"Rodamiento"
)))</f>
        <v>Rodamiento</v>
      </c>
      <c r="Q250">
        <f t="shared" si="3"/>
        <v>0</v>
      </c>
    </row>
    <row r="251" spans="1:17" x14ac:dyDescent="0.25">
      <c r="A251">
        <v>8171798</v>
      </c>
      <c r="B251" t="s">
        <v>18</v>
      </c>
      <c r="C251">
        <v>24099866</v>
      </c>
      <c r="D251" t="s">
        <v>7</v>
      </c>
      <c r="E251">
        <v>634474</v>
      </c>
      <c r="F251" s="2">
        <v>634474</v>
      </c>
      <c r="G251" s="2">
        <v>149154</v>
      </c>
      <c r="H251">
        <v>30</v>
      </c>
      <c r="I251" s="1">
        <v>42521</v>
      </c>
      <c r="J251" t="s">
        <v>4</v>
      </c>
      <c r="K251">
        <f>COUNTIFS(GESTIONES!$A:$A, BASE_CUENTAS!$A251, GESTIONES!$B:$B, BASE_CUENTAS!$C251)</f>
        <v>3</v>
      </c>
      <c r="L251">
        <f>COUNTIFS(GESTIONES!$A:$A, BASE_CUENTAS!$A251,GESTIONES!$B:$B, BASE_CUENTAS!$C251,GESTIONES!$E:$E, "S")</f>
        <v>1</v>
      </c>
      <c r="M251">
        <f>COUNTIFS(GESTIONES!$A:$A, BASE_CUENTAS!$A251,GESTIONES!$B:$B, BASE_CUENTAS!$C251,GESTIONES!$E:$E, "N")</f>
        <v>2</v>
      </c>
      <c r="N251">
        <f>COUNTIFS(GESTIONES!$A:$A, BASE_CUENTAS!$A251,GESTIONES!$B:$B, BASE_CUENTAS!$C251,GESTIONES!$D:$D, "SMS")</f>
        <v>0</v>
      </c>
      <c r="O251">
        <f>SUMIFS(PAGOS!$D:$D,PAGOS!$A:$A, BASE_CUENTAS!$A251,PAGOS!$B:$B, BASE_CUENTAS!$C251)</f>
        <v>0</v>
      </c>
      <c r="P251" t="str">
        <f>IF(
VLOOKUP($C251,BASE_CIERRE_MES!$C:$G,5,FALSE)=0,
"Normalización",
IF(
VLOOKUP($C251,BASE_CIERRE_MES!$C:$G,5,FALSE)&lt;$H251,
"Recuperación",
IF(
VLOOKUP($C251,BASE_CIERRE_MES!$C:$G,5,FALSE)=$H251,
"Contención",
"Rodamiento"
)))</f>
        <v>Rodamiento</v>
      </c>
      <c r="Q251">
        <f t="shared" si="3"/>
        <v>0</v>
      </c>
    </row>
    <row r="252" spans="1:17" x14ac:dyDescent="0.25">
      <c r="A252">
        <v>8171800</v>
      </c>
      <c r="B252" t="s">
        <v>18</v>
      </c>
      <c r="C252">
        <v>26378227</v>
      </c>
      <c r="D252" t="s">
        <v>7</v>
      </c>
      <c r="E252">
        <v>1258246</v>
      </c>
      <c r="F252" s="2">
        <v>1258246</v>
      </c>
      <c r="G252" s="2">
        <v>1259479</v>
      </c>
      <c r="H252">
        <v>150</v>
      </c>
      <c r="I252" s="1">
        <v>42519</v>
      </c>
      <c r="J252" t="s">
        <v>5</v>
      </c>
      <c r="K252">
        <f>COUNTIFS(GESTIONES!$A:$A, BASE_CUENTAS!$A252, GESTIONES!$B:$B, BASE_CUENTAS!$C252)</f>
        <v>3</v>
      </c>
      <c r="L252">
        <f>COUNTIFS(GESTIONES!$A:$A, BASE_CUENTAS!$A252,GESTIONES!$B:$B, BASE_CUENTAS!$C252,GESTIONES!$E:$E, "S")</f>
        <v>1</v>
      </c>
      <c r="M252">
        <f>COUNTIFS(GESTIONES!$A:$A, BASE_CUENTAS!$A252,GESTIONES!$B:$B, BASE_CUENTAS!$C252,GESTIONES!$E:$E, "N")</f>
        <v>2</v>
      </c>
      <c r="N252">
        <f>COUNTIFS(GESTIONES!$A:$A, BASE_CUENTAS!$A252,GESTIONES!$B:$B, BASE_CUENTAS!$C252,GESTIONES!$D:$D, "SMS")</f>
        <v>1</v>
      </c>
      <c r="O252">
        <f>SUMIFS(PAGOS!$D:$D,PAGOS!$A:$A, BASE_CUENTAS!$A252,PAGOS!$B:$B, BASE_CUENTAS!$C252)</f>
        <v>629740</v>
      </c>
      <c r="P252" t="str">
        <f>IF(
VLOOKUP($C252,BASE_CIERRE_MES!$C:$G,5,FALSE)=0,
"Normalización",
IF(
VLOOKUP($C252,BASE_CIERRE_MES!$C:$G,5,FALSE)&lt;$H252,
"Recuperación",
IF(
VLOOKUP($C252,BASE_CIERRE_MES!$C:$G,5,FALSE)=$H252,
"Contención",
"Rodamiento"
)))</f>
        <v>Recuperación</v>
      </c>
      <c r="Q252">
        <f t="shared" si="3"/>
        <v>0.50049036515911838</v>
      </c>
    </row>
    <row r="253" spans="1:17" x14ac:dyDescent="0.25">
      <c r="A253">
        <v>8171807</v>
      </c>
      <c r="B253" t="s">
        <v>18</v>
      </c>
      <c r="C253">
        <v>14659275</v>
      </c>
      <c r="D253" t="s">
        <v>7</v>
      </c>
      <c r="E253">
        <v>967821</v>
      </c>
      <c r="F253" s="2">
        <v>967821</v>
      </c>
      <c r="G253" s="2">
        <v>176387</v>
      </c>
      <c r="H253">
        <v>30</v>
      </c>
      <c r="I253" s="1">
        <v>42521</v>
      </c>
      <c r="J253" t="s">
        <v>4</v>
      </c>
      <c r="K253">
        <f>COUNTIFS(GESTIONES!$A:$A, BASE_CUENTAS!$A253, GESTIONES!$B:$B, BASE_CUENTAS!$C253)</f>
        <v>3</v>
      </c>
      <c r="L253">
        <f>COUNTIFS(GESTIONES!$A:$A, BASE_CUENTAS!$A253,GESTIONES!$B:$B, BASE_CUENTAS!$C253,GESTIONES!$E:$E, "S")</f>
        <v>0</v>
      </c>
      <c r="M253">
        <f>COUNTIFS(GESTIONES!$A:$A, BASE_CUENTAS!$A253,GESTIONES!$B:$B, BASE_CUENTAS!$C253,GESTIONES!$E:$E, "N")</f>
        <v>3</v>
      </c>
      <c r="N253">
        <f>COUNTIFS(GESTIONES!$A:$A, BASE_CUENTAS!$A253,GESTIONES!$B:$B, BASE_CUENTAS!$C253,GESTIONES!$D:$D, "SMS")</f>
        <v>1</v>
      </c>
      <c r="O253">
        <f>SUMIFS(PAGOS!$D:$D,PAGOS!$A:$A, BASE_CUENTAS!$A253,PAGOS!$B:$B, BASE_CUENTAS!$C253)</f>
        <v>0</v>
      </c>
      <c r="P253" t="str">
        <f>IF(
VLOOKUP($C253,BASE_CIERRE_MES!$C:$G,5,FALSE)=0,
"Normalización",
IF(
VLOOKUP($C253,BASE_CIERRE_MES!$C:$G,5,FALSE)&lt;$H253,
"Recuperación",
IF(
VLOOKUP($C253,BASE_CIERRE_MES!$C:$G,5,FALSE)=$H253,
"Contención",
"Rodamiento"
)))</f>
        <v>Rodamiento</v>
      </c>
      <c r="Q253">
        <f t="shared" si="3"/>
        <v>0</v>
      </c>
    </row>
    <row r="254" spans="1:17" x14ac:dyDescent="0.25">
      <c r="A254">
        <v>8171812</v>
      </c>
      <c r="B254" t="s">
        <v>18</v>
      </c>
      <c r="C254">
        <v>10480436</v>
      </c>
      <c r="D254" t="s">
        <v>7</v>
      </c>
      <c r="E254">
        <v>767429</v>
      </c>
      <c r="F254" s="2">
        <v>767429</v>
      </c>
      <c r="G254" s="2">
        <v>95888</v>
      </c>
      <c r="H254">
        <v>30</v>
      </c>
      <c r="I254" s="1">
        <v>42508</v>
      </c>
      <c r="J254" t="s">
        <v>6</v>
      </c>
      <c r="K254">
        <f>COUNTIFS(GESTIONES!$A:$A, BASE_CUENTAS!$A254, GESTIONES!$B:$B, BASE_CUENTAS!$C254)</f>
        <v>3</v>
      </c>
      <c r="L254">
        <f>COUNTIFS(GESTIONES!$A:$A, BASE_CUENTAS!$A254,GESTIONES!$B:$B, BASE_CUENTAS!$C254,GESTIONES!$E:$E, "S")</f>
        <v>1</v>
      </c>
      <c r="M254">
        <f>COUNTIFS(GESTIONES!$A:$A, BASE_CUENTAS!$A254,GESTIONES!$B:$B, BASE_CUENTAS!$C254,GESTIONES!$E:$E, "N")</f>
        <v>2</v>
      </c>
      <c r="N254">
        <f>COUNTIFS(GESTIONES!$A:$A, BASE_CUENTAS!$A254,GESTIONES!$B:$B, BASE_CUENTAS!$C254,GESTIONES!$D:$D, "SMS")</f>
        <v>2</v>
      </c>
      <c r="O254">
        <f>SUMIFS(PAGOS!$D:$D,PAGOS!$A:$A, BASE_CUENTAS!$A254,PAGOS!$B:$B, BASE_CUENTAS!$C254)</f>
        <v>0</v>
      </c>
      <c r="P254" t="str">
        <f>IF(
VLOOKUP($C254,BASE_CIERRE_MES!$C:$G,5,FALSE)=0,
"Normalización",
IF(
VLOOKUP($C254,BASE_CIERRE_MES!$C:$G,5,FALSE)&lt;$H254,
"Recuperación",
IF(
VLOOKUP($C254,BASE_CIERRE_MES!$C:$G,5,FALSE)=$H254,
"Contención",
"Rodamiento"
)))</f>
        <v>Rodamiento</v>
      </c>
      <c r="Q254">
        <f t="shared" si="3"/>
        <v>0</v>
      </c>
    </row>
    <row r="255" spans="1:17" x14ac:dyDescent="0.25">
      <c r="A255">
        <v>8171817</v>
      </c>
      <c r="B255" t="s">
        <v>18</v>
      </c>
      <c r="C255">
        <v>21620879</v>
      </c>
      <c r="D255" t="s">
        <v>7</v>
      </c>
      <c r="E255">
        <v>1595165</v>
      </c>
      <c r="F255" s="2">
        <v>1595165</v>
      </c>
      <c r="G255" s="2">
        <v>88261</v>
      </c>
      <c r="H255">
        <v>30</v>
      </c>
      <c r="I255" s="1">
        <v>42521</v>
      </c>
      <c r="J255" t="s">
        <v>4</v>
      </c>
      <c r="K255">
        <f>COUNTIFS(GESTIONES!$A:$A, BASE_CUENTAS!$A255, GESTIONES!$B:$B, BASE_CUENTAS!$C255)</f>
        <v>3</v>
      </c>
      <c r="L255">
        <f>COUNTIFS(GESTIONES!$A:$A, BASE_CUENTAS!$A255,GESTIONES!$B:$B, BASE_CUENTAS!$C255,GESTIONES!$E:$E, "S")</f>
        <v>1</v>
      </c>
      <c r="M255">
        <f>COUNTIFS(GESTIONES!$A:$A, BASE_CUENTAS!$A255,GESTIONES!$B:$B, BASE_CUENTAS!$C255,GESTIONES!$E:$E, "N")</f>
        <v>2</v>
      </c>
      <c r="N255">
        <f>COUNTIFS(GESTIONES!$A:$A, BASE_CUENTAS!$A255,GESTIONES!$B:$B, BASE_CUENTAS!$C255,GESTIONES!$D:$D, "SMS")</f>
        <v>0</v>
      </c>
      <c r="O255">
        <f>SUMIFS(PAGOS!$D:$D,PAGOS!$A:$A, BASE_CUENTAS!$A255,PAGOS!$B:$B, BASE_CUENTAS!$C255)</f>
        <v>0</v>
      </c>
      <c r="P255" t="str">
        <f>IF(
VLOOKUP($C255,BASE_CIERRE_MES!$C:$G,5,FALSE)=0,
"Normalización",
IF(
VLOOKUP($C255,BASE_CIERRE_MES!$C:$G,5,FALSE)&lt;$H255,
"Recuperación",
IF(
VLOOKUP($C255,BASE_CIERRE_MES!$C:$G,5,FALSE)=$H255,
"Contención",
"Rodamiento"
)))</f>
        <v>Rodamiento</v>
      </c>
      <c r="Q255">
        <f t="shared" si="3"/>
        <v>0</v>
      </c>
    </row>
    <row r="256" spans="1:17" x14ac:dyDescent="0.25">
      <c r="A256">
        <v>8171824</v>
      </c>
      <c r="B256" t="s">
        <v>18</v>
      </c>
      <c r="C256">
        <v>21483616</v>
      </c>
      <c r="D256" t="s">
        <v>7</v>
      </c>
      <c r="E256">
        <v>567250</v>
      </c>
      <c r="F256" s="2">
        <v>567250</v>
      </c>
      <c r="G256" s="2">
        <v>74403</v>
      </c>
      <c r="H256">
        <v>30</v>
      </c>
      <c r="I256" s="1">
        <v>42521</v>
      </c>
      <c r="J256" t="s">
        <v>4</v>
      </c>
      <c r="K256">
        <f>COUNTIFS(GESTIONES!$A:$A, BASE_CUENTAS!$A256, GESTIONES!$B:$B, BASE_CUENTAS!$C256)</f>
        <v>3</v>
      </c>
      <c r="L256">
        <f>COUNTIFS(GESTIONES!$A:$A, BASE_CUENTAS!$A256,GESTIONES!$B:$B, BASE_CUENTAS!$C256,GESTIONES!$E:$E, "S")</f>
        <v>1</v>
      </c>
      <c r="M256">
        <f>COUNTIFS(GESTIONES!$A:$A, BASE_CUENTAS!$A256,GESTIONES!$B:$B, BASE_CUENTAS!$C256,GESTIONES!$E:$E, "N")</f>
        <v>2</v>
      </c>
      <c r="N256">
        <f>COUNTIFS(GESTIONES!$A:$A, BASE_CUENTAS!$A256,GESTIONES!$B:$B, BASE_CUENTAS!$C256,GESTIONES!$D:$D, "SMS")</f>
        <v>0</v>
      </c>
      <c r="O256">
        <f>SUMIFS(PAGOS!$D:$D,PAGOS!$A:$A, BASE_CUENTAS!$A256,PAGOS!$B:$B, BASE_CUENTAS!$C256)</f>
        <v>37202</v>
      </c>
      <c r="P256" t="str">
        <f>IF(
VLOOKUP($C256,BASE_CIERRE_MES!$C:$G,5,FALSE)=0,
"Normalización",
IF(
VLOOKUP($C256,BASE_CIERRE_MES!$C:$G,5,FALSE)&lt;$H256,
"Recuperación",
IF(
VLOOKUP($C256,BASE_CIERRE_MES!$C:$G,5,FALSE)=$H256,
"Contención",
"Rodamiento"
)))</f>
        <v>Recuperación</v>
      </c>
      <c r="Q256">
        <f t="shared" si="3"/>
        <v>6.5583076245041866E-2</v>
      </c>
    </row>
    <row r="257" spans="1:17" x14ac:dyDescent="0.25">
      <c r="A257">
        <v>8171975</v>
      </c>
      <c r="B257" t="s">
        <v>17</v>
      </c>
      <c r="C257">
        <v>16563072</v>
      </c>
      <c r="D257" t="s">
        <v>13</v>
      </c>
      <c r="E257">
        <v>3244174</v>
      </c>
      <c r="F257" s="2">
        <v>1391394</v>
      </c>
      <c r="G257" s="2">
        <v>337456</v>
      </c>
      <c r="H257">
        <v>18</v>
      </c>
      <c r="I257" s="1">
        <v>42508</v>
      </c>
      <c r="J257" t="s">
        <v>6</v>
      </c>
      <c r="K257">
        <f>COUNTIFS(GESTIONES!$A:$A, BASE_CUENTAS!$A257, GESTIONES!$B:$B, BASE_CUENTAS!$C257)</f>
        <v>3</v>
      </c>
      <c r="L257">
        <f>COUNTIFS(GESTIONES!$A:$A, BASE_CUENTAS!$A257,GESTIONES!$B:$B, BASE_CUENTAS!$C257,GESTIONES!$E:$E, "S")</f>
        <v>2</v>
      </c>
      <c r="M257">
        <f>COUNTIFS(GESTIONES!$A:$A, BASE_CUENTAS!$A257,GESTIONES!$B:$B, BASE_CUENTAS!$C257,GESTIONES!$E:$E, "N")</f>
        <v>1</v>
      </c>
      <c r="N257">
        <f>COUNTIFS(GESTIONES!$A:$A, BASE_CUENTAS!$A257,GESTIONES!$B:$B, BASE_CUENTAS!$C257,GESTIONES!$D:$D, "SMS")</f>
        <v>1</v>
      </c>
      <c r="O257">
        <f>SUMIFS(PAGOS!$D:$D,PAGOS!$A:$A, BASE_CUENTAS!$A257,PAGOS!$B:$B, BASE_CUENTAS!$C257)</f>
        <v>112485</v>
      </c>
      <c r="P257" t="str">
        <f>IF(
VLOOKUP($C257,BASE_CIERRE_MES!$C:$G,5,FALSE)=0,
"Normalización",
IF(
VLOOKUP($C257,BASE_CIERRE_MES!$C:$G,5,FALSE)&lt;$H257,
"Recuperación",
IF(
VLOOKUP($C257,BASE_CIERRE_MES!$C:$G,5,FALSE)=$H257,
"Contención",
"Rodamiento"
)))</f>
        <v>Rodamiento</v>
      </c>
      <c r="Q257">
        <f t="shared" si="3"/>
        <v>8.0843384404417434E-2</v>
      </c>
    </row>
    <row r="258" spans="1:17" x14ac:dyDescent="0.25">
      <c r="A258">
        <v>8171975</v>
      </c>
      <c r="B258" t="s">
        <v>17</v>
      </c>
      <c r="C258">
        <v>25481844</v>
      </c>
      <c r="D258" t="s">
        <v>7</v>
      </c>
      <c r="E258">
        <v>3244174</v>
      </c>
      <c r="F258" s="2">
        <v>1852780</v>
      </c>
      <c r="G258" s="2">
        <v>285747</v>
      </c>
      <c r="H258">
        <v>30</v>
      </c>
      <c r="I258" s="1">
        <v>42508</v>
      </c>
      <c r="J258" t="s">
        <v>6</v>
      </c>
      <c r="K258">
        <f>COUNTIFS(GESTIONES!$A:$A, BASE_CUENTAS!$A258, GESTIONES!$B:$B, BASE_CUENTAS!$C258)</f>
        <v>3</v>
      </c>
      <c r="L258">
        <f>COUNTIFS(GESTIONES!$A:$A, BASE_CUENTAS!$A258,GESTIONES!$B:$B, BASE_CUENTAS!$C258,GESTIONES!$E:$E, "S")</f>
        <v>1</v>
      </c>
      <c r="M258">
        <f>COUNTIFS(GESTIONES!$A:$A, BASE_CUENTAS!$A258,GESTIONES!$B:$B, BASE_CUENTAS!$C258,GESTIONES!$E:$E, "N")</f>
        <v>2</v>
      </c>
      <c r="N258">
        <f>COUNTIFS(GESTIONES!$A:$A, BASE_CUENTAS!$A258,GESTIONES!$B:$B, BASE_CUENTAS!$C258,GESTIONES!$D:$D, "SMS")</f>
        <v>0</v>
      </c>
      <c r="O258">
        <f>SUMIFS(PAGOS!$D:$D,PAGOS!$A:$A, BASE_CUENTAS!$A258,PAGOS!$B:$B, BASE_CUENTAS!$C258)</f>
        <v>285747</v>
      </c>
      <c r="P258" t="str">
        <f>IF(
VLOOKUP($C258,BASE_CIERRE_MES!$C:$G,5,FALSE)=0,
"Normalización",
IF(
VLOOKUP($C258,BASE_CIERRE_MES!$C:$G,5,FALSE)&lt;$H258,
"Recuperación",
IF(
VLOOKUP($C258,BASE_CIERRE_MES!$C:$G,5,FALSE)=$H258,
"Contención",
"Rodamiento"
)))</f>
        <v>Normalización</v>
      </c>
      <c r="Q258">
        <f t="shared" si="3"/>
        <v>0.15422608188775785</v>
      </c>
    </row>
    <row r="259" spans="1:17" x14ac:dyDescent="0.25">
      <c r="A259">
        <v>8172057</v>
      </c>
      <c r="B259" t="s">
        <v>18</v>
      </c>
      <c r="C259">
        <v>26227202</v>
      </c>
      <c r="D259" t="s">
        <v>7</v>
      </c>
      <c r="E259">
        <v>631938</v>
      </c>
      <c r="F259" s="2">
        <v>631938</v>
      </c>
      <c r="G259" s="2">
        <v>12281</v>
      </c>
      <c r="H259">
        <v>30</v>
      </c>
      <c r="I259" s="1">
        <v>42521</v>
      </c>
      <c r="J259" t="s">
        <v>4</v>
      </c>
      <c r="K259">
        <f>COUNTIFS(GESTIONES!$A:$A, BASE_CUENTAS!$A259, GESTIONES!$B:$B, BASE_CUENTAS!$C259)</f>
        <v>3</v>
      </c>
      <c r="L259">
        <f>COUNTIFS(GESTIONES!$A:$A, BASE_CUENTAS!$A259,GESTIONES!$B:$B, BASE_CUENTAS!$C259,GESTIONES!$E:$E, "S")</f>
        <v>0</v>
      </c>
      <c r="M259">
        <f>COUNTIFS(GESTIONES!$A:$A, BASE_CUENTAS!$A259,GESTIONES!$B:$B, BASE_CUENTAS!$C259,GESTIONES!$E:$E, "N")</f>
        <v>3</v>
      </c>
      <c r="N259">
        <f>COUNTIFS(GESTIONES!$A:$A, BASE_CUENTAS!$A259,GESTIONES!$B:$B, BASE_CUENTAS!$C259,GESTIONES!$D:$D, "SMS")</f>
        <v>2</v>
      </c>
      <c r="O259">
        <f>SUMIFS(PAGOS!$D:$D,PAGOS!$A:$A, BASE_CUENTAS!$A259,PAGOS!$B:$B, BASE_CUENTAS!$C259)</f>
        <v>12281</v>
      </c>
      <c r="P259" t="str">
        <f>IF(
VLOOKUP($C259,BASE_CIERRE_MES!$C:$G,5,FALSE)=0,
"Normalización",
IF(
VLOOKUP($C259,BASE_CIERRE_MES!$C:$G,5,FALSE)&lt;$H259,
"Recuperación",
IF(
VLOOKUP($C259,BASE_CIERRE_MES!$C:$G,5,FALSE)=$H259,
"Contención",
"Rodamiento"
)))</f>
        <v>Normalización</v>
      </c>
      <c r="Q259">
        <f t="shared" ref="Q259:Q322" si="4">IF(F259=0,0,VALUE(O259)/VALUE(F259))</f>
        <v>1.9433868512417359E-2</v>
      </c>
    </row>
    <row r="260" spans="1:17" x14ac:dyDescent="0.25">
      <c r="A260">
        <v>8172184</v>
      </c>
      <c r="B260" t="s">
        <v>18</v>
      </c>
      <c r="C260">
        <v>10919528</v>
      </c>
      <c r="D260" t="s">
        <v>7</v>
      </c>
      <c r="E260">
        <v>5158829</v>
      </c>
      <c r="F260" s="2">
        <v>5158829</v>
      </c>
      <c r="G260" s="2">
        <v>437630</v>
      </c>
      <c r="H260">
        <v>30</v>
      </c>
      <c r="I260" s="1">
        <v>42521</v>
      </c>
      <c r="J260" t="s">
        <v>4</v>
      </c>
      <c r="K260">
        <f>COUNTIFS(GESTIONES!$A:$A, BASE_CUENTAS!$A260, GESTIONES!$B:$B, BASE_CUENTAS!$C260)</f>
        <v>3</v>
      </c>
      <c r="L260">
        <f>COUNTIFS(GESTIONES!$A:$A, BASE_CUENTAS!$A260,GESTIONES!$B:$B, BASE_CUENTAS!$C260,GESTIONES!$E:$E, "S")</f>
        <v>1</v>
      </c>
      <c r="M260">
        <f>COUNTIFS(GESTIONES!$A:$A, BASE_CUENTAS!$A260,GESTIONES!$B:$B, BASE_CUENTAS!$C260,GESTIONES!$E:$E, "N")</f>
        <v>2</v>
      </c>
      <c r="N260">
        <f>COUNTIFS(GESTIONES!$A:$A, BASE_CUENTAS!$A260,GESTIONES!$B:$B, BASE_CUENTAS!$C260,GESTIONES!$D:$D, "SMS")</f>
        <v>1</v>
      </c>
      <c r="O260">
        <f>SUMIFS(PAGOS!$D:$D,PAGOS!$A:$A, BASE_CUENTAS!$A260,PAGOS!$B:$B, BASE_CUENTAS!$C260)</f>
        <v>0</v>
      </c>
      <c r="P260" t="str">
        <f>IF(
VLOOKUP($C260,BASE_CIERRE_MES!$C:$G,5,FALSE)=0,
"Normalización",
IF(
VLOOKUP($C260,BASE_CIERRE_MES!$C:$G,5,FALSE)&lt;$H260,
"Recuperación",
IF(
VLOOKUP($C260,BASE_CIERRE_MES!$C:$G,5,FALSE)=$H260,
"Contención",
"Rodamiento"
)))</f>
        <v>Rodamiento</v>
      </c>
      <c r="Q260">
        <f t="shared" si="4"/>
        <v>0</v>
      </c>
    </row>
    <row r="261" spans="1:17" x14ac:dyDescent="0.25">
      <c r="A261">
        <v>8172545</v>
      </c>
      <c r="B261" t="s">
        <v>17</v>
      </c>
      <c r="C261">
        <v>25644851</v>
      </c>
      <c r="D261" t="s">
        <v>7</v>
      </c>
      <c r="E261">
        <v>4572600</v>
      </c>
      <c r="F261" s="2">
        <v>1831678</v>
      </c>
      <c r="G261" s="2">
        <v>530870</v>
      </c>
      <c r="H261">
        <v>60</v>
      </c>
      <c r="I261" s="1">
        <v>42508</v>
      </c>
      <c r="J261" t="s">
        <v>6</v>
      </c>
      <c r="K261">
        <f>COUNTIFS(GESTIONES!$A:$A, BASE_CUENTAS!$A261, GESTIONES!$B:$B, BASE_CUENTAS!$C261)</f>
        <v>3</v>
      </c>
      <c r="L261">
        <f>COUNTIFS(GESTIONES!$A:$A, BASE_CUENTAS!$A261,GESTIONES!$B:$B, BASE_CUENTAS!$C261,GESTIONES!$E:$E, "S")</f>
        <v>1</v>
      </c>
      <c r="M261">
        <f>COUNTIFS(GESTIONES!$A:$A, BASE_CUENTAS!$A261,GESTIONES!$B:$B, BASE_CUENTAS!$C261,GESTIONES!$E:$E, "N")</f>
        <v>2</v>
      </c>
      <c r="N261">
        <f>COUNTIFS(GESTIONES!$A:$A, BASE_CUENTAS!$A261,GESTIONES!$B:$B, BASE_CUENTAS!$C261,GESTIONES!$D:$D, "SMS")</f>
        <v>0</v>
      </c>
      <c r="O261">
        <f>SUMIFS(PAGOS!$D:$D,PAGOS!$A:$A, BASE_CUENTAS!$A261,PAGOS!$B:$B, BASE_CUENTAS!$C261)</f>
        <v>0</v>
      </c>
      <c r="P261" t="str">
        <f>IF(
VLOOKUP($C261,BASE_CIERRE_MES!$C:$G,5,FALSE)=0,
"Normalización",
IF(
VLOOKUP($C261,BASE_CIERRE_MES!$C:$G,5,FALSE)&lt;$H261,
"Recuperación",
IF(
VLOOKUP($C261,BASE_CIERRE_MES!$C:$G,5,FALSE)=$H261,
"Contención",
"Rodamiento"
)))</f>
        <v>Rodamiento</v>
      </c>
      <c r="Q261">
        <f t="shared" si="4"/>
        <v>0</v>
      </c>
    </row>
    <row r="262" spans="1:17" x14ac:dyDescent="0.25">
      <c r="A262">
        <v>8172545</v>
      </c>
      <c r="B262" t="s">
        <v>17</v>
      </c>
      <c r="C262">
        <v>25646668</v>
      </c>
      <c r="D262" t="s">
        <v>7</v>
      </c>
      <c r="E262">
        <v>4572600</v>
      </c>
      <c r="F262" s="2">
        <v>687934</v>
      </c>
      <c r="G262" s="2">
        <v>322080</v>
      </c>
      <c r="H262">
        <v>90</v>
      </c>
      <c r="I262" s="1">
        <v>42508</v>
      </c>
      <c r="J262" t="s">
        <v>6</v>
      </c>
      <c r="K262">
        <f>COUNTIFS(GESTIONES!$A:$A, BASE_CUENTAS!$A262, GESTIONES!$B:$B, BASE_CUENTAS!$C262)</f>
        <v>3</v>
      </c>
      <c r="L262">
        <f>COUNTIFS(GESTIONES!$A:$A, BASE_CUENTAS!$A262,GESTIONES!$B:$B, BASE_CUENTAS!$C262,GESTIONES!$E:$E, "S")</f>
        <v>1</v>
      </c>
      <c r="M262">
        <f>COUNTIFS(GESTIONES!$A:$A, BASE_CUENTAS!$A262,GESTIONES!$B:$B, BASE_CUENTAS!$C262,GESTIONES!$E:$E, "N")</f>
        <v>2</v>
      </c>
      <c r="N262">
        <f>COUNTIFS(GESTIONES!$A:$A, BASE_CUENTAS!$A262,GESTIONES!$B:$B, BASE_CUENTAS!$C262,GESTIONES!$D:$D, "SMS")</f>
        <v>1</v>
      </c>
      <c r="O262">
        <f>SUMIFS(PAGOS!$D:$D,PAGOS!$A:$A, BASE_CUENTAS!$A262,PAGOS!$B:$B, BASE_CUENTAS!$C262)</f>
        <v>0</v>
      </c>
      <c r="P262" t="str">
        <f>IF(
VLOOKUP($C262,BASE_CIERRE_MES!$C:$G,5,FALSE)=0,
"Normalización",
IF(
VLOOKUP($C262,BASE_CIERRE_MES!$C:$G,5,FALSE)&lt;$H262,
"Recuperación",
IF(
VLOOKUP($C262,BASE_CIERRE_MES!$C:$G,5,FALSE)=$H262,
"Contención",
"Rodamiento"
)))</f>
        <v>Rodamiento</v>
      </c>
      <c r="Q262">
        <f t="shared" si="4"/>
        <v>0</v>
      </c>
    </row>
    <row r="263" spans="1:17" x14ac:dyDescent="0.25">
      <c r="A263">
        <v>8172545</v>
      </c>
      <c r="B263" t="s">
        <v>17</v>
      </c>
      <c r="C263">
        <v>26004598</v>
      </c>
      <c r="D263" t="s">
        <v>7</v>
      </c>
      <c r="E263">
        <v>4572600</v>
      </c>
      <c r="F263" s="2">
        <v>2052987</v>
      </c>
      <c r="G263" s="2">
        <v>970410</v>
      </c>
      <c r="H263">
        <v>90</v>
      </c>
      <c r="I263" s="1">
        <v>42508</v>
      </c>
      <c r="J263" t="s">
        <v>6</v>
      </c>
      <c r="K263">
        <f>COUNTIFS(GESTIONES!$A:$A, BASE_CUENTAS!$A263, GESTIONES!$B:$B, BASE_CUENTAS!$C263)</f>
        <v>3</v>
      </c>
      <c r="L263">
        <f>COUNTIFS(GESTIONES!$A:$A, BASE_CUENTAS!$A263,GESTIONES!$B:$B, BASE_CUENTAS!$C263,GESTIONES!$E:$E, "S")</f>
        <v>1</v>
      </c>
      <c r="M263">
        <f>COUNTIFS(GESTIONES!$A:$A, BASE_CUENTAS!$A263,GESTIONES!$B:$B, BASE_CUENTAS!$C263,GESTIONES!$E:$E, "N")</f>
        <v>2</v>
      </c>
      <c r="N263">
        <f>COUNTIFS(GESTIONES!$A:$A, BASE_CUENTAS!$A263,GESTIONES!$B:$B, BASE_CUENTAS!$C263,GESTIONES!$D:$D, "SMS")</f>
        <v>0</v>
      </c>
      <c r="O263">
        <f>SUMIFS(PAGOS!$D:$D,PAGOS!$A:$A, BASE_CUENTAS!$A263,PAGOS!$B:$B, BASE_CUENTAS!$C263)</f>
        <v>970410</v>
      </c>
      <c r="P263" t="str">
        <f>IF(
VLOOKUP($C263,BASE_CIERRE_MES!$C:$G,5,FALSE)=0,
"Normalización",
IF(
VLOOKUP($C263,BASE_CIERRE_MES!$C:$G,5,FALSE)&lt;$H263,
"Recuperación",
IF(
VLOOKUP($C263,BASE_CIERRE_MES!$C:$G,5,FALSE)=$H263,
"Contención",
"Rodamiento"
)))</f>
        <v>Normalización</v>
      </c>
      <c r="Q263">
        <f t="shared" si="4"/>
        <v>0.47268199944763412</v>
      </c>
    </row>
    <row r="264" spans="1:17" x14ac:dyDescent="0.25">
      <c r="A264">
        <v>8172550</v>
      </c>
      <c r="B264" t="s">
        <v>17</v>
      </c>
      <c r="C264">
        <v>25090717</v>
      </c>
      <c r="D264" t="s">
        <v>7</v>
      </c>
      <c r="E264">
        <v>5905484</v>
      </c>
      <c r="F264" s="2">
        <v>2256151</v>
      </c>
      <c r="G264" s="2">
        <v>473970</v>
      </c>
      <c r="H264">
        <v>60</v>
      </c>
      <c r="I264" s="1">
        <v>42490</v>
      </c>
      <c r="J264" t="s">
        <v>6</v>
      </c>
      <c r="K264">
        <f>COUNTIFS(GESTIONES!$A:$A, BASE_CUENTAS!$A264, GESTIONES!$B:$B, BASE_CUENTAS!$C264)</f>
        <v>3</v>
      </c>
      <c r="L264">
        <f>COUNTIFS(GESTIONES!$A:$A, BASE_CUENTAS!$A264,GESTIONES!$B:$B, BASE_CUENTAS!$C264,GESTIONES!$E:$E, "S")</f>
        <v>0</v>
      </c>
      <c r="M264">
        <f>COUNTIFS(GESTIONES!$A:$A, BASE_CUENTAS!$A264,GESTIONES!$B:$B, BASE_CUENTAS!$C264,GESTIONES!$E:$E, "N")</f>
        <v>3</v>
      </c>
      <c r="N264">
        <f>COUNTIFS(GESTIONES!$A:$A, BASE_CUENTAS!$A264,GESTIONES!$B:$B, BASE_CUENTAS!$C264,GESTIONES!$D:$D, "SMS")</f>
        <v>2</v>
      </c>
      <c r="O264">
        <f>SUMIFS(PAGOS!$D:$D,PAGOS!$A:$A, BASE_CUENTAS!$A264,PAGOS!$B:$B, BASE_CUENTAS!$C264)</f>
        <v>0</v>
      </c>
      <c r="P264" t="str">
        <f>IF(
VLOOKUP($C264,BASE_CIERRE_MES!$C:$G,5,FALSE)=0,
"Normalización",
IF(
VLOOKUP($C264,BASE_CIERRE_MES!$C:$G,5,FALSE)&lt;$H264,
"Recuperación",
IF(
VLOOKUP($C264,BASE_CIERRE_MES!$C:$G,5,FALSE)=$H264,
"Contención",
"Rodamiento"
)))</f>
        <v>Rodamiento</v>
      </c>
      <c r="Q264">
        <f t="shared" si="4"/>
        <v>0</v>
      </c>
    </row>
    <row r="265" spans="1:17" x14ac:dyDescent="0.25">
      <c r="A265">
        <v>8172550</v>
      </c>
      <c r="B265" t="s">
        <v>17</v>
      </c>
      <c r="C265">
        <v>25277134</v>
      </c>
      <c r="D265" t="s">
        <v>7</v>
      </c>
      <c r="E265">
        <v>5905484</v>
      </c>
      <c r="F265" s="2">
        <v>3649333</v>
      </c>
      <c r="G265" s="2">
        <v>484498</v>
      </c>
      <c r="H265">
        <v>30</v>
      </c>
      <c r="I265" s="1">
        <v>42509</v>
      </c>
      <c r="J265" t="s">
        <v>6</v>
      </c>
      <c r="K265">
        <f>COUNTIFS(GESTIONES!$A:$A, BASE_CUENTAS!$A265, GESTIONES!$B:$B, BASE_CUENTAS!$C265)</f>
        <v>3</v>
      </c>
      <c r="L265">
        <f>COUNTIFS(GESTIONES!$A:$A, BASE_CUENTAS!$A265,GESTIONES!$B:$B, BASE_CUENTAS!$C265,GESTIONES!$E:$E, "S")</f>
        <v>1</v>
      </c>
      <c r="M265">
        <f>COUNTIFS(GESTIONES!$A:$A, BASE_CUENTAS!$A265,GESTIONES!$B:$B, BASE_CUENTAS!$C265,GESTIONES!$E:$E, "N")</f>
        <v>2</v>
      </c>
      <c r="N265">
        <f>COUNTIFS(GESTIONES!$A:$A, BASE_CUENTAS!$A265,GESTIONES!$B:$B, BASE_CUENTAS!$C265,GESTIONES!$D:$D, "SMS")</f>
        <v>1</v>
      </c>
      <c r="O265">
        <f>SUMIFS(PAGOS!$D:$D,PAGOS!$A:$A, BASE_CUENTAS!$A265,PAGOS!$B:$B, BASE_CUENTAS!$C265)</f>
        <v>3649333</v>
      </c>
      <c r="P265" t="str">
        <f>IF(
VLOOKUP($C265,BASE_CIERRE_MES!$C:$G,5,FALSE)=0,
"Normalización",
IF(
VLOOKUP($C265,BASE_CIERRE_MES!$C:$G,5,FALSE)&lt;$H265,
"Recuperación",
IF(
VLOOKUP($C265,BASE_CIERRE_MES!$C:$G,5,FALSE)=$H265,
"Contención",
"Rodamiento"
)))</f>
        <v>Normalización</v>
      </c>
      <c r="Q265">
        <f t="shared" si="4"/>
        <v>1</v>
      </c>
    </row>
    <row r="266" spans="1:17" x14ac:dyDescent="0.25">
      <c r="A266">
        <v>8172608</v>
      </c>
      <c r="B266" t="s">
        <v>18</v>
      </c>
      <c r="C266">
        <v>26813449</v>
      </c>
      <c r="D266" t="s">
        <v>7</v>
      </c>
      <c r="E266">
        <v>495316</v>
      </c>
      <c r="F266" s="2">
        <v>495316</v>
      </c>
      <c r="G266" s="2">
        <v>151335</v>
      </c>
      <c r="H266">
        <v>60</v>
      </c>
      <c r="I266" s="1">
        <v>42480</v>
      </c>
      <c r="J266" t="s">
        <v>6</v>
      </c>
      <c r="K266">
        <f>COUNTIFS(GESTIONES!$A:$A, BASE_CUENTAS!$A266, GESTIONES!$B:$B, BASE_CUENTAS!$C266)</f>
        <v>3</v>
      </c>
      <c r="L266">
        <f>COUNTIFS(GESTIONES!$A:$A, BASE_CUENTAS!$A266,GESTIONES!$B:$B, BASE_CUENTAS!$C266,GESTIONES!$E:$E, "S")</f>
        <v>1</v>
      </c>
      <c r="M266">
        <f>COUNTIFS(GESTIONES!$A:$A, BASE_CUENTAS!$A266,GESTIONES!$B:$B, BASE_CUENTAS!$C266,GESTIONES!$E:$E, "N")</f>
        <v>2</v>
      </c>
      <c r="N266">
        <f>COUNTIFS(GESTIONES!$A:$A, BASE_CUENTAS!$A266,GESTIONES!$B:$B, BASE_CUENTAS!$C266,GESTIONES!$D:$D, "SMS")</f>
        <v>0</v>
      </c>
      <c r="O266">
        <f>SUMIFS(PAGOS!$D:$D,PAGOS!$A:$A, BASE_CUENTAS!$A266,PAGOS!$B:$B, BASE_CUENTAS!$C266)</f>
        <v>0</v>
      </c>
      <c r="P266" t="str">
        <f>IF(
VLOOKUP($C266,BASE_CIERRE_MES!$C:$G,5,FALSE)=0,
"Normalización",
IF(
VLOOKUP($C266,BASE_CIERRE_MES!$C:$G,5,FALSE)&lt;$H266,
"Recuperación",
IF(
VLOOKUP($C266,BASE_CIERRE_MES!$C:$G,5,FALSE)=$H266,
"Contención",
"Rodamiento"
)))</f>
        <v>Rodamiento</v>
      </c>
      <c r="Q266">
        <f t="shared" si="4"/>
        <v>0</v>
      </c>
    </row>
    <row r="267" spans="1:17" x14ac:dyDescent="0.25">
      <c r="A267">
        <v>8172822</v>
      </c>
      <c r="B267" t="s">
        <v>18</v>
      </c>
      <c r="C267">
        <v>24100634</v>
      </c>
      <c r="D267" t="s">
        <v>7</v>
      </c>
      <c r="E267">
        <v>512309</v>
      </c>
      <c r="F267" s="2">
        <v>512309</v>
      </c>
      <c r="G267" s="2">
        <v>512309</v>
      </c>
      <c r="H267">
        <v>60</v>
      </c>
      <c r="I267" s="1">
        <v>42448</v>
      </c>
      <c r="J267" t="s">
        <v>6</v>
      </c>
      <c r="K267">
        <f>COUNTIFS(GESTIONES!$A:$A, BASE_CUENTAS!$A267, GESTIONES!$B:$B, BASE_CUENTAS!$C267)</f>
        <v>3</v>
      </c>
      <c r="L267">
        <f>COUNTIFS(GESTIONES!$A:$A, BASE_CUENTAS!$A267,GESTIONES!$B:$B, BASE_CUENTAS!$C267,GESTIONES!$E:$E, "S")</f>
        <v>1</v>
      </c>
      <c r="M267">
        <f>COUNTIFS(GESTIONES!$A:$A, BASE_CUENTAS!$A267,GESTIONES!$B:$B, BASE_CUENTAS!$C267,GESTIONES!$E:$E, "N")</f>
        <v>2</v>
      </c>
      <c r="N267">
        <f>COUNTIFS(GESTIONES!$A:$A, BASE_CUENTAS!$A267,GESTIONES!$B:$B, BASE_CUENTAS!$C267,GESTIONES!$D:$D, "SMS")</f>
        <v>1</v>
      </c>
      <c r="O267">
        <f>SUMIFS(PAGOS!$D:$D,PAGOS!$A:$A, BASE_CUENTAS!$A267,PAGOS!$B:$B, BASE_CUENTAS!$C267)</f>
        <v>0</v>
      </c>
      <c r="P267" t="str">
        <f>IF(
VLOOKUP($C267,BASE_CIERRE_MES!$C:$G,5,FALSE)=0,
"Normalización",
IF(
VLOOKUP($C267,BASE_CIERRE_MES!$C:$G,5,FALSE)&lt;$H267,
"Recuperación",
IF(
VLOOKUP($C267,BASE_CIERRE_MES!$C:$G,5,FALSE)=$H267,
"Contención",
"Rodamiento"
)))</f>
        <v>Rodamiento</v>
      </c>
      <c r="Q267">
        <f t="shared" si="4"/>
        <v>0</v>
      </c>
    </row>
    <row r="268" spans="1:17" x14ac:dyDescent="0.25">
      <c r="A268">
        <v>8172834</v>
      </c>
      <c r="B268" t="s">
        <v>18</v>
      </c>
      <c r="C268">
        <v>21754177</v>
      </c>
      <c r="D268" t="s">
        <v>7</v>
      </c>
      <c r="E268">
        <v>1460293</v>
      </c>
      <c r="F268" s="2">
        <v>476381</v>
      </c>
      <c r="G268" s="2">
        <v>98782</v>
      </c>
      <c r="H268">
        <v>30</v>
      </c>
      <c r="I268" s="1">
        <v>42508</v>
      </c>
      <c r="J268" t="s">
        <v>6</v>
      </c>
      <c r="K268">
        <f>COUNTIFS(GESTIONES!$A:$A, BASE_CUENTAS!$A268, GESTIONES!$B:$B, BASE_CUENTAS!$C268)</f>
        <v>3</v>
      </c>
      <c r="L268">
        <f>COUNTIFS(GESTIONES!$A:$A, BASE_CUENTAS!$A268,GESTIONES!$B:$B, BASE_CUENTAS!$C268,GESTIONES!$E:$E, "S")</f>
        <v>1</v>
      </c>
      <c r="M268">
        <f>COUNTIFS(GESTIONES!$A:$A, BASE_CUENTAS!$A268,GESTIONES!$B:$B, BASE_CUENTAS!$C268,GESTIONES!$E:$E, "N")</f>
        <v>2</v>
      </c>
      <c r="N268">
        <f>COUNTIFS(GESTIONES!$A:$A, BASE_CUENTAS!$A268,GESTIONES!$B:$B, BASE_CUENTAS!$C268,GESTIONES!$D:$D, "SMS")</f>
        <v>0</v>
      </c>
      <c r="O268">
        <f>SUMIFS(PAGOS!$D:$D,PAGOS!$A:$A, BASE_CUENTAS!$A268,PAGOS!$B:$B, BASE_CUENTAS!$C268)</f>
        <v>49391</v>
      </c>
      <c r="P268" t="str">
        <f>IF(
VLOOKUP($C268,BASE_CIERRE_MES!$C:$G,5,FALSE)=0,
"Normalización",
IF(
VLOOKUP($C268,BASE_CIERRE_MES!$C:$G,5,FALSE)&lt;$H268,
"Recuperación",
IF(
VLOOKUP($C268,BASE_CIERRE_MES!$C:$G,5,FALSE)=$H268,
"Contención",
"Rodamiento"
)))</f>
        <v>Recuperación</v>
      </c>
      <c r="Q268">
        <f t="shared" si="4"/>
        <v>0.10367961778492425</v>
      </c>
    </row>
    <row r="269" spans="1:17" x14ac:dyDescent="0.25">
      <c r="A269">
        <v>8172834</v>
      </c>
      <c r="B269" t="s">
        <v>18</v>
      </c>
      <c r="C269">
        <v>25341571</v>
      </c>
      <c r="D269" t="s">
        <v>7</v>
      </c>
      <c r="E269">
        <v>1460293</v>
      </c>
      <c r="F269" s="2">
        <v>983912</v>
      </c>
      <c r="G269" s="2">
        <v>155771</v>
      </c>
      <c r="H269">
        <v>30</v>
      </c>
      <c r="I269" s="1">
        <v>42508</v>
      </c>
      <c r="J269" t="s">
        <v>6</v>
      </c>
      <c r="K269">
        <f>COUNTIFS(GESTIONES!$A:$A, BASE_CUENTAS!$A269, GESTIONES!$B:$B, BASE_CUENTAS!$C269)</f>
        <v>3</v>
      </c>
      <c r="L269">
        <f>COUNTIFS(GESTIONES!$A:$A, BASE_CUENTAS!$A269,GESTIONES!$B:$B, BASE_CUENTAS!$C269,GESTIONES!$E:$E, "S")</f>
        <v>0</v>
      </c>
      <c r="M269">
        <f>COUNTIFS(GESTIONES!$A:$A, BASE_CUENTAS!$A269,GESTIONES!$B:$B, BASE_CUENTAS!$C269,GESTIONES!$E:$E, "N")</f>
        <v>3</v>
      </c>
      <c r="N269">
        <f>COUNTIFS(GESTIONES!$A:$A, BASE_CUENTAS!$A269,GESTIONES!$B:$B, BASE_CUENTAS!$C269,GESTIONES!$D:$D, "SMS")</f>
        <v>2</v>
      </c>
      <c r="O269">
        <f>SUMIFS(PAGOS!$D:$D,PAGOS!$A:$A, BASE_CUENTAS!$A269,PAGOS!$B:$B, BASE_CUENTAS!$C269)</f>
        <v>0</v>
      </c>
      <c r="P269" t="str">
        <f>IF(
VLOOKUP($C269,BASE_CIERRE_MES!$C:$G,5,FALSE)=0,
"Normalización",
IF(
VLOOKUP($C269,BASE_CIERRE_MES!$C:$G,5,FALSE)&lt;$H269,
"Recuperación",
IF(
VLOOKUP($C269,BASE_CIERRE_MES!$C:$G,5,FALSE)=$H269,
"Contención",
"Rodamiento"
)))</f>
        <v>Rodamiento</v>
      </c>
      <c r="Q269">
        <f t="shared" si="4"/>
        <v>0</v>
      </c>
    </row>
    <row r="270" spans="1:17" x14ac:dyDescent="0.25">
      <c r="A270">
        <v>8172857</v>
      </c>
      <c r="B270" t="s">
        <v>17</v>
      </c>
      <c r="C270">
        <v>27565008</v>
      </c>
      <c r="D270" t="s">
        <v>7</v>
      </c>
      <c r="E270">
        <v>7793750</v>
      </c>
      <c r="F270" s="2">
        <v>4003435</v>
      </c>
      <c r="G270" s="2">
        <v>284345</v>
      </c>
      <c r="H270">
        <v>30</v>
      </c>
      <c r="I270" s="1">
        <v>42508</v>
      </c>
      <c r="J270" t="s">
        <v>6</v>
      </c>
      <c r="K270">
        <f>COUNTIFS(GESTIONES!$A:$A, BASE_CUENTAS!$A270, GESTIONES!$B:$B, BASE_CUENTAS!$C270)</f>
        <v>3</v>
      </c>
      <c r="L270">
        <f>COUNTIFS(GESTIONES!$A:$A, BASE_CUENTAS!$A270,GESTIONES!$B:$B, BASE_CUENTAS!$C270,GESTIONES!$E:$E, "S")</f>
        <v>1</v>
      </c>
      <c r="M270">
        <f>COUNTIFS(GESTIONES!$A:$A, BASE_CUENTAS!$A270,GESTIONES!$B:$B, BASE_CUENTAS!$C270,GESTIONES!$E:$E, "N")</f>
        <v>2</v>
      </c>
      <c r="N270">
        <f>COUNTIFS(GESTIONES!$A:$A, BASE_CUENTAS!$A270,GESTIONES!$B:$B, BASE_CUENTAS!$C270,GESTIONES!$D:$D, "SMS")</f>
        <v>1</v>
      </c>
      <c r="O270">
        <f>SUMIFS(PAGOS!$D:$D,PAGOS!$A:$A, BASE_CUENTAS!$A270,PAGOS!$B:$B, BASE_CUENTAS!$C270)</f>
        <v>0</v>
      </c>
      <c r="P270" t="str">
        <f>IF(
VLOOKUP($C270,BASE_CIERRE_MES!$C:$G,5,FALSE)=0,
"Normalización",
IF(
VLOOKUP($C270,BASE_CIERRE_MES!$C:$G,5,FALSE)&lt;$H270,
"Recuperación",
IF(
VLOOKUP($C270,BASE_CIERRE_MES!$C:$G,5,FALSE)=$H270,
"Contención",
"Rodamiento"
)))</f>
        <v>Rodamiento</v>
      </c>
      <c r="Q270">
        <f t="shared" si="4"/>
        <v>0</v>
      </c>
    </row>
    <row r="271" spans="1:17" x14ac:dyDescent="0.25">
      <c r="A271">
        <v>8172884</v>
      </c>
      <c r="B271" t="s">
        <v>17</v>
      </c>
      <c r="C271">
        <v>21348233</v>
      </c>
      <c r="D271" t="s">
        <v>11</v>
      </c>
      <c r="E271">
        <v>5533706</v>
      </c>
      <c r="F271" s="2">
        <v>2366830</v>
      </c>
      <c r="G271" s="2">
        <v>129247</v>
      </c>
      <c r="H271">
        <v>3</v>
      </c>
      <c r="I271" s="1">
        <v>42529</v>
      </c>
      <c r="J271" t="s">
        <v>6</v>
      </c>
      <c r="K271">
        <f>COUNTIFS(GESTIONES!$A:$A, BASE_CUENTAS!$A271, GESTIONES!$B:$B, BASE_CUENTAS!$C271)</f>
        <v>3</v>
      </c>
      <c r="L271">
        <f>COUNTIFS(GESTIONES!$A:$A, BASE_CUENTAS!$A271,GESTIONES!$B:$B, BASE_CUENTAS!$C271,GESTIONES!$E:$E, "S")</f>
        <v>1</v>
      </c>
      <c r="M271">
        <f>COUNTIFS(GESTIONES!$A:$A, BASE_CUENTAS!$A271,GESTIONES!$B:$B, BASE_CUENTAS!$C271,GESTIONES!$E:$E, "N")</f>
        <v>2</v>
      </c>
      <c r="N271">
        <f>COUNTIFS(GESTIONES!$A:$A, BASE_CUENTAS!$A271,GESTIONES!$B:$B, BASE_CUENTAS!$C271,GESTIONES!$D:$D, "SMS")</f>
        <v>0</v>
      </c>
      <c r="O271">
        <f>SUMIFS(PAGOS!$D:$D,PAGOS!$A:$A, BASE_CUENTAS!$A271,PAGOS!$B:$B, BASE_CUENTAS!$C271)</f>
        <v>43082</v>
      </c>
      <c r="P271" t="str">
        <f>IF(
VLOOKUP($C271,BASE_CIERRE_MES!$C:$G,5,FALSE)=0,
"Normalización",
IF(
VLOOKUP($C271,BASE_CIERRE_MES!$C:$G,5,FALSE)&lt;$H271,
"Recuperación",
IF(
VLOOKUP($C271,BASE_CIERRE_MES!$C:$G,5,FALSE)=$H271,
"Contención",
"Rodamiento"
)))</f>
        <v>Rodamiento</v>
      </c>
      <c r="Q271">
        <f t="shared" si="4"/>
        <v>1.8202405749462362E-2</v>
      </c>
    </row>
    <row r="272" spans="1:17" x14ac:dyDescent="0.25">
      <c r="A272">
        <v>8172884</v>
      </c>
      <c r="B272" t="s">
        <v>17</v>
      </c>
      <c r="C272">
        <v>23312798</v>
      </c>
      <c r="D272" t="s">
        <v>7</v>
      </c>
      <c r="E272">
        <v>5533706</v>
      </c>
      <c r="F272" s="2">
        <v>2328942</v>
      </c>
      <c r="G272" s="2">
        <v>238589</v>
      </c>
      <c r="H272">
        <v>30</v>
      </c>
      <c r="I272" s="1">
        <v>42508</v>
      </c>
      <c r="J272" t="s">
        <v>6</v>
      </c>
      <c r="K272">
        <f>COUNTIFS(GESTIONES!$A:$A, BASE_CUENTAS!$A272, GESTIONES!$B:$B, BASE_CUENTAS!$C272)</f>
        <v>3</v>
      </c>
      <c r="L272">
        <f>COUNTIFS(GESTIONES!$A:$A, BASE_CUENTAS!$A272,GESTIONES!$B:$B, BASE_CUENTAS!$C272,GESTIONES!$E:$E, "S")</f>
        <v>1</v>
      </c>
      <c r="M272">
        <f>COUNTIFS(GESTIONES!$A:$A, BASE_CUENTAS!$A272,GESTIONES!$B:$B, BASE_CUENTAS!$C272,GESTIONES!$E:$E, "N")</f>
        <v>2</v>
      </c>
      <c r="N272">
        <f>COUNTIFS(GESTIONES!$A:$A, BASE_CUENTAS!$A272,GESTIONES!$B:$B, BASE_CUENTAS!$C272,GESTIONES!$D:$D, "SMS")</f>
        <v>1</v>
      </c>
      <c r="O272">
        <f>SUMIFS(PAGOS!$D:$D,PAGOS!$A:$A, BASE_CUENTAS!$A272,PAGOS!$B:$B, BASE_CUENTAS!$C272)</f>
        <v>238589</v>
      </c>
      <c r="P272" t="str">
        <f>IF(
VLOOKUP($C272,BASE_CIERRE_MES!$C:$G,5,FALSE)=0,
"Normalización",
IF(
VLOOKUP($C272,BASE_CIERRE_MES!$C:$G,5,FALSE)&lt;$H272,
"Recuperación",
IF(
VLOOKUP($C272,BASE_CIERRE_MES!$C:$G,5,FALSE)=$H272,
"Contención",
"Rodamiento"
)))</f>
        <v>Normalización</v>
      </c>
      <c r="Q272">
        <f t="shared" si="4"/>
        <v>0.10244523049522057</v>
      </c>
    </row>
    <row r="273" spans="1:17" x14ac:dyDescent="0.25">
      <c r="A273">
        <v>8172884</v>
      </c>
      <c r="B273" t="s">
        <v>17</v>
      </c>
      <c r="C273">
        <v>23313640</v>
      </c>
      <c r="D273" t="s">
        <v>7</v>
      </c>
      <c r="E273">
        <v>5533706</v>
      </c>
      <c r="F273" s="2">
        <v>837934</v>
      </c>
      <c r="G273" s="2">
        <v>101429</v>
      </c>
      <c r="H273">
        <v>30</v>
      </c>
      <c r="I273" s="1">
        <v>42509</v>
      </c>
      <c r="J273" t="s">
        <v>6</v>
      </c>
      <c r="K273">
        <f>COUNTIFS(GESTIONES!$A:$A, BASE_CUENTAS!$A273, GESTIONES!$B:$B, BASE_CUENTAS!$C273)</f>
        <v>3</v>
      </c>
      <c r="L273">
        <f>COUNTIFS(GESTIONES!$A:$A, BASE_CUENTAS!$A273,GESTIONES!$B:$B, BASE_CUENTAS!$C273,GESTIONES!$E:$E, "S")</f>
        <v>2</v>
      </c>
      <c r="M273">
        <f>COUNTIFS(GESTIONES!$A:$A, BASE_CUENTAS!$A273,GESTIONES!$B:$B, BASE_CUENTAS!$C273,GESTIONES!$E:$E, "N")</f>
        <v>1</v>
      </c>
      <c r="N273">
        <f>COUNTIFS(GESTIONES!$A:$A, BASE_CUENTAS!$A273,GESTIONES!$B:$B, BASE_CUENTAS!$C273,GESTIONES!$D:$D, "SMS")</f>
        <v>0</v>
      </c>
      <c r="O273">
        <f>SUMIFS(PAGOS!$D:$D,PAGOS!$A:$A, BASE_CUENTAS!$A273,PAGOS!$B:$B, BASE_CUENTAS!$C273)</f>
        <v>50715</v>
      </c>
      <c r="P273" t="str">
        <f>IF(
VLOOKUP($C273,BASE_CIERRE_MES!$C:$G,5,FALSE)=0,
"Normalización",
IF(
VLOOKUP($C273,BASE_CIERRE_MES!$C:$G,5,FALSE)&lt;$H273,
"Recuperación",
IF(
VLOOKUP($C273,BASE_CIERRE_MES!$C:$G,5,FALSE)=$H273,
"Contención",
"Rodamiento"
)))</f>
        <v>Recuperación</v>
      </c>
      <c r="Q273">
        <f t="shared" si="4"/>
        <v>6.0523859874405381E-2</v>
      </c>
    </row>
    <row r="274" spans="1:17" x14ac:dyDescent="0.25">
      <c r="A274">
        <v>8172906</v>
      </c>
      <c r="B274" t="s">
        <v>18</v>
      </c>
      <c r="C274">
        <v>25709096</v>
      </c>
      <c r="D274" t="s">
        <v>7</v>
      </c>
      <c r="E274">
        <v>14203</v>
      </c>
      <c r="F274" s="2">
        <v>14203</v>
      </c>
      <c r="G274" s="2">
        <v>8825</v>
      </c>
      <c r="H274">
        <v>60</v>
      </c>
      <c r="I274" s="1">
        <v>42508</v>
      </c>
      <c r="J274" t="s">
        <v>6</v>
      </c>
      <c r="K274">
        <f>COUNTIFS(GESTIONES!$A:$A, BASE_CUENTAS!$A274, GESTIONES!$B:$B, BASE_CUENTAS!$C274)</f>
        <v>3</v>
      </c>
      <c r="L274">
        <f>COUNTIFS(GESTIONES!$A:$A, BASE_CUENTAS!$A274,GESTIONES!$B:$B, BASE_CUENTAS!$C274,GESTIONES!$E:$E, "S")</f>
        <v>1</v>
      </c>
      <c r="M274">
        <f>COUNTIFS(GESTIONES!$A:$A, BASE_CUENTAS!$A274,GESTIONES!$B:$B, BASE_CUENTAS!$C274,GESTIONES!$E:$E, "N")</f>
        <v>2</v>
      </c>
      <c r="N274">
        <f>COUNTIFS(GESTIONES!$A:$A, BASE_CUENTAS!$A274,GESTIONES!$B:$B, BASE_CUENTAS!$C274,GESTIONES!$D:$D, "SMS")</f>
        <v>1</v>
      </c>
      <c r="O274">
        <f>SUMIFS(PAGOS!$D:$D,PAGOS!$A:$A, BASE_CUENTAS!$A274,PAGOS!$B:$B, BASE_CUENTAS!$C274)</f>
        <v>14203</v>
      </c>
      <c r="P274" t="str">
        <f>IF(
VLOOKUP($C274,BASE_CIERRE_MES!$C:$G,5,FALSE)=0,
"Normalización",
IF(
VLOOKUP($C274,BASE_CIERRE_MES!$C:$G,5,FALSE)&lt;$H274,
"Recuperación",
IF(
VLOOKUP($C274,BASE_CIERRE_MES!$C:$G,5,FALSE)=$H274,
"Contención",
"Rodamiento"
)))</f>
        <v>Normalización</v>
      </c>
      <c r="Q274">
        <f t="shared" si="4"/>
        <v>1</v>
      </c>
    </row>
    <row r="275" spans="1:17" x14ac:dyDescent="0.25">
      <c r="A275">
        <v>8172916</v>
      </c>
      <c r="B275" t="s">
        <v>18</v>
      </c>
      <c r="C275">
        <v>28122029</v>
      </c>
      <c r="D275" t="s">
        <v>7</v>
      </c>
      <c r="E275">
        <v>862649</v>
      </c>
      <c r="F275" s="2">
        <v>862649</v>
      </c>
      <c r="G275" s="2">
        <v>115396</v>
      </c>
      <c r="H275">
        <v>30</v>
      </c>
      <c r="I275" s="1">
        <v>42521</v>
      </c>
      <c r="J275" t="s">
        <v>4</v>
      </c>
      <c r="K275">
        <f>COUNTIFS(GESTIONES!$A:$A, BASE_CUENTAS!$A275, GESTIONES!$B:$B, BASE_CUENTAS!$C275)</f>
        <v>3</v>
      </c>
      <c r="L275">
        <f>COUNTIFS(GESTIONES!$A:$A, BASE_CUENTAS!$A275,GESTIONES!$B:$B, BASE_CUENTAS!$C275,GESTIONES!$E:$E, "S")</f>
        <v>0</v>
      </c>
      <c r="M275">
        <f>COUNTIFS(GESTIONES!$A:$A, BASE_CUENTAS!$A275,GESTIONES!$B:$B, BASE_CUENTAS!$C275,GESTIONES!$E:$E, "N")</f>
        <v>3</v>
      </c>
      <c r="N275">
        <f>COUNTIFS(GESTIONES!$A:$A, BASE_CUENTAS!$A275,GESTIONES!$B:$B, BASE_CUENTAS!$C275,GESTIONES!$D:$D, "SMS")</f>
        <v>1</v>
      </c>
      <c r="O275">
        <f>SUMIFS(PAGOS!$D:$D,PAGOS!$A:$A, BASE_CUENTAS!$A275,PAGOS!$B:$B, BASE_CUENTAS!$C275)</f>
        <v>0</v>
      </c>
      <c r="P275" t="str">
        <f>IF(
VLOOKUP($C275,BASE_CIERRE_MES!$C:$G,5,FALSE)=0,
"Normalización",
IF(
VLOOKUP($C275,BASE_CIERRE_MES!$C:$G,5,FALSE)&lt;$H275,
"Recuperación",
IF(
VLOOKUP($C275,BASE_CIERRE_MES!$C:$G,5,FALSE)=$H275,
"Contención",
"Rodamiento"
)))</f>
        <v>Rodamiento</v>
      </c>
      <c r="Q275">
        <f t="shared" si="4"/>
        <v>0</v>
      </c>
    </row>
    <row r="276" spans="1:17" x14ac:dyDescent="0.25">
      <c r="A276">
        <v>8172935</v>
      </c>
      <c r="B276" t="s">
        <v>18</v>
      </c>
      <c r="C276">
        <v>27864939</v>
      </c>
      <c r="D276" t="s">
        <v>7</v>
      </c>
      <c r="E276">
        <v>735308</v>
      </c>
      <c r="F276" s="2">
        <v>735308</v>
      </c>
      <c r="G276" s="2">
        <v>92451</v>
      </c>
      <c r="H276">
        <v>30</v>
      </c>
      <c r="I276" s="1">
        <v>42521</v>
      </c>
      <c r="J276" t="s">
        <v>4</v>
      </c>
      <c r="K276">
        <f>COUNTIFS(GESTIONES!$A:$A, BASE_CUENTAS!$A276, GESTIONES!$B:$B, BASE_CUENTAS!$C276)</f>
        <v>3</v>
      </c>
      <c r="L276">
        <f>COUNTIFS(GESTIONES!$A:$A, BASE_CUENTAS!$A276,GESTIONES!$B:$B, BASE_CUENTAS!$C276,GESTIONES!$E:$E, "S")</f>
        <v>1</v>
      </c>
      <c r="M276">
        <f>COUNTIFS(GESTIONES!$A:$A, BASE_CUENTAS!$A276,GESTIONES!$B:$B, BASE_CUENTAS!$C276,GESTIONES!$E:$E, "N")</f>
        <v>2</v>
      </c>
      <c r="N276">
        <f>COUNTIFS(GESTIONES!$A:$A, BASE_CUENTAS!$A276,GESTIONES!$B:$B, BASE_CUENTAS!$C276,GESTIONES!$D:$D, "SMS")</f>
        <v>1</v>
      </c>
      <c r="O276">
        <f>SUMIFS(PAGOS!$D:$D,PAGOS!$A:$A, BASE_CUENTAS!$A276,PAGOS!$B:$B, BASE_CUENTAS!$C276)</f>
        <v>92451</v>
      </c>
      <c r="P276" t="str">
        <f>IF(
VLOOKUP($C276,BASE_CIERRE_MES!$C:$G,5,FALSE)=0,
"Normalización",
IF(
VLOOKUP($C276,BASE_CIERRE_MES!$C:$G,5,FALSE)&lt;$H276,
"Recuperación",
IF(
VLOOKUP($C276,BASE_CIERRE_MES!$C:$G,5,FALSE)=$H276,
"Contención",
"Rodamiento"
)))</f>
        <v>Normalización</v>
      </c>
      <c r="Q276">
        <f t="shared" si="4"/>
        <v>0.12573098619898057</v>
      </c>
    </row>
    <row r="277" spans="1:17" x14ac:dyDescent="0.25">
      <c r="A277">
        <v>8173426</v>
      </c>
      <c r="B277" t="s">
        <v>18</v>
      </c>
      <c r="C277">
        <v>27096953</v>
      </c>
      <c r="D277" t="s">
        <v>7</v>
      </c>
      <c r="E277">
        <v>2661563</v>
      </c>
      <c r="F277" s="2">
        <v>1229518</v>
      </c>
      <c r="G277" s="2">
        <v>101724</v>
      </c>
      <c r="H277">
        <v>30</v>
      </c>
      <c r="I277" s="1">
        <v>42521</v>
      </c>
      <c r="J277" t="s">
        <v>4</v>
      </c>
      <c r="K277">
        <f>COUNTIFS(GESTIONES!$A:$A, BASE_CUENTAS!$A277, GESTIONES!$B:$B, BASE_CUENTAS!$C277)</f>
        <v>3</v>
      </c>
      <c r="L277">
        <f>COUNTIFS(GESTIONES!$A:$A, BASE_CUENTAS!$A277,GESTIONES!$B:$B, BASE_CUENTAS!$C277,GESTIONES!$E:$E, "S")</f>
        <v>1</v>
      </c>
      <c r="M277">
        <f>COUNTIFS(GESTIONES!$A:$A, BASE_CUENTAS!$A277,GESTIONES!$B:$B, BASE_CUENTAS!$C277,GESTIONES!$E:$E, "N")</f>
        <v>2</v>
      </c>
      <c r="N277">
        <f>COUNTIFS(GESTIONES!$A:$A, BASE_CUENTAS!$A277,GESTIONES!$B:$B, BASE_CUENTAS!$C277,GESTIONES!$D:$D, "SMS")</f>
        <v>1</v>
      </c>
      <c r="O277">
        <f>SUMIFS(PAGOS!$D:$D,PAGOS!$A:$A, BASE_CUENTAS!$A277,PAGOS!$B:$B, BASE_CUENTAS!$C277)</f>
        <v>33908</v>
      </c>
      <c r="P277" t="str">
        <f>IF(
VLOOKUP($C277,BASE_CIERRE_MES!$C:$G,5,FALSE)=0,
"Normalización",
IF(
VLOOKUP($C277,BASE_CIERRE_MES!$C:$G,5,FALSE)&lt;$H277,
"Recuperación",
IF(
VLOOKUP($C277,BASE_CIERRE_MES!$C:$G,5,FALSE)=$H277,
"Contención",
"Rodamiento"
)))</f>
        <v>Contención</v>
      </c>
      <c r="Q277">
        <f t="shared" si="4"/>
        <v>2.757828677579344E-2</v>
      </c>
    </row>
    <row r="278" spans="1:17" x14ac:dyDescent="0.25">
      <c r="A278">
        <v>8173437</v>
      </c>
      <c r="B278" t="s">
        <v>17</v>
      </c>
      <c r="C278">
        <v>26476759</v>
      </c>
      <c r="D278" t="s">
        <v>11</v>
      </c>
      <c r="E278">
        <v>7507596</v>
      </c>
      <c r="F278" s="2">
        <v>7079429</v>
      </c>
      <c r="G278" s="2">
        <v>203394</v>
      </c>
      <c r="H278">
        <v>3</v>
      </c>
      <c r="I278" s="1">
        <v>42529</v>
      </c>
      <c r="J278" t="s">
        <v>4</v>
      </c>
      <c r="K278">
        <f>COUNTIFS(GESTIONES!$A:$A, BASE_CUENTAS!$A278, GESTIONES!$B:$B, BASE_CUENTAS!$C278)</f>
        <v>3</v>
      </c>
      <c r="L278">
        <f>COUNTIFS(GESTIONES!$A:$A, BASE_CUENTAS!$A278,GESTIONES!$B:$B, BASE_CUENTAS!$C278,GESTIONES!$E:$E, "S")</f>
        <v>1</v>
      </c>
      <c r="M278">
        <f>COUNTIFS(GESTIONES!$A:$A, BASE_CUENTAS!$A278,GESTIONES!$B:$B, BASE_CUENTAS!$C278,GESTIONES!$E:$E, "N")</f>
        <v>2</v>
      </c>
      <c r="N278">
        <f>COUNTIFS(GESTIONES!$A:$A, BASE_CUENTAS!$A278,GESTIONES!$B:$B, BASE_CUENTAS!$C278,GESTIONES!$D:$D, "SMS")</f>
        <v>0</v>
      </c>
      <c r="O278">
        <f>SUMIFS(PAGOS!$D:$D,PAGOS!$A:$A, BASE_CUENTAS!$A278,PAGOS!$B:$B, BASE_CUENTAS!$C278)</f>
        <v>0</v>
      </c>
      <c r="P278" t="str">
        <f>IF(
VLOOKUP($C278,BASE_CIERRE_MES!$C:$G,5,FALSE)=0,
"Normalización",
IF(
VLOOKUP($C278,BASE_CIERRE_MES!$C:$G,5,FALSE)&lt;$H278,
"Recuperación",
IF(
VLOOKUP($C278,BASE_CIERRE_MES!$C:$G,5,FALSE)=$H278,
"Contención",
"Rodamiento"
)))</f>
        <v>Rodamiento</v>
      </c>
      <c r="Q278">
        <f t="shared" si="4"/>
        <v>0</v>
      </c>
    </row>
    <row r="279" spans="1:17" x14ac:dyDescent="0.25">
      <c r="A279">
        <v>8173437</v>
      </c>
      <c r="B279" t="s">
        <v>17</v>
      </c>
      <c r="C279">
        <v>26774236</v>
      </c>
      <c r="D279" t="s">
        <v>7</v>
      </c>
      <c r="E279">
        <v>7507596</v>
      </c>
      <c r="F279" s="2">
        <v>428167</v>
      </c>
      <c r="G279" s="2">
        <v>67451</v>
      </c>
      <c r="H279">
        <v>30</v>
      </c>
      <c r="I279" s="1">
        <v>42521</v>
      </c>
      <c r="J279" t="s">
        <v>4</v>
      </c>
      <c r="K279">
        <f>COUNTIFS(GESTIONES!$A:$A, BASE_CUENTAS!$A279, GESTIONES!$B:$B, BASE_CUENTAS!$C279)</f>
        <v>3</v>
      </c>
      <c r="L279">
        <f>COUNTIFS(GESTIONES!$A:$A, BASE_CUENTAS!$A279,GESTIONES!$B:$B, BASE_CUENTAS!$C279,GESTIONES!$E:$E, "S")</f>
        <v>1</v>
      </c>
      <c r="M279">
        <f>COUNTIFS(GESTIONES!$A:$A, BASE_CUENTAS!$A279,GESTIONES!$B:$B, BASE_CUENTAS!$C279,GESTIONES!$E:$E, "N")</f>
        <v>2</v>
      </c>
      <c r="N279">
        <f>COUNTIFS(GESTIONES!$A:$A, BASE_CUENTAS!$A279,GESTIONES!$B:$B, BASE_CUENTAS!$C279,GESTIONES!$D:$D, "SMS")</f>
        <v>1</v>
      </c>
      <c r="O279">
        <f>SUMIFS(PAGOS!$D:$D,PAGOS!$A:$A, BASE_CUENTAS!$A279,PAGOS!$B:$B, BASE_CUENTAS!$C279)</f>
        <v>0</v>
      </c>
      <c r="P279" t="str">
        <f>IF(
VLOOKUP($C279,BASE_CIERRE_MES!$C:$G,5,FALSE)=0,
"Normalización",
IF(
VLOOKUP($C279,BASE_CIERRE_MES!$C:$G,5,FALSE)&lt;$H279,
"Recuperación",
IF(
VLOOKUP($C279,BASE_CIERRE_MES!$C:$G,5,FALSE)=$H279,
"Contención",
"Rodamiento"
)))</f>
        <v>Rodamiento</v>
      </c>
      <c r="Q279">
        <f t="shared" si="4"/>
        <v>0</v>
      </c>
    </row>
    <row r="280" spans="1:17" x14ac:dyDescent="0.25">
      <c r="A280">
        <v>8173444</v>
      </c>
      <c r="B280" t="s">
        <v>18</v>
      </c>
      <c r="C280">
        <v>27690468</v>
      </c>
      <c r="D280" t="s">
        <v>7</v>
      </c>
      <c r="E280">
        <v>622345</v>
      </c>
      <c r="F280" s="2">
        <v>622345</v>
      </c>
      <c r="G280" s="2">
        <v>219415</v>
      </c>
      <c r="H280">
        <v>90</v>
      </c>
      <c r="I280" s="1">
        <v>42518</v>
      </c>
      <c r="J280" t="s">
        <v>6</v>
      </c>
      <c r="K280">
        <f>COUNTIFS(GESTIONES!$A:$A, BASE_CUENTAS!$A280, GESTIONES!$B:$B, BASE_CUENTAS!$C280)</f>
        <v>3</v>
      </c>
      <c r="L280">
        <f>COUNTIFS(GESTIONES!$A:$A, BASE_CUENTAS!$A280,GESTIONES!$B:$B, BASE_CUENTAS!$C280,GESTIONES!$E:$E, "S")</f>
        <v>0</v>
      </c>
      <c r="M280">
        <f>COUNTIFS(GESTIONES!$A:$A, BASE_CUENTAS!$A280,GESTIONES!$B:$B, BASE_CUENTAS!$C280,GESTIONES!$E:$E, "N")</f>
        <v>3</v>
      </c>
      <c r="N280">
        <f>COUNTIFS(GESTIONES!$A:$A, BASE_CUENTAS!$A280,GESTIONES!$B:$B, BASE_CUENTAS!$C280,GESTIONES!$D:$D, "SMS")</f>
        <v>1</v>
      </c>
      <c r="O280">
        <f>SUMIFS(PAGOS!$D:$D,PAGOS!$A:$A, BASE_CUENTAS!$A280,PAGOS!$B:$B, BASE_CUENTAS!$C280)</f>
        <v>0</v>
      </c>
      <c r="P280" t="str">
        <f>IF(
VLOOKUP($C280,BASE_CIERRE_MES!$C:$G,5,FALSE)=0,
"Normalización",
IF(
VLOOKUP($C280,BASE_CIERRE_MES!$C:$G,5,FALSE)&lt;$H280,
"Recuperación",
IF(
VLOOKUP($C280,BASE_CIERRE_MES!$C:$G,5,FALSE)=$H280,
"Contención",
"Rodamiento"
)))</f>
        <v>Rodamiento</v>
      </c>
      <c r="Q280">
        <f t="shared" si="4"/>
        <v>0</v>
      </c>
    </row>
    <row r="281" spans="1:17" x14ac:dyDescent="0.25">
      <c r="A281">
        <v>8173552</v>
      </c>
      <c r="B281" t="s">
        <v>18</v>
      </c>
      <c r="C281">
        <v>15784792</v>
      </c>
      <c r="D281" t="s">
        <v>7</v>
      </c>
      <c r="E281">
        <v>1924813</v>
      </c>
      <c r="F281" s="2">
        <v>1092794</v>
      </c>
      <c r="G281" s="2">
        <v>1092794</v>
      </c>
      <c r="H281">
        <v>150</v>
      </c>
      <c r="I281" s="1">
        <v>42508</v>
      </c>
      <c r="J281" t="s">
        <v>5</v>
      </c>
      <c r="K281">
        <f>COUNTIFS(GESTIONES!$A:$A, BASE_CUENTAS!$A281, GESTIONES!$B:$B, BASE_CUENTAS!$C281)</f>
        <v>3</v>
      </c>
      <c r="L281">
        <f>COUNTIFS(GESTIONES!$A:$A, BASE_CUENTAS!$A281,GESTIONES!$B:$B, BASE_CUENTAS!$C281,GESTIONES!$E:$E, "S")</f>
        <v>1</v>
      </c>
      <c r="M281">
        <f>COUNTIFS(GESTIONES!$A:$A, BASE_CUENTAS!$A281,GESTIONES!$B:$B, BASE_CUENTAS!$C281,GESTIONES!$E:$E, "N")</f>
        <v>2</v>
      </c>
      <c r="N281">
        <f>COUNTIFS(GESTIONES!$A:$A, BASE_CUENTAS!$A281,GESTIONES!$B:$B, BASE_CUENTAS!$C281,GESTIONES!$D:$D, "SMS")</f>
        <v>1</v>
      </c>
      <c r="O281">
        <f>SUMIFS(PAGOS!$D:$D,PAGOS!$A:$A, BASE_CUENTAS!$A281,PAGOS!$B:$B, BASE_CUENTAS!$C281)</f>
        <v>364265</v>
      </c>
      <c r="P281" t="str">
        <f>IF(
VLOOKUP($C281,BASE_CIERRE_MES!$C:$G,5,FALSE)=0,
"Normalización",
IF(
VLOOKUP($C281,BASE_CIERRE_MES!$C:$G,5,FALSE)&lt;$H281,
"Recuperación",
IF(
VLOOKUP($C281,BASE_CIERRE_MES!$C:$G,5,FALSE)=$H281,
"Contención",
"Rodamiento"
)))</f>
        <v>Contención</v>
      </c>
      <c r="Q281">
        <f t="shared" si="4"/>
        <v>0.33333363836185043</v>
      </c>
    </row>
    <row r="282" spans="1:17" x14ac:dyDescent="0.25">
      <c r="A282">
        <v>8173552</v>
      </c>
      <c r="B282" t="s">
        <v>18</v>
      </c>
      <c r="C282">
        <v>20787125</v>
      </c>
      <c r="D282" t="s">
        <v>7</v>
      </c>
      <c r="E282">
        <v>1924813</v>
      </c>
      <c r="F282" s="2">
        <v>832019</v>
      </c>
      <c r="G282" s="2">
        <v>427866</v>
      </c>
      <c r="H282">
        <v>60</v>
      </c>
      <c r="I282" s="1">
        <v>42490</v>
      </c>
      <c r="J282" t="s">
        <v>5</v>
      </c>
      <c r="K282">
        <f>COUNTIFS(GESTIONES!$A:$A, BASE_CUENTAS!$A282, GESTIONES!$B:$B, BASE_CUENTAS!$C282)</f>
        <v>3</v>
      </c>
      <c r="L282">
        <f>COUNTIFS(GESTIONES!$A:$A, BASE_CUENTAS!$A282,GESTIONES!$B:$B, BASE_CUENTAS!$C282,GESTIONES!$E:$E, "S")</f>
        <v>1</v>
      </c>
      <c r="M282">
        <f>COUNTIFS(GESTIONES!$A:$A, BASE_CUENTAS!$A282,GESTIONES!$B:$B, BASE_CUENTAS!$C282,GESTIONES!$E:$E, "N")</f>
        <v>2</v>
      </c>
      <c r="N282">
        <f>COUNTIFS(GESTIONES!$A:$A, BASE_CUENTAS!$A282,GESTIONES!$B:$B, BASE_CUENTAS!$C282,GESTIONES!$D:$D, "SMS")</f>
        <v>1</v>
      </c>
      <c r="O282">
        <f>SUMIFS(PAGOS!$D:$D,PAGOS!$A:$A, BASE_CUENTAS!$A282,PAGOS!$B:$B, BASE_CUENTAS!$C282)</f>
        <v>0</v>
      </c>
      <c r="P282" t="str">
        <f>IF(
VLOOKUP($C282,BASE_CIERRE_MES!$C:$G,5,FALSE)=0,
"Normalización",
IF(
VLOOKUP($C282,BASE_CIERRE_MES!$C:$G,5,FALSE)&lt;$H282,
"Recuperación",
IF(
VLOOKUP($C282,BASE_CIERRE_MES!$C:$G,5,FALSE)=$H282,
"Contención",
"Rodamiento"
)))</f>
        <v>Rodamiento</v>
      </c>
      <c r="Q282">
        <f t="shared" si="4"/>
        <v>0</v>
      </c>
    </row>
    <row r="283" spans="1:17" x14ac:dyDescent="0.25">
      <c r="A283">
        <v>8173554</v>
      </c>
      <c r="B283" t="s">
        <v>17</v>
      </c>
      <c r="C283">
        <v>26936631</v>
      </c>
      <c r="D283" t="s">
        <v>7</v>
      </c>
      <c r="E283">
        <v>2878382</v>
      </c>
      <c r="F283" s="2">
        <v>1788847</v>
      </c>
      <c r="G283" s="2">
        <v>442215</v>
      </c>
      <c r="H283">
        <v>60</v>
      </c>
      <c r="I283" s="1">
        <v>42490</v>
      </c>
      <c r="J283" t="s">
        <v>6</v>
      </c>
      <c r="K283">
        <f>COUNTIFS(GESTIONES!$A:$A, BASE_CUENTAS!$A283, GESTIONES!$B:$B, BASE_CUENTAS!$C283)</f>
        <v>3</v>
      </c>
      <c r="L283">
        <f>COUNTIFS(GESTIONES!$A:$A, BASE_CUENTAS!$A283,GESTIONES!$B:$B, BASE_CUENTAS!$C283,GESTIONES!$E:$E, "S")</f>
        <v>1</v>
      </c>
      <c r="M283">
        <f>COUNTIFS(GESTIONES!$A:$A, BASE_CUENTAS!$A283,GESTIONES!$B:$B, BASE_CUENTAS!$C283,GESTIONES!$E:$E, "N")</f>
        <v>2</v>
      </c>
      <c r="N283">
        <f>COUNTIFS(GESTIONES!$A:$A, BASE_CUENTAS!$A283,GESTIONES!$B:$B, BASE_CUENTAS!$C283,GESTIONES!$D:$D, "SMS")</f>
        <v>0</v>
      </c>
      <c r="O283">
        <f>SUMIFS(PAGOS!$D:$D,PAGOS!$A:$A, BASE_CUENTAS!$A283,PAGOS!$B:$B, BASE_CUENTAS!$C283)</f>
        <v>0</v>
      </c>
      <c r="P283" t="str">
        <f>IF(
VLOOKUP($C283,BASE_CIERRE_MES!$C:$G,5,FALSE)=0,
"Normalización",
IF(
VLOOKUP($C283,BASE_CIERRE_MES!$C:$G,5,FALSE)&lt;$H283,
"Recuperación",
IF(
VLOOKUP($C283,BASE_CIERRE_MES!$C:$G,5,FALSE)=$H283,
"Contención",
"Rodamiento"
)))</f>
        <v>Rodamiento</v>
      </c>
      <c r="Q283">
        <f t="shared" si="4"/>
        <v>0</v>
      </c>
    </row>
    <row r="284" spans="1:17" x14ac:dyDescent="0.25">
      <c r="A284">
        <v>8173554</v>
      </c>
      <c r="B284" t="s">
        <v>17</v>
      </c>
      <c r="C284">
        <v>28584103</v>
      </c>
      <c r="D284" t="s">
        <v>7</v>
      </c>
      <c r="E284">
        <v>2878382</v>
      </c>
      <c r="F284" s="2">
        <v>1089535</v>
      </c>
      <c r="G284" s="2">
        <v>215560</v>
      </c>
      <c r="H284">
        <v>60</v>
      </c>
      <c r="I284" s="1">
        <v>42523</v>
      </c>
      <c r="J284" t="s">
        <v>6</v>
      </c>
      <c r="K284">
        <f>COUNTIFS(GESTIONES!$A:$A, BASE_CUENTAS!$A284, GESTIONES!$B:$B, BASE_CUENTAS!$C284)</f>
        <v>3</v>
      </c>
      <c r="L284">
        <f>COUNTIFS(GESTIONES!$A:$A, BASE_CUENTAS!$A284,GESTIONES!$B:$B, BASE_CUENTAS!$C284,GESTIONES!$E:$E, "S")</f>
        <v>1</v>
      </c>
      <c r="M284">
        <f>COUNTIFS(GESTIONES!$A:$A, BASE_CUENTAS!$A284,GESTIONES!$B:$B, BASE_CUENTAS!$C284,GESTIONES!$E:$E, "N")</f>
        <v>2</v>
      </c>
      <c r="N284">
        <f>COUNTIFS(GESTIONES!$A:$A, BASE_CUENTAS!$A284,GESTIONES!$B:$B, BASE_CUENTAS!$C284,GESTIONES!$D:$D, "SMS")</f>
        <v>1</v>
      </c>
      <c r="O284">
        <f>SUMIFS(PAGOS!$D:$D,PAGOS!$A:$A, BASE_CUENTAS!$A284,PAGOS!$B:$B, BASE_CUENTAS!$C284)</f>
        <v>1089535</v>
      </c>
      <c r="P284" t="str">
        <f>IF(
VLOOKUP($C284,BASE_CIERRE_MES!$C:$G,5,FALSE)=0,
"Normalización",
IF(
VLOOKUP($C284,BASE_CIERRE_MES!$C:$G,5,FALSE)&lt;$H284,
"Recuperación",
IF(
VLOOKUP($C284,BASE_CIERRE_MES!$C:$G,5,FALSE)=$H284,
"Contención",
"Rodamiento"
)))</f>
        <v>Normalización</v>
      </c>
      <c r="Q284">
        <f t="shared" si="4"/>
        <v>1</v>
      </c>
    </row>
    <row r="285" spans="1:17" x14ac:dyDescent="0.25">
      <c r="A285">
        <v>8173659</v>
      </c>
      <c r="B285" t="s">
        <v>16</v>
      </c>
      <c r="C285">
        <v>22424854</v>
      </c>
      <c r="D285" t="s">
        <v>13</v>
      </c>
      <c r="E285">
        <v>22962426</v>
      </c>
      <c r="F285" s="2">
        <v>21529474</v>
      </c>
      <c r="G285" s="2">
        <v>4104396</v>
      </c>
      <c r="H285">
        <v>151</v>
      </c>
      <c r="I285" s="1">
        <v>42440</v>
      </c>
      <c r="J285" t="s">
        <v>5</v>
      </c>
      <c r="K285">
        <f>COUNTIFS(GESTIONES!$A:$A, BASE_CUENTAS!$A285, GESTIONES!$B:$B, BASE_CUENTAS!$C285)</f>
        <v>3</v>
      </c>
      <c r="L285">
        <f>COUNTIFS(GESTIONES!$A:$A, BASE_CUENTAS!$A285,GESTIONES!$B:$B, BASE_CUENTAS!$C285,GESTIONES!$E:$E, "S")</f>
        <v>0</v>
      </c>
      <c r="M285">
        <f>COUNTIFS(GESTIONES!$A:$A, BASE_CUENTAS!$A285,GESTIONES!$B:$B, BASE_CUENTAS!$C285,GESTIONES!$E:$E, "N")</f>
        <v>3</v>
      </c>
      <c r="N285">
        <f>COUNTIFS(GESTIONES!$A:$A, BASE_CUENTAS!$A285,GESTIONES!$B:$B, BASE_CUENTAS!$C285,GESTIONES!$D:$D, "SMS")</f>
        <v>1</v>
      </c>
      <c r="O285">
        <f>SUMIFS(PAGOS!$D:$D,PAGOS!$A:$A, BASE_CUENTAS!$A285,PAGOS!$B:$B, BASE_CUENTAS!$C285)</f>
        <v>0</v>
      </c>
      <c r="P285" t="str">
        <f>IF(
VLOOKUP($C285,BASE_CIERRE_MES!$C:$G,5,FALSE)=0,
"Normalización",
IF(
VLOOKUP($C285,BASE_CIERRE_MES!$C:$G,5,FALSE)&lt;$H285,
"Recuperación",
IF(
VLOOKUP($C285,BASE_CIERRE_MES!$C:$G,5,FALSE)=$H285,
"Contención",
"Rodamiento"
)))</f>
        <v>Rodamiento</v>
      </c>
      <c r="Q285">
        <f t="shared" si="4"/>
        <v>0</v>
      </c>
    </row>
    <row r="286" spans="1:17" x14ac:dyDescent="0.25">
      <c r="A286">
        <v>8173659</v>
      </c>
      <c r="B286" t="s">
        <v>16</v>
      </c>
      <c r="C286">
        <v>26356232</v>
      </c>
      <c r="D286" t="s">
        <v>7</v>
      </c>
      <c r="E286">
        <v>22962426</v>
      </c>
      <c r="F286" s="2">
        <v>1432951</v>
      </c>
      <c r="G286" s="2">
        <v>687631</v>
      </c>
      <c r="H286">
        <v>60</v>
      </c>
      <c r="I286" s="1">
        <v>42480</v>
      </c>
      <c r="J286" t="s">
        <v>5</v>
      </c>
      <c r="K286">
        <f>COUNTIFS(GESTIONES!$A:$A, BASE_CUENTAS!$A286, GESTIONES!$B:$B, BASE_CUENTAS!$C286)</f>
        <v>3</v>
      </c>
      <c r="L286">
        <f>COUNTIFS(GESTIONES!$A:$A, BASE_CUENTAS!$A286,GESTIONES!$B:$B, BASE_CUENTAS!$C286,GESTIONES!$E:$E, "S")</f>
        <v>1</v>
      </c>
      <c r="M286">
        <f>COUNTIFS(GESTIONES!$A:$A, BASE_CUENTAS!$A286,GESTIONES!$B:$B, BASE_CUENTAS!$C286,GESTIONES!$E:$E, "N")</f>
        <v>2</v>
      </c>
      <c r="N286">
        <f>COUNTIFS(GESTIONES!$A:$A, BASE_CUENTAS!$A286,GESTIONES!$B:$B, BASE_CUENTAS!$C286,GESTIONES!$D:$D, "SMS")</f>
        <v>1</v>
      </c>
      <c r="O286">
        <f>SUMIFS(PAGOS!$D:$D,PAGOS!$A:$A, BASE_CUENTAS!$A286,PAGOS!$B:$B, BASE_CUENTAS!$C286)</f>
        <v>0</v>
      </c>
      <c r="P286" t="str">
        <f>IF(
VLOOKUP($C286,BASE_CIERRE_MES!$C:$G,5,FALSE)=0,
"Normalización",
IF(
VLOOKUP($C286,BASE_CIERRE_MES!$C:$G,5,FALSE)&lt;$H286,
"Recuperación",
IF(
VLOOKUP($C286,BASE_CIERRE_MES!$C:$G,5,FALSE)=$H286,
"Contención",
"Rodamiento"
)))</f>
        <v>Rodamiento</v>
      </c>
      <c r="Q286">
        <f t="shared" si="4"/>
        <v>0</v>
      </c>
    </row>
    <row r="287" spans="1:17" x14ac:dyDescent="0.25">
      <c r="A287">
        <v>8173751</v>
      </c>
      <c r="B287" t="s">
        <v>18</v>
      </c>
      <c r="C287">
        <v>23390348</v>
      </c>
      <c r="D287" t="s">
        <v>7</v>
      </c>
      <c r="E287">
        <v>873703</v>
      </c>
      <c r="F287" s="2">
        <v>873703</v>
      </c>
      <c r="G287" s="2">
        <v>5705</v>
      </c>
      <c r="H287">
        <v>30</v>
      </c>
      <c r="I287" s="1">
        <v>42508</v>
      </c>
      <c r="J287" t="s">
        <v>6</v>
      </c>
      <c r="K287">
        <f>COUNTIFS(GESTIONES!$A:$A, BASE_CUENTAS!$A287, GESTIONES!$B:$B, BASE_CUENTAS!$C287)</f>
        <v>3</v>
      </c>
      <c r="L287">
        <f>COUNTIFS(GESTIONES!$A:$A, BASE_CUENTAS!$A287,GESTIONES!$B:$B, BASE_CUENTAS!$C287,GESTIONES!$E:$E, "S")</f>
        <v>1</v>
      </c>
      <c r="M287">
        <f>COUNTIFS(GESTIONES!$A:$A, BASE_CUENTAS!$A287,GESTIONES!$B:$B, BASE_CUENTAS!$C287,GESTIONES!$E:$E, "N")</f>
        <v>2</v>
      </c>
      <c r="N287">
        <f>COUNTIFS(GESTIONES!$A:$A, BASE_CUENTAS!$A287,GESTIONES!$B:$B, BASE_CUENTAS!$C287,GESTIONES!$D:$D, "SMS")</f>
        <v>1</v>
      </c>
      <c r="O287">
        <f>SUMIFS(PAGOS!$D:$D,PAGOS!$A:$A, BASE_CUENTAS!$A287,PAGOS!$B:$B, BASE_CUENTAS!$C287)</f>
        <v>0</v>
      </c>
      <c r="P287" t="str">
        <f>IF(
VLOOKUP($C287,BASE_CIERRE_MES!$C:$G,5,FALSE)=0,
"Normalización",
IF(
VLOOKUP($C287,BASE_CIERRE_MES!$C:$G,5,FALSE)&lt;$H287,
"Recuperación",
IF(
VLOOKUP($C287,BASE_CIERRE_MES!$C:$G,5,FALSE)=$H287,
"Contención",
"Rodamiento"
)))</f>
        <v>Rodamiento</v>
      </c>
      <c r="Q287">
        <f t="shared" si="4"/>
        <v>0</v>
      </c>
    </row>
    <row r="288" spans="1:17" x14ac:dyDescent="0.25">
      <c r="A288">
        <v>8173877</v>
      </c>
      <c r="B288" t="s">
        <v>17</v>
      </c>
      <c r="C288">
        <v>23856527</v>
      </c>
      <c r="D288" t="s">
        <v>7</v>
      </c>
      <c r="E288">
        <v>10088882</v>
      </c>
      <c r="F288" s="2">
        <v>4381811</v>
      </c>
      <c r="G288" s="2">
        <v>4381811</v>
      </c>
      <c r="H288">
        <v>360</v>
      </c>
      <c r="I288" s="1">
        <v>42487</v>
      </c>
      <c r="J288" t="s">
        <v>5</v>
      </c>
      <c r="K288">
        <f>COUNTIFS(GESTIONES!$A:$A, BASE_CUENTAS!$A288, GESTIONES!$B:$B, BASE_CUENTAS!$C288)</f>
        <v>3</v>
      </c>
      <c r="L288">
        <f>COUNTIFS(GESTIONES!$A:$A, BASE_CUENTAS!$A288,GESTIONES!$B:$B, BASE_CUENTAS!$C288,GESTIONES!$E:$E, "S")</f>
        <v>1</v>
      </c>
      <c r="M288">
        <f>COUNTIFS(GESTIONES!$A:$A, BASE_CUENTAS!$A288,GESTIONES!$B:$B, BASE_CUENTAS!$C288,GESTIONES!$E:$E, "N")</f>
        <v>2</v>
      </c>
      <c r="N288">
        <f>COUNTIFS(GESTIONES!$A:$A, BASE_CUENTAS!$A288,GESTIONES!$B:$B, BASE_CUENTAS!$C288,GESTIONES!$D:$D, "SMS")</f>
        <v>0</v>
      </c>
      <c r="O288">
        <f>SUMIFS(PAGOS!$D:$D,PAGOS!$A:$A, BASE_CUENTAS!$A288,PAGOS!$B:$B, BASE_CUENTAS!$C288)</f>
        <v>0</v>
      </c>
      <c r="P288" t="str">
        <f>IF(
VLOOKUP($C288,BASE_CIERRE_MES!$C:$G,5,FALSE)=0,
"Normalización",
IF(
VLOOKUP($C288,BASE_CIERRE_MES!$C:$G,5,FALSE)&lt;$H288,
"Recuperación",
IF(
VLOOKUP($C288,BASE_CIERRE_MES!$C:$G,5,FALSE)=$H288,
"Contención",
"Rodamiento"
)))</f>
        <v>Rodamiento</v>
      </c>
      <c r="Q288">
        <f t="shared" si="4"/>
        <v>0</v>
      </c>
    </row>
    <row r="289" spans="1:17" x14ac:dyDescent="0.25">
      <c r="A289">
        <v>8173935</v>
      </c>
      <c r="B289" t="s">
        <v>18</v>
      </c>
      <c r="C289">
        <v>26913436</v>
      </c>
      <c r="D289" t="s">
        <v>7</v>
      </c>
      <c r="E289">
        <v>2249865</v>
      </c>
      <c r="F289" s="2">
        <v>2249865</v>
      </c>
      <c r="G289" s="2">
        <v>212808</v>
      </c>
      <c r="H289">
        <v>30</v>
      </c>
      <c r="I289" s="1">
        <v>42508</v>
      </c>
      <c r="J289" t="s">
        <v>6</v>
      </c>
      <c r="K289">
        <f>COUNTIFS(GESTIONES!$A:$A, BASE_CUENTAS!$A289, GESTIONES!$B:$B, BASE_CUENTAS!$C289)</f>
        <v>3</v>
      </c>
      <c r="L289">
        <f>COUNTIFS(GESTIONES!$A:$A, BASE_CUENTAS!$A289,GESTIONES!$B:$B, BASE_CUENTAS!$C289,GESTIONES!$E:$E, "S")</f>
        <v>2</v>
      </c>
      <c r="M289">
        <f>COUNTIFS(GESTIONES!$A:$A, BASE_CUENTAS!$A289,GESTIONES!$B:$B, BASE_CUENTAS!$C289,GESTIONES!$E:$E, "N")</f>
        <v>1</v>
      </c>
      <c r="N289">
        <f>COUNTIFS(GESTIONES!$A:$A, BASE_CUENTAS!$A289,GESTIONES!$B:$B, BASE_CUENTAS!$C289,GESTIONES!$D:$D, "SMS")</f>
        <v>1</v>
      </c>
      <c r="O289">
        <f>SUMIFS(PAGOS!$D:$D,PAGOS!$A:$A, BASE_CUENTAS!$A289,PAGOS!$B:$B, BASE_CUENTAS!$C289)</f>
        <v>0</v>
      </c>
      <c r="P289" t="str">
        <f>IF(
VLOOKUP($C289,BASE_CIERRE_MES!$C:$G,5,FALSE)=0,
"Normalización",
IF(
VLOOKUP($C289,BASE_CIERRE_MES!$C:$G,5,FALSE)&lt;$H289,
"Recuperación",
IF(
VLOOKUP($C289,BASE_CIERRE_MES!$C:$G,5,FALSE)=$H289,
"Contención",
"Rodamiento"
)))</f>
        <v>Rodamiento</v>
      </c>
      <c r="Q289">
        <f t="shared" si="4"/>
        <v>0</v>
      </c>
    </row>
    <row r="290" spans="1:17" x14ac:dyDescent="0.25">
      <c r="A290">
        <v>8173944</v>
      </c>
      <c r="B290" t="s">
        <v>18</v>
      </c>
      <c r="C290">
        <v>21732738</v>
      </c>
      <c r="D290" t="s">
        <v>7</v>
      </c>
      <c r="E290">
        <v>211662</v>
      </c>
      <c r="F290" s="2">
        <v>211662</v>
      </c>
      <c r="G290" s="2">
        <v>89563</v>
      </c>
      <c r="H290">
        <v>60</v>
      </c>
      <c r="I290" s="1">
        <v>42491</v>
      </c>
      <c r="J290" t="s">
        <v>6</v>
      </c>
      <c r="K290">
        <f>COUNTIFS(GESTIONES!$A:$A, BASE_CUENTAS!$A290, GESTIONES!$B:$B, BASE_CUENTAS!$C290)</f>
        <v>3</v>
      </c>
      <c r="L290">
        <f>COUNTIFS(GESTIONES!$A:$A, BASE_CUENTAS!$A290,GESTIONES!$B:$B, BASE_CUENTAS!$C290,GESTIONES!$E:$E, "S")</f>
        <v>1</v>
      </c>
      <c r="M290">
        <f>COUNTIFS(GESTIONES!$A:$A, BASE_CUENTAS!$A290,GESTIONES!$B:$B, BASE_CUENTAS!$C290,GESTIONES!$E:$E, "N")</f>
        <v>2</v>
      </c>
      <c r="N290">
        <f>COUNTIFS(GESTIONES!$A:$A, BASE_CUENTAS!$A290,GESTIONES!$B:$B, BASE_CUENTAS!$C290,GESTIONES!$D:$D, "SMS")</f>
        <v>0</v>
      </c>
      <c r="O290">
        <f>SUMIFS(PAGOS!$D:$D,PAGOS!$A:$A, BASE_CUENTAS!$A290,PAGOS!$B:$B, BASE_CUENTAS!$C290)</f>
        <v>0</v>
      </c>
      <c r="P290" t="str">
        <f>IF(
VLOOKUP($C290,BASE_CIERRE_MES!$C:$G,5,FALSE)=0,
"Normalización",
IF(
VLOOKUP($C290,BASE_CIERRE_MES!$C:$G,5,FALSE)&lt;$H290,
"Recuperación",
IF(
VLOOKUP($C290,BASE_CIERRE_MES!$C:$G,5,FALSE)=$H290,
"Contención",
"Rodamiento"
)))</f>
        <v>Rodamiento</v>
      </c>
      <c r="Q290">
        <f t="shared" si="4"/>
        <v>0</v>
      </c>
    </row>
    <row r="291" spans="1:17" x14ac:dyDescent="0.25">
      <c r="A291">
        <v>8173948</v>
      </c>
      <c r="B291" t="s">
        <v>18</v>
      </c>
      <c r="C291">
        <v>12213655</v>
      </c>
      <c r="D291" t="s">
        <v>7</v>
      </c>
      <c r="E291">
        <v>57228</v>
      </c>
      <c r="F291" s="2">
        <v>57228</v>
      </c>
      <c r="G291" s="2">
        <v>8578</v>
      </c>
      <c r="H291">
        <v>30</v>
      </c>
      <c r="I291" s="1">
        <v>42508</v>
      </c>
      <c r="J291" t="s">
        <v>6</v>
      </c>
      <c r="K291">
        <f>COUNTIFS(GESTIONES!$A:$A, BASE_CUENTAS!$A291, GESTIONES!$B:$B, BASE_CUENTAS!$C291)</f>
        <v>3</v>
      </c>
      <c r="L291">
        <f>COUNTIFS(GESTIONES!$A:$A, BASE_CUENTAS!$A291,GESTIONES!$B:$B, BASE_CUENTAS!$C291,GESTIONES!$E:$E, "S")</f>
        <v>0</v>
      </c>
      <c r="M291">
        <f>COUNTIFS(GESTIONES!$A:$A, BASE_CUENTAS!$A291,GESTIONES!$B:$B, BASE_CUENTAS!$C291,GESTIONES!$E:$E, "N")</f>
        <v>3</v>
      </c>
      <c r="N291">
        <f>COUNTIFS(GESTIONES!$A:$A, BASE_CUENTAS!$A291,GESTIONES!$B:$B, BASE_CUENTAS!$C291,GESTIONES!$D:$D, "SMS")</f>
        <v>1</v>
      </c>
      <c r="O291">
        <f>SUMIFS(PAGOS!$D:$D,PAGOS!$A:$A, BASE_CUENTAS!$A291,PAGOS!$B:$B, BASE_CUENTAS!$C291)</f>
        <v>0</v>
      </c>
      <c r="P291" t="str">
        <f>IF(
VLOOKUP($C291,BASE_CIERRE_MES!$C:$G,5,FALSE)=0,
"Normalización",
IF(
VLOOKUP($C291,BASE_CIERRE_MES!$C:$G,5,FALSE)&lt;$H291,
"Recuperación",
IF(
VLOOKUP($C291,BASE_CIERRE_MES!$C:$G,5,FALSE)=$H291,
"Contención",
"Rodamiento"
)))</f>
        <v>Rodamiento</v>
      </c>
      <c r="Q291">
        <f t="shared" si="4"/>
        <v>0</v>
      </c>
    </row>
    <row r="292" spans="1:17" x14ac:dyDescent="0.25">
      <c r="A292">
        <v>8174057</v>
      </c>
      <c r="B292" t="s">
        <v>16</v>
      </c>
      <c r="C292">
        <v>25232710</v>
      </c>
      <c r="D292" t="s">
        <v>7</v>
      </c>
      <c r="E292">
        <v>28330895</v>
      </c>
      <c r="F292" s="2">
        <v>20221250</v>
      </c>
      <c r="G292" s="2">
        <v>1935578</v>
      </c>
      <c r="H292">
        <v>30</v>
      </c>
      <c r="I292" s="1">
        <v>42508</v>
      </c>
      <c r="J292" t="s">
        <v>6</v>
      </c>
      <c r="K292">
        <f>COUNTIFS(GESTIONES!$A:$A, BASE_CUENTAS!$A292, GESTIONES!$B:$B, BASE_CUENTAS!$C292)</f>
        <v>3</v>
      </c>
      <c r="L292">
        <f>COUNTIFS(GESTIONES!$A:$A, BASE_CUENTAS!$A292,GESTIONES!$B:$B, BASE_CUENTAS!$C292,GESTIONES!$E:$E, "S")</f>
        <v>1</v>
      </c>
      <c r="M292">
        <f>COUNTIFS(GESTIONES!$A:$A, BASE_CUENTAS!$A292,GESTIONES!$B:$B, BASE_CUENTAS!$C292,GESTIONES!$E:$E, "N")</f>
        <v>2</v>
      </c>
      <c r="N292">
        <f>COUNTIFS(GESTIONES!$A:$A, BASE_CUENTAS!$A292,GESTIONES!$B:$B, BASE_CUENTAS!$C292,GESTIONES!$D:$D, "SMS")</f>
        <v>2</v>
      </c>
      <c r="O292">
        <f>SUMIFS(PAGOS!$D:$D,PAGOS!$A:$A, BASE_CUENTAS!$A292,PAGOS!$B:$B, BASE_CUENTAS!$C292)</f>
        <v>967789</v>
      </c>
      <c r="P292" t="str">
        <f>IF(
VLOOKUP($C292,BASE_CIERRE_MES!$C:$G,5,FALSE)=0,
"Normalización",
IF(
VLOOKUP($C292,BASE_CIERRE_MES!$C:$G,5,FALSE)&lt;$H292,
"Recuperación",
IF(
VLOOKUP($C292,BASE_CIERRE_MES!$C:$G,5,FALSE)=$H292,
"Contención",
"Rodamiento"
)))</f>
        <v>Recuperación</v>
      </c>
      <c r="Q292">
        <f t="shared" si="4"/>
        <v>4.7859998763676824E-2</v>
      </c>
    </row>
    <row r="293" spans="1:17" x14ac:dyDescent="0.25">
      <c r="A293">
        <v>8174057</v>
      </c>
      <c r="B293" t="s">
        <v>16</v>
      </c>
      <c r="C293">
        <v>26383422</v>
      </c>
      <c r="D293" t="s">
        <v>12</v>
      </c>
      <c r="E293">
        <v>28330895</v>
      </c>
      <c r="F293" s="2">
        <v>4854544</v>
      </c>
      <c r="G293" s="2">
        <v>462851</v>
      </c>
      <c r="H293">
        <v>54</v>
      </c>
      <c r="I293" s="1">
        <v>42481</v>
      </c>
      <c r="J293" t="s">
        <v>6</v>
      </c>
      <c r="K293">
        <f>COUNTIFS(GESTIONES!$A:$A, BASE_CUENTAS!$A293, GESTIONES!$B:$B, BASE_CUENTAS!$C293)</f>
        <v>3</v>
      </c>
      <c r="L293">
        <f>COUNTIFS(GESTIONES!$A:$A, BASE_CUENTAS!$A293,GESTIONES!$B:$B, BASE_CUENTAS!$C293,GESTIONES!$E:$E, "S")</f>
        <v>1</v>
      </c>
      <c r="M293">
        <f>COUNTIFS(GESTIONES!$A:$A, BASE_CUENTAS!$A293,GESTIONES!$B:$B, BASE_CUENTAS!$C293,GESTIONES!$E:$E, "N")</f>
        <v>2</v>
      </c>
      <c r="N293">
        <f>COUNTIFS(GESTIONES!$A:$A, BASE_CUENTAS!$A293,GESTIONES!$B:$B, BASE_CUENTAS!$C293,GESTIONES!$D:$D, "SMS")</f>
        <v>0</v>
      </c>
      <c r="O293">
        <f>SUMIFS(PAGOS!$D:$D,PAGOS!$A:$A, BASE_CUENTAS!$A293,PAGOS!$B:$B, BASE_CUENTAS!$C293)</f>
        <v>0</v>
      </c>
      <c r="P293" t="str">
        <f>IF(
VLOOKUP($C293,BASE_CIERRE_MES!$C:$G,5,FALSE)=0,
"Normalización",
IF(
VLOOKUP($C293,BASE_CIERRE_MES!$C:$G,5,FALSE)&lt;$H293,
"Recuperación",
IF(
VLOOKUP($C293,BASE_CIERRE_MES!$C:$G,5,FALSE)=$H293,
"Contención",
"Rodamiento"
)))</f>
        <v>Rodamiento</v>
      </c>
      <c r="Q293">
        <f t="shared" si="4"/>
        <v>0</v>
      </c>
    </row>
    <row r="294" spans="1:17" x14ac:dyDescent="0.25">
      <c r="A294">
        <v>8174057</v>
      </c>
      <c r="B294" t="s">
        <v>16</v>
      </c>
      <c r="C294">
        <v>26909240</v>
      </c>
      <c r="D294" t="s">
        <v>12</v>
      </c>
      <c r="E294">
        <v>28330895</v>
      </c>
      <c r="F294" s="2">
        <v>176853</v>
      </c>
      <c r="G294" s="2">
        <v>60413</v>
      </c>
      <c r="H294">
        <v>54</v>
      </c>
      <c r="I294" s="1">
        <v>42481</v>
      </c>
      <c r="J294" t="s">
        <v>6</v>
      </c>
      <c r="K294">
        <f>COUNTIFS(GESTIONES!$A:$A, BASE_CUENTAS!$A294, GESTIONES!$B:$B, BASE_CUENTAS!$C294)</f>
        <v>3</v>
      </c>
      <c r="L294">
        <f>COUNTIFS(GESTIONES!$A:$A, BASE_CUENTAS!$A294,GESTIONES!$B:$B, BASE_CUENTAS!$C294,GESTIONES!$E:$E, "S")</f>
        <v>1</v>
      </c>
      <c r="M294">
        <f>COUNTIFS(GESTIONES!$A:$A, BASE_CUENTAS!$A294,GESTIONES!$B:$B, BASE_CUENTAS!$C294,GESTIONES!$E:$E, "N")</f>
        <v>2</v>
      </c>
      <c r="N294">
        <f>COUNTIFS(GESTIONES!$A:$A, BASE_CUENTAS!$A294,GESTIONES!$B:$B, BASE_CUENTAS!$C294,GESTIONES!$D:$D, "SMS")</f>
        <v>1</v>
      </c>
      <c r="O294">
        <f>SUMIFS(PAGOS!$D:$D,PAGOS!$A:$A, BASE_CUENTAS!$A294,PAGOS!$B:$B, BASE_CUENTAS!$C294)</f>
        <v>0</v>
      </c>
      <c r="P294" t="str">
        <f>IF(
VLOOKUP($C294,BASE_CIERRE_MES!$C:$G,5,FALSE)=0,
"Normalización",
IF(
VLOOKUP($C294,BASE_CIERRE_MES!$C:$G,5,FALSE)&lt;$H294,
"Recuperación",
IF(
VLOOKUP($C294,BASE_CIERRE_MES!$C:$G,5,FALSE)=$H294,
"Contención",
"Rodamiento"
)))</f>
        <v>Rodamiento</v>
      </c>
      <c r="Q294">
        <f t="shared" si="4"/>
        <v>0</v>
      </c>
    </row>
    <row r="295" spans="1:17" x14ac:dyDescent="0.25">
      <c r="A295">
        <v>8174057</v>
      </c>
      <c r="B295" t="s">
        <v>16</v>
      </c>
      <c r="C295">
        <v>28215222</v>
      </c>
      <c r="D295" t="s">
        <v>12</v>
      </c>
      <c r="E295">
        <v>28330895</v>
      </c>
      <c r="F295" s="2">
        <v>735265</v>
      </c>
      <c r="G295" s="2">
        <v>38822</v>
      </c>
      <c r="H295">
        <v>24</v>
      </c>
      <c r="I295" s="1">
        <v>42507</v>
      </c>
      <c r="J295" t="s">
        <v>6</v>
      </c>
      <c r="K295">
        <f>COUNTIFS(GESTIONES!$A:$A, BASE_CUENTAS!$A295, GESTIONES!$B:$B, BASE_CUENTAS!$C295)</f>
        <v>3</v>
      </c>
      <c r="L295">
        <f>COUNTIFS(GESTIONES!$A:$A, BASE_CUENTAS!$A295,GESTIONES!$B:$B, BASE_CUENTAS!$C295,GESTIONES!$E:$E, "S")</f>
        <v>1</v>
      </c>
      <c r="M295">
        <f>COUNTIFS(GESTIONES!$A:$A, BASE_CUENTAS!$A295,GESTIONES!$B:$B, BASE_CUENTAS!$C295,GESTIONES!$E:$E, "N")</f>
        <v>2</v>
      </c>
      <c r="N295">
        <f>COUNTIFS(GESTIONES!$A:$A, BASE_CUENTAS!$A295,GESTIONES!$B:$B, BASE_CUENTAS!$C295,GESTIONES!$D:$D, "SMS")</f>
        <v>0</v>
      </c>
      <c r="O295">
        <f>SUMIFS(PAGOS!$D:$D,PAGOS!$A:$A, BASE_CUENTAS!$A295,PAGOS!$B:$B, BASE_CUENTAS!$C295)</f>
        <v>0</v>
      </c>
      <c r="P295" t="str">
        <f>IF(
VLOOKUP($C295,BASE_CIERRE_MES!$C:$G,5,FALSE)=0,
"Normalización",
IF(
VLOOKUP($C295,BASE_CIERRE_MES!$C:$G,5,FALSE)&lt;$H295,
"Recuperación",
IF(
VLOOKUP($C295,BASE_CIERRE_MES!$C:$G,5,FALSE)=$H295,
"Contención",
"Rodamiento"
)))</f>
        <v>Rodamiento</v>
      </c>
      <c r="Q295">
        <f t="shared" si="4"/>
        <v>0</v>
      </c>
    </row>
    <row r="296" spans="1:17" x14ac:dyDescent="0.25">
      <c r="A296">
        <v>8174059</v>
      </c>
      <c r="B296" t="s">
        <v>17</v>
      </c>
      <c r="C296">
        <v>22099246</v>
      </c>
      <c r="D296" t="s">
        <v>7</v>
      </c>
      <c r="E296">
        <v>2997089</v>
      </c>
      <c r="F296" s="2">
        <v>389510</v>
      </c>
      <c r="G296" s="2">
        <v>74041</v>
      </c>
      <c r="H296">
        <v>60</v>
      </c>
      <c r="I296" s="1">
        <v>42508</v>
      </c>
      <c r="J296" t="s">
        <v>5</v>
      </c>
      <c r="K296">
        <f>COUNTIFS(GESTIONES!$A:$A, BASE_CUENTAS!$A296, GESTIONES!$B:$B, BASE_CUENTAS!$C296)</f>
        <v>3</v>
      </c>
      <c r="L296">
        <f>COUNTIFS(GESTIONES!$A:$A, BASE_CUENTAS!$A296,GESTIONES!$B:$B, BASE_CUENTAS!$C296,GESTIONES!$E:$E, "S")</f>
        <v>0</v>
      </c>
      <c r="M296">
        <f>COUNTIFS(GESTIONES!$A:$A, BASE_CUENTAS!$A296,GESTIONES!$B:$B, BASE_CUENTAS!$C296,GESTIONES!$E:$E, "N")</f>
        <v>3</v>
      </c>
      <c r="N296">
        <f>COUNTIFS(GESTIONES!$A:$A, BASE_CUENTAS!$A296,GESTIONES!$B:$B, BASE_CUENTAS!$C296,GESTIONES!$D:$D, "SMS")</f>
        <v>1</v>
      </c>
      <c r="O296">
        <f>SUMIFS(PAGOS!$D:$D,PAGOS!$A:$A, BASE_CUENTAS!$A296,PAGOS!$B:$B, BASE_CUENTAS!$C296)</f>
        <v>74041</v>
      </c>
      <c r="P296" t="str">
        <f>IF(
VLOOKUP($C296,BASE_CIERRE_MES!$C:$G,5,FALSE)=0,
"Normalización",
IF(
VLOOKUP($C296,BASE_CIERRE_MES!$C:$G,5,FALSE)&lt;$H296,
"Recuperación",
IF(
VLOOKUP($C296,BASE_CIERRE_MES!$C:$G,5,FALSE)=$H296,
"Contención",
"Rodamiento"
)))</f>
        <v>Normalización</v>
      </c>
      <c r="Q296">
        <f t="shared" si="4"/>
        <v>0.19008754589099125</v>
      </c>
    </row>
    <row r="297" spans="1:17" x14ac:dyDescent="0.25">
      <c r="A297">
        <v>8174059</v>
      </c>
      <c r="B297" t="s">
        <v>17</v>
      </c>
      <c r="C297">
        <v>23427410</v>
      </c>
      <c r="D297" t="s">
        <v>7</v>
      </c>
      <c r="E297">
        <v>2997089</v>
      </c>
      <c r="F297" s="2">
        <v>2607579</v>
      </c>
      <c r="G297" s="2">
        <v>2607579</v>
      </c>
      <c r="H297">
        <v>120</v>
      </c>
      <c r="I297" s="1">
        <v>42508</v>
      </c>
      <c r="J297" t="s">
        <v>5</v>
      </c>
      <c r="K297">
        <f>COUNTIFS(GESTIONES!$A:$A, BASE_CUENTAS!$A297, GESTIONES!$B:$B, BASE_CUENTAS!$C297)</f>
        <v>3</v>
      </c>
      <c r="L297">
        <f>COUNTIFS(GESTIONES!$A:$A, BASE_CUENTAS!$A297,GESTIONES!$B:$B, BASE_CUENTAS!$C297,GESTIONES!$E:$E, "S")</f>
        <v>1</v>
      </c>
      <c r="M297">
        <f>COUNTIFS(GESTIONES!$A:$A, BASE_CUENTAS!$A297,GESTIONES!$B:$B, BASE_CUENTAS!$C297,GESTIONES!$E:$E, "N")</f>
        <v>2</v>
      </c>
      <c r="N297">
        <f>COUNTIFS(GESTIONES!$A:$A, BASE_CUENTAS!$A297,GESTIONES!$B:$B, BASE_CUENTAS!$C297,GESTIONES!$D:$D, "SMS")</f>
        <v>2</v>
      </c>
      <c r="O297">
        <f>SUMIFS(PAGOS!$D:$D,PAGOS!$A:$A, BASE_CUENTAS!$A297,PAGOS!$B:$B, BASE_CUENTAS!$C297)</f>
        <v>0</v>
      </c>
      <c r="P297" t="str">
        <f>IF(
VLOOKUP($C297,BASE_CIERRE_MES!$C:$G,5,FALSE)=0,
"Normalización",
IF(
VLOOKUP($C297,BASE_CIERRE_MES!$C:$G,5,FALSE)&lt;$H297,
"Recuperación",
IF(
VLOOKUP($C297,BASE_CIERRE_MES!$C:$G,5,FALSE)=$H297,
"Contención",
"Rodamiento"
)))</f>
        <v>Recuperación</v>
      </c>
      <c r="Q297">
        <f t="shared" si="4"/>
        <v>0</v>
      </c>
    </row>
    <row r="298" spans="1:17" x14ac:dyDescent="0.25">
      <c r="A298">
        <v>8174167</v>
      </c>
      <c r="B298" t="s">
        <v>18</v>
      </c>
      <c r="C298">
        <v>22474920</v>
      </c>
      <c r="D298" t="s">
        <v>7</v>
      </c>
      <c r="E298">
        <v>4085316</v>
      </c>
      <c r="F298" s="2">
        <v>4085316</v>
      </c>
      <c r="G298" s="2">
        <v>451375</v>
      </c>
      <c r="H298">
        <v>30</v>
      </c>
      <c r="I298" s="1">
        <v>42508</v>
      </c>
      <c r="J298" t="s">
        <v>6</v>
      </c>
      <c r="K298">
        <f>COUNTIFS(GESTIONES!$A:$A, BASE_CUENTAS!$A298, GESTIONES!$B:$B, BASE_CUENTAS!$C298)</f>
        <v>3</v>
      </c>
      <c r="L298">
        <f>COUNTIFS(GESTIONES!$A:$A, BASE_CUENTAS!$A298,GESTIONES!$B:$B, BASE_CUENTAS!$C298,GESTIONES!$E:$E, "S")</f>
        <v>1</v>
      </c>
      <c r="M298">
        <f>COUNTIFS(GESTIONES!$A:$A, BASE_CUENTAS!$A298,GESTIONES!$B:$B, BASE_CUENTAS!$C298,GESTIONES!$E:$E, "N")</f>
        <v>2</v>
      </c>
      <c r="N298">
        <f>COUNTIFS(GESTIONES!$A:$A, BASE_CUENTAS!$A298,GESTIONES!$B:$B, BASE_CUENTAS!$C298,GESTIONES!$D:$D, "SMS")</f>
        <v>0</v>
      </c>
      <c r="O298">
        <f>SUMIFS(PAGOS!$D:$D,PAGOS!$A:$A, BASE_CUENTAS!$A298,PAGOS!$B:$B, BASE_CUENTAS!$C298)</f>
        <v>0</v>
      </c>
      <c r="P298" t="str">
        <f>IF(
VLOOKUP($C298,BASE_CIERRE_MES!$C:$G,5,FALSE)=0,
"Normalización",
IF(
VLOOKUP($C298,BASE_CIERRE_MES!$C:$G,5,FALSE)&lt;$H298,
"Recuperación",
IF(
VLOOKUP($C298,BASE_CIERRE_MES!$C:$G,5,FALSE)=$H298,
"Contención",
"Rodamiento"
)))</f>
        <v>Rodamiento</v>
      </c>
      <c r="Q298">
        <f t="shared" si="4"/>
        <v>0</v>
      </c>
    </row>
    <row r="299" spans="1:17" x14ac:dyDescent="0.25">
      <c r="A299">
        <v>8174228</v>
      </c>
      <c r="B299" t="s">
        <v>17</v>
      </c>
      <c r="C299">
        <v>25119402</v>
      </c>
      <c r="D299" t="s">
        <v>7</v>
      </c>
      <c r="E299">
        <v>14585454</v>
      </c>
      <c r="F299" s="2">
        <v>5223502</v>
      </c>
      <c r="G299" s="2">
        <v>300425</v>
      </c>
      <c r="H299">
        <v>30</v>
      </c>
      <c r="I299" s="1">
        <v>42504</v>
      </c>
      <c r="J299" t="s">
        <v>5</v>
      </c>
      <c r="K299">
        <f>COUNTIFS(GESTIONES!$A:$A, BASE_CUENTAS!$A299, GESTIONES!$B:$B, BASE_CUENTAS!$C299)</f>
        <v>3</v>
      </c>
      <c r="L299">
        <f>COUNTIFS(GESTIONES!$A:$A, BASE_CUENTAS!$A299,GESTIONES!$B:$B, BASE_CUENTAS!$C299,GESTIONES!$E:$E, "S")</f>
        <v>1</v>
      </c>
      <c r="M299">
        <f>COUNTIFS(GESTIONES!$A:$A, BASE_CUENTAS!$A299,GESTIONES!$B:$B, BASE_CUENTAS!$C299,GESTIONES!$E:$E, "N")</f>
        <v>2</v>
      </c>
      <c r="N299">
        <f>COUNTIFS(GESTIONES!$A:$A, BASE_CUENTAS!$A299,GESTIONES!$B:$B, BASE_CUENTAS!$C299,GESTIONES!$D:$D, "SMS")</f>
        <v>1</v>
      </c>
      <c r="O299">
        <f>SUMIFS(PAGOS!$D:$D,PAGOS!$A:$A, BASE_CUENTAS!$A299,PAGOS!$B:$B, BASE_CUENTAS!$C299)</f>
        <v>0</v>
      </c>
      <c r="P299" t="str">
        <f>IF(
VLOOKUP($C299,BASE_CIERRE_MES!$C:$G,5,FALSE)=0,
"Normalización",
IF(
VLOOKUP($C299,BASE_CIERRE_MES!$C:$G,5,FALSE)&lt;$H299,
"Recuperación",
IF(
VLOOKUP($C299,BASE_CIERRE_MES!$C:$G,5,FALSE)=$H299,
"Contención",
"Rodamiento"
)))</f>
        <v>Rodamiento</v>
      </c>
      <c r="Q299">
        <f t="shared" si="4"/>
        <v>0</v>
      </c>
    </row>
    <row r="300" spans="1:17" x14ac:dyDescent="0.25">
      <c r="A300">
        <v>8174723</v>
      </c>
      <c r="B300" t="s">
        <v>17</v>
      </c>
      <c r="C300">
        <v>20516171</v>
      </c>
      <c r="D300" t="s">
        <v>7</v>
      </c>
      <c r="E300">
        <v>9012644</v>
      </c>
      <c r="F300" s="2">
        <v>1862360</v>
      </c>
      <c r="G300" s="2">
        <v>1862360</v>
      </c>
      <c r="H300">
        <v>270</v>
      </c>
      <c r="I300" s="1">
        <v>42487</v>
      </c>
      <c r="J300" t="s">
        <v>5</v>
      </c>
      <c r="K300">
        <f>COUNTIFS(GESTIONES!$A:$A, BASE_CUENTAS!$A300, GESTIONES!$B:$B, BASE_CUENTAS!$C300)</f>
        <v>3</v>
      </c>
      <c r="L300">
        <f>COUNTIFS(GESTIONES!$A:$A, BASE_CUENTAS!$A300,GESTIONES!$B:$B, BASE_CUENTAS!$C300,GESTIONES!$E:$E, "S")</f>
        <v>1</v>
      </c>
      <c r="M300">
        <f>COUNTIFS(GESTIONES!$A:$A, BASE_CUENTAS!$A300,GESTIONES!$B:$B, BASE_CUENTAS!$C300,GESTIONES!$E:$E, "N")</f>
        <v>2</v>
      </c>
      <c r="N300">
        <f>COUNTIFS(GESTIONES!$A:$A, BASE_CUENTAS!$A300,GESTIONES!$B:$B, BASE_CUENTAS!$C300,GESTIONES!$D:$D, "SMS")</f>
        <v>0</v>
      </c>
      <c r="O300">
        <f>SUMIFS(PAGOS!$D:$D,PAGOS!$A:$A, BASE_CUENTAS!$A300,PAGOS!$B:$B, BASE_CUENTAS!$C300)</f>
        <v>1862360</v>
      </c>
      <c r="P300" t="str">
        <f>IF(
VLOOKUP($C300,BASE_CIERRE_MES!$C:$G,5,FALSE)=0,
"Normalización",
IF(
VLOOKUP($C300,BASE_CIERRE_MES!$C:$G,5,FALSE)&lt;$H300,
"Recuperación",
IF(
VLOOKUP($C300,BASE_CIERRE_MES!$C:$G,5,FALSE)=$H300,
"Contención",
"Rodamiento"
)))</f>
        <v>Normalización</v>
      </c>
      <c r="Q300">
        <f t="shared" si="4"/>
        <v>1</v>
      </c>
    </row>
    <row r="301" spans="1:17" x14ac:dyDescent="0.25">
      <c r="A301">
        <v>8174723</v>
      </c>
      <c r="B301" t="s">
        <v>17</v>
      </c>
      <c r="C301">
        <v>22647176</v>
      </c>
      <c r="D301" t="s">
        <v>11</v>
      </c>
      <c r="E301">
        <v>9012644</v>
      </c>
      <c r="F301" s="2">
        <v>7150283</v>
      </c>
      <c r="G301" s="2">
        <v>1619568</v>
      </c>
      <c r="H301">
        <v>204</v>
      </c>
      <c r="I301" s="1">
        <v>42446</v>
      </c>
      <c r="J301" t="s">
        <v>5</v>
      </c>
      <c r="K301">
        <f>COUNTIFS(GESTIONES!$A:$A, BASE_CUENTAS!$A301, GESTIONES!$B:$B, BASE_CUENTAS!$C301)</f>
        <v>3</v>
      </c>
      <c r="L301">
        <f>COUNTIFS(GESTIONES!$A:$A, BASE_CUENTAS!$A301,GESTIONES!$B:$B, BASE_CUENTAS!$C301,GESTIONES!$E:$E, "S")</f>
        <v>0</v>
      </c>
      <c r="M301">
        <f>COUNTIFS(GESTIONES!$A:$A, BASE_CUENTAS!$A301,GESTIONES!$B:$B, BASE_CUENTAS!$C301,GESTIONES!$E:$E, "N")</f>
        <v>3</v>
      </c>
      <c r="N301">
        <f>COUNTIFS(GESTIONES!$A:$A, BASE_CUENTAS!$A301,GESTIONES!$B:$B, BASE_CUENTAS!$C301,GESTIONES!$D:$D, "SMS")</f>
        <v>1</v>
      </c>
      <c r="O301">
        <f>SUMIFS(PAGOS!$D:$D,PAGOS!$A:$A, BASE_CUENTAS!$A301,PAGOS!$B:$B, BASE_CUENTAS!$C301)</f>
        <v>0</v>
      </c>
      <c r="P301" t="str">
        <f>IF(
VLOOKUP($C301,BASE_CIERRE_MES!$C:$G,5,FALSE)=0,
"Normalización",
IF(
VLOOKUP($C301,BASE_CIERRE_MES!$C:$G,5,FALSE)&lt;$H301,
"Recuperación",
IF(
VLOOKUP($C301,BASE_CIERRE_MES!$C:$G,5,FALSE)=$H301,
"Contención",
"Rodamiento"
)))</f>
        <v>Recuperación</v>
      </c>
      <c r="Q301">
        <f t="shared" si="4"/>
        <v>0</v>
      </c>
    </row>
    <row r="302" spans="1:17" x14ac:dyDescent="0.25">
      <c r="A302">
        <v>8174927</v>
      </c>
      <c r="B302" t="s">
        <v>18</v>
      </c>
      <c r="C302">
        <v>25357564</v>
      </c>
      <c r="D302" t="s">
        <v>7</v>
      </c>
      <c r="E302">
        <v>58864</v>
      </c>
      <c r="F302" s="2">
        <v>58864</v>
      </c>
      <c r="G302" s="2">
        <v>19716</v>
      </c>
      <c r="H302">
        <v>30</v>
      </c>
      <c r="I302" s="1">
        <v>42521</v>
      </c>
      <c r="J302" t="s">
        <v>4</v>
      </c>
      <c r="K302">
        <f>COUNTIFS(GESTIONES!$A:$A, BASE_CUENTAS!$A302, GESTIONES!$B:$B, BASE_CUENTAS!$C302)</f>
        <v>3</v>
      </c>
      <c r="L302">
        <f>COUNTIFS(GESTIONES!$A:$A, BASE_CUENTAS!$A302,GESTIONES!$B:$B, BASE_CUENTAS!$C302,GESTIONES!$E:$E, "S")</f>
        <v>1</v>
      </c>
      <c r="M302">
        <f>COUNTIFS(GESTIONES!$A:$A, BASE_CUENTAS!$A302,GESTIONES!$B:$B, BASE_CUENTAS!$C302,GESTIONES!$E:$E, "N")</f>
        <v>2</v>
      </c>
      <c r="N302">
        <f>COUNTIFS(GESTIONES!$A:$A, BASE_CUENTAS!$A302,GESTIONES!$B:$B, BASE_CUENTAS!$C302,GESTIONES!$D:$D, "SMS")</f>
        <v>2</v>
      </c>
      <c r="O302">
        <f>SUMIFS(PAGOS!$D:$D,PAGOS!$A:$A, BASE_CUENTAS!$A302,PAGOS!$B:$B, BASE_CUENTAS!$C302)</f>
        <v>0</v>
      </c>
      <c r="P302" t="str">
        <f>IF(
VLOOKUP($C302,BASE_CIERRE_MES!$C:$G,5,FALSE)=0,
"Normalización",
IF(
VLOOKUP($C302,BASE_CIERRE_MES!$C:$G,5,FALSE)&lt;$H302,
"Recuperación",
IF(
VLOOKUP($C302,BASE_CIERRE_MES!$C:$G,5,FALSE)=$H302,
"Contención",
"Rodamiento"
)))</f>
        <v>Rodamiento</v>
      </c>
      <c r="Q302">
        <f t="shared" si="4"/>
        <v>0</v>
      </c>
    </row>
    <row r="303" spans="1:17" x14ac:dyDescent="0.25">
      <c r="A303">
        <v>8175003</v>
      </c>
      <c r="B303" t="s">
        <v>18</v>
      </c>
      <c r="C303">
        <v>11405813</v>
      </c>
      <c r="D303" t="s">
        <v>7</v>
      </c>
      <c r="E303">
        <v>2606591</v>
      </c>
      <c r="F303" s="2">
        <v>926229</v>
      </c>
      <c r="G303" s="2">
        <v>134045</v>
      </c>
      <c r="H303">
        <v>30</v>
      </c>
      <c r="I303" s="1">
        <v>42521</v>
      </c>
      <c r="J303" t="s">
        <v>4</v>
      </c>
      <c r="K303">
        <f>COUNTIFS(GESTIONES!$A:$A, BASE_CUENTAS!$A303, GESTIONES!$B:$B, BASE_CUENTAS!$C303)</f>
        <v>3</v>
      </c>
      <c r="L303">
        <f>COUNTIFS(GESTIONES!$A:$A, BASE_CUENTAS!$A303,GESTIONES!$B:$B, BASE_CUENTAS!$C303,GESTIONES!$E:$E, "S")</f>
        <v>1</v>
      </c>
      <c r="M303">
        <f>COUNTIFS(GESTIONES!$A:$A, BASE_CUENTAS!$A303,GESTIONES!$B:$B, BASE_CUENTAS!$C303,GESTIONES!$E:$E, "N")</f>
        <v>2</v>
      </c>
      <c r="N303">
        <f>COUNTIFS(GESTIONES!$A:$A, BASE_CUENTAS!$A303,GESTIONES!$B:$B, BASE_CUENTAS!$C303,GESTIONES!$D:$D, "SMS")</f>
        <v>0</v>
      </c>
      <c r="O303">
        <f>SUMIFS(PAGOS!$D:$D,PAGOS!$A:$A, BASE_CUENTAS!$A303,PAGOS!$B:$B, BASE_CUENTAS!$C303)</f>
        <v>134045</v>
      </c>
      <c r="P303" t="str">
        <f>IF(
VLOOKUP($C303,BASE_CIERRE_MES!$C:$G,5,FALSE)=0,
"Normalización",
IF(
VLOOKUP($C303,BASE_CIERRE_MES!$C:$G,5,FALSE)&lt;$H303,
"Recuperación",
IF(
VLOOKUP($C303,BASE_CIERRE_MES!$C:$G,5,FALSE)=$H303,
"Contención",
"Rodamiento"
)))</f>
        <v>Normalización</v>
      </c>
      <c r="Q303">
        <f t="shared" si="4"/>
        <v>0.14472122984704647</v>
      </c>
    </row>
    <row r="304" spans="1:17" x14ac:dyDescent="0.25">
      <c r="A304">
        <v>8175087</v>
      </c>
      <c r="B304" t="s">
        <v>18</v>
      </c>
      <c r="C304">
        <v>26656234</v>
      </c>
      <c r="D304" t="s">
        <v>7</v>
      </c>
      <c r="E304">
        <v>2177151</v>
      </c>
      <c r="F304" s="2">
        <v>2177151</v>
      </c>
      <c r="G304" s="2">
        <v>2177151</v>
      </c>
      <c r="H304">
        <v>120</v>
      </c>
      <c r="I304" s="1">
        <v>42508</v>
      </c>
      <c r="J304" t="s">
        <v>5</v>
      </c>
      <c r="K304">
        <f>COUNTIFS(GESTIONES!$A:$A, BASE_CUENTAS!$A304, GESTIONES!$B:$B, BASE_CUENTAS!$C304)</f>
        <v>3</v>
      </c>
      <c r="L304">
        <f>COUNTIFS(GESTIONES!$A:$A, BASE_CUENTAS!$A304,GESTIONES!$B:$B, BASE_CUENTAS!$C304,GESTIONES!$E:$E, "S")</f>
        <v>1</v>
      </c>
      <c r="M304">
        <f>COUNTIFS(GESTIONES!$A:$A, BASE_CUENTAS!$A304,GESTIONES!$B:$B, BASE_CUENTAS!$C304,GESTIONES!$E:$E, "N")</f>
        <v>2</v>
      </c>
      <c r="N304">
        <f>COUNTIFS(GESTIONES!$A:$A, BASE_CUENTAS!$A304,GESTIONES!$B:$B, BASE_CUENTAS!$C304,GESTIONES!$D:$D, "SMS")</f>
        <v>1</v>
      </c>
      <c r="O304">
        <f>SUMIFS(PAGOS!$D:$D,PAGOS!$A:$A, BASE_CUENTAS!$A304,PAGOS!$B:$B, BASE_CUENTAS!$C304)</f>
        <v>2177151</v>
      </c>
      <c r="P304" t="str">
        <f>IF(
VLOOKUP($C304,BASE_CIERRE_MES!$C:$G,5,FALSE)=0,
"Normalización",
IF(
VLOOKUP($C304,BASE_CIERRE_MES!$C:$G,5,FALSE)&lt;$H304,
"Recuperación",
IF(
VLOOKUP($C304,BASE_CIERRE_MES!$C:$G,5,FALSE)=$H304,
"Contención",
"Rodamiento"
)))</f>
        <v>Normalización</v>
      </c>
      <c r="Q304">
        <f t="shared" si="4"/>
        <v>1</v>
      </c>
    </row>
    <row r="305" spans="1:17" x14ac:dyDescent="0.25">
      <c r="A305">
        <v>8175094</v>
      </c>
      <c r="B305" t="s">
        <v>18</v>
      </c>
      <c r="C305">
        <v>25678340</v>
      </c>
      <c r="D305" t="s">
        <v>7</v>
      </c>
      <c r="E305">
        <v>1028114</v>
      </c>
      <c r="F305" s="2">
        <v>1028114</v>
      </c>
      <c r="G305" s="2">
        <v>120863</v>
      </c>
      <c r="H305">
        <v>30</v>
      </c>
      <c r="I305" s="1">
        <v>42521</v>
      </c>
      <c r="J305" t="s">
        <v>4</v>
      </c>
      <c r="K305">
        <f>COUNTIFS(GESTIONES!$A:$A, BASE_CUENTAS!$A305, GESTIONES!$B:$B, BASE_CUENTAS!$C305)</f>
        <v>3</v>
      </c>
      <c r="L305">
        <f>COUNTIFS(GESTIONES!$A:$A, BASE_CUENTAS!$A305,GESTIONES!$B:$B, BASE_CUENTAS!$C305,GESTIONES!$E:$E, "S")</f>
        <v>2</v>
      </c>
      <c r="M305">
        <f>COUNTIFS(GESTIONES!$A:$A, BASE_CUENTAS!$A305,GESTIONES!$B:$B, BASE_CUENTAS!$C305,GESTIONES!$E:$E, "N")</f>
        <v>1</v>
      </c>
      <c r="N305">
        <f>COUNTIFS(GESTIONES!$A:$A, BASE_CUENTAS!$A305,GESTIONES!$B:$B, BASE_CUENTAS!$C305,GESTIONES!$D:$D, "SMS")</f>
        <v>0</v>
      </c>
      <c r="O305">
        <f>SUMIFS(PAGOS!$D:$D,PAGOS!$A:$A, BASE_CUENTAS!$A305,PAGOS!$B:$B, BASE_CUENTAS!$C305)</f>
        <v>1028114</v>
      </c>
      <c r="P305" t="str">
        <f>IF(
VLOOKUP($C305,BASE_CIERRE_MES!$C:$G,5,FALSE)=0,
"Normalización",
IF(
VLOOKUP($C305,BASE_CIERRE_MES!$C:$G,5,FALSE)&lt;$H305,
"Recuperación",
IF(
VLOOKUP($C305,BASE_CIERRE_MES!$C:$G,5,FALSE)=$H305,
"Contención",
"Rodamiento"
)))</f>
        <v>Normalización</v>
      </c>
      <c r="Q305">
        <f t="shared" si="4"/>
        <v>1</v>
      </c>
    </row>
    <row r="306" spans="1:17" x14ac:dyDescent="0.25">
      <c r="A306">
        <v>8175117</v>
      </c>
      <c r="B306" t="s">
        <v>18</v>
      </c>
      <c r="C306">
        <v>21924524</v>
      </c>
      <c r="D306" t="s">
        <v>7</v>
      </c>
      <c r="E306">
        <v>2312783</v>
      </c>
      <c r="F306" s="2">
        <v>1693015</v>
      </c>
      <c r="G306" s="2">
        <v>164418</v>
      </c>
      <c r="H306">
        <v>30</v>
      </c>
      <c r="I306" s="1">
        <v>42508</v>
      </c>
      <c r="J306" t="s">
        <v>6</v>
      </c>
      <c r="K306">
        <f>COUNTIFS(GESTIONES!$A:$A, BASE_CUENTAS!$A306, GESTIONES!$B:$B, BASE_CUENTAS!$C306)</f>
        <v>3</v>
      </c>
      <c r="L306">
        <f>COUNTIFS(GESTIONES!$A:$A, BASE_CUENTAS!$A306,GESTIONES!$B:$B, BASE_CUENTAS!$C306,GESTIONES!$E:$E, "S")</f>
        <v>1</v>
      </c>
      <c r="M306">
        <f>COUNTIFS(GESTIONES!$A:$A, BASE_CUENTAS!$A306,GESTIONES!$B:$B, BASE_CUENTAS!$C306,GESTIONES!$E:$E, "N")</f>
        <v>2</v>
      </c>
      <c r="N306">
        <f>COUNTIFS(GESTIONES!$A:$A, BASE_CUENTAS!$A306,GESTIONES!$B:$B, BASE_CUENTAS!$C306,GESTIONES!$D:$D, "SMS")</f>
        <v>0</v>
      </c>
      <c r="O306">
        <f>SUMIFS(PAGOS!$D:$D,PAGOS!$A:$A, BASE_CUENTAS!$A306,PAGOS!$B:$B, BASE_CUENTAS!$C306)</f>
        <v>54806</v>
      </c>
      <c r="P306" t="str">
        <f>IF(
VLOOKUP($C306,BASE_CIERRE_MES!$C:$G,5,FALSE)=0,
"Normalización",
IF(
VLOOKUP($C306,BASE_CIERRE_MES!$C:$G,5,FALSE)&lt;$H306,
"Recuperación",
IF(
VLOOKUP($C306,BASE_CIERRE_MES!$C:$G,5,FALSE)=$H306,
"Contención",
"Rodamiento"
)))</f>
        <v>Contención</v>
      </c>
      <c r="Q306">
        <f t="shared" si="4"/>
        <v>3.2371833681331827E-2</v>
      </c>
    </row>
    <row r="307" spans="1:17" x14ac:dyDescent="0.25">
      <c r="A307">
        <v>8175117</v>
      </c>
      <c r="B307" t="s">
        <v>18</v>
      </c>
      <c r="C307">
        <v>24163237</v>
      </c>
      <c r="D307" t="s">
        <v>7</v>
      </c>
      <c r="E307">
        <v>2312783</v>
      </c>
      <c r="F307" s="2">
        <v>619769</v>
      </c>
      <c r="G307" s="2">
        <v>48528</v>
      </c>
      <c r="H307">
        <v>30</v>
      </c>
      <c r="I307" s="1">
        <v>42519</v>
      </c>
      <c r="J307" t="s">
        <v>6</v>
      </c>
      <c r="K307">
        <f>COUNTIFS(GESTIONES!$A:$A, BASE_CUENTAS!$A307, GESTIONES!$B:$B, BASE_CUENTAS!$C307)</f>
        <v>3</v>
      </c>
      <c r="L307">
        <f>COUNTIFS(GESTIONES!$A:$A, BASE_CUENTAS!$A307,GESTIONES!$B:$B, BASE_CUENTAS!$C307,GESTIONES!$E:$E, "S")</f>
        <v>0</v>
      </c>
      <c r="M307">
        <f>COUNTIFS(GESTIONES!$A:$A, BASE_CUENTAS!$A307,GESTIONES!$B:$B, BASE_CUENTAS!$C307,GESTIONES!$E:$E, "N")</f>
        <v>3</v>
      </c>
      <c r="N307">
        <f>COUNTIFS(GESTIONES!$A:$A, BASE_CUENTAS!$A307,GESTIONES!$B:$B, BASE_CUENTAS!$C307,GESTIONES!$D:$D, "SMS")</f>
        <v>2</v>
      </c>
      <c r="O307">
        <f>SUMIFS(PAGOS!$D:$D,PAGOS!$A:$A, BASE_CUENTAS!$A307,PAGOS!$B:$B, BASE_CUENTAS!$C307)</f>
        <v>0</v>
      </c>
      <c r="P307" t="str">
        <f>IF(
VLOOKUP($C307,BASE_CIERRE_MES!$C:$G,5,FALSE)=0,
"Normalización",
IF(
VLOOKUP($C307,BASE_CIERRE_MES!$C:$G,5,FALSE)&lt;$H307,
"Recuperación",
IF(
VLOOKUP($C307,BASE_CIERRE_MES!$C:$G,5,FALSE)=$H307,
"Contención",
"Rodamiento"
)))</f>
        <v>Rodamiento</v>
      </c>
      <c r="Q307">
        <f t="shared" si="4"/>
        <v>0</v>
      </c>
    </row>
    <row r="308" spans="1:17" x14ac:dyDescent="0.25">
      <c r="A308">
        <v>8175233</v>
      </c>
      <c r="B308" t="s">
        <v>18</v>
      </c>
      <c r="C308">
        <v>27048969</v>
      </c>
      <c r="D308" t="s">
        <v>7</v>
      </c>
      <c r="E308">
        <v>1756228</v>
      </c>
      <c r="F308" s="2">
        <v>1756228</v>
      </c>
      <c r="G308" s="2">
        <v>166626</v>
      </c>
      <c r="H308">
        <v>30</v>
      </c>
      <c r="I308" s="1">
        <v>42521</v>
      </c>
      <c r="J308" t="s">
        <v>4</v>
      </c>
      <c r="K308">
        <f>COUNTIFS(GESTIONES!$A:$A, BASE_CUENTAS!$A308, GESTIONES!$B:$B, BASE_CUENTAS!$C308)</f>
        <v>3</v>
      </c>
      <c r="L308">
        <f>COUNTIFS(GESTIONES!$A:$A, BASE_CUENTAS!$A308,GESTIONES!$B:$B, BASE_CUENTAS!$C308,GESTIONES!$E:$E, "S")</f>
        <v>1</v>
      </c>
      <c r="M308">
        <f>COUNTIFS(GESTIONES!$A:$A, BASE_CUENTAS!$A308,GESTIONES!$B:$B, BASE_CUENTAS!$C308,GESTIONES!$E:$E, "N")</f>
        <v>2</v>
      </c>
      <c r="N308">
        <f>COUNTIFS(GESTIONES!$A:$A, BASE_CUENTAS!$A308,GESTIONES!$B:$B, BASE_CUENTAS!$C308,GESTIONES!$D:$D, "SMS")</f>
        <v>1</v>
      </c>
      <c r="O308">
        <f>SUMIFS(PAGOS!$D:$D,PAGOS!$A:$A, BASE_CUENTAS!$A308,PAGOS!$B:$B, BASE_CUENTAS!$C308)</f>
        <v>83313</v>
      </c>
      <c r="P308" t="str">
        <f>IF(
VLOOKUP($C308,BASE_CIERRE_MES!$C:$G,5,FALSE)=0,
"Normalización",
IF(
VLOOKUP($C308,BASE_CIERRE_MES!$C:$G,5,FALSE)&lt;$H308,
"Recuperación",
IF(
VLOOKUP($C308,BASE_CIERRE_MES!$C:$G,5,FALSE)=$H308,
"Contención",
"Rodamiento"
)))</f>
        <v>Recuperación</v>
      </c>
      <c r="Q308">
        <f t="shared" si="4"/>
        <v>4.743860136610964E-2</v>
      </c>
    </row>
    <row r="309" spans="1:17" x14ac:dyDescent="0.25">
      <c r="A309">
        <v>8175412</v>
      </c>
      <c r="B309" t="s">
        <v>18</v>
      </c>
      <c r="C309">
        <v>27722229</v>
      </c>
      <c r="D309" t="s">
        <v>7</v>
      </c>
      <c r="E309">
        <v>2779403</v>
      </c>
      <c r="F309" s="2">
        <v>1230688</v>
      </c>
      <c r="G309" s="2">
        <v>11709</v>
      </c>
      <c r="H309">
        <v>30</v>
      </c>
      <c r="I309" s="1">
        <v>42480</v>
      </c>
      <c r="J309" t="s">
        <v>6</v>
      </c>
      <c r="K309">
        <f>COUNTIFS(GESTIONES!$A:$A, BASE_CUENTAS!$A309, GESTIONES!$B:$B, BASE_CUENTAS!$C309)</f>
        <v>3</v>
      </c>
      <c r="L309">
        <f>COUNTIFS(GESTIONES!$A:$A, BASE_CUENTAS!$A309,GESTIONES!$B:$B, BASE_CUENTAS!$C309,GESTIONES!$E:$E, "S")</f>
        <v>1</v>
      </c>
      <c r="M309">
        <f>COUNTIFS(GESTIONES!$A:$A, BASE_CUENTAS!$A309,GESTIONES!$B:$B, BASE_CUENTAS!$C309,GESTIONES!$E:$E, "N")</f>
        <v>2</v>
      </c>
      <c r="N309">
        <f>COUNTIFS(GESTIONES!$A:$A, BASE_CUENTAS!$A309,GESTIONES!$B:$B, BASE_CUENTAS!$C309,GESTIONES!$D:$D, "SMS")</f>
        <v>1</v>
      </c>
      <c r="O309">
        <f>SUMIFS(PAGOS!$D:$D,PAGOS!$A:$A, BASE_CUENTAS!$A309,PAGOS!$B:$B, BASE_CUENTAS!$C309)</f>
        <v>11709</v>
      </c>
      <c r="P309" t="str">
        <f>IF(
VLOOKUP($C309,BASE_CIERRE_MES!$C:$G,5,FALSE)=0,
"Normalización",
IF(
VLOOKUP($C309,BASE_CIERRE_MES!$C:$G,5,FALSE)&lt;$H309,
"Recuperación",
IF(
VLOOKUP($C309,BASE_CIERRE_MES!$C:$G,5,FALSE)=$H309,
"Contención",
"Rodamiento"
)))</f>
        <v>Normalización</v>
      </c>
      <c r="Q309">
        <f t="shared" si="4"/>
        <v>9.5141904365688128E-3</v>
      </c>
    </row>
    <row r="310" spans="1:17" x14ac:dyDescent="0.25">
      <c r="A310">
        <v>8175432</v>
      </c>
      <c r="B310" t="s">
        <v>17</v>
      </c>
      <c r="C310">
        <v>26725384</v>
      </c>
      <c r="D310" t="s">
        <v>7</v>
      </c>
      <c r="E310">
        <v>19550598</v>
      </c>
      <c r="F310" s="2">
        <v>905521</v>
      </c>
      <c r="G310" s="2">
        <v>55875</v>
      </c>
      <c r="H310">
        <v>30</v>
      </c>
      <c r="I310" s="1">
        <v>42521</v>
      </c>
      <c r="J310" t="s">
        <v>4</v>
      </c>
      <c r="K310">
        <f>COUNTIFS(GESTIONES!$A:$A, BASE_CUENTAS!$A310, GESTIONES!$B:$B, BASE_CUENTAS!$C310)</f>
        <v>3</v>
      </c>
      <c r="L310">
        <f>COUNTIFS(GESTIONES!$A:$A, BASE_CUENTAS!$A310,GESTIONES!$B:$B, BASE_CUENTAS!$C310,GESTIONES!$E:$E, "S")</f>
        <v>1</v>
      </c>
      <c r="M310">
        <f>COUNTIFS(GESTIONES!$A:$A, BASE_CUENTAS!$A310,GESTIONES!$B:$B, BASE_CUENTAS!$C310,GESTIONES!$E:$E, "N")</f>
        <v>2</v>
      </c>
      <c r="N310">
        <f>COUNTIFS(GESTIONES!$A:$A, BASE_CUENTAS!$A310,GESTIONES!$B:$B, BASE_CUENTAS!$C310,GESTIONES!$D:$D, "SMS")</f>
        <v>0</v>
      </c>
      <c r="O310">
        <f>SUMIFS(PAGOS!$D:$D,PAGOS!$A:$A, BASE_CUENTAS!$A310,PAGOS!$B:$B, BASE_CUENTAS!$C310)</f>
        <v>0</v>
      </c>
      <c r="P310" t="str">
        <f>IF(
VLOOKUP($C310,BASE_CIERRE_MES!$C:$G,5,FALSE)=0,
"Normalización",
IF(
VLOOKUP($C310,BASE_CIERRE_MES!$C:$G,5,FALSE)&lt;$H310,
"Recuperación",
IF(
VLOOKUP($C310,BASE_CIERRE_MES!$C:$G,5,FALSE)=$H310,
"Contención",
"Rodamiento"
)))</f>
        <v>Rodamiento</v>
      </c>
      <c r="Q310">
        <f t="shared" si="4"/>
        <v>0</v>
      </c>
    </row>
    <row r="311" spans="1:17" x14ac:dyDescent="0.25">
      <c r="A311">
        <v>8175434</v>
      </c>
      <c r="B311" t="s">
        <v>16</v>
      </c>
      <c r="C311">
        <v>21490702</v>
      </c>
      <c r="D311" t="s">
        <v>9</v>
      </c>
      <c r="E311">
        <v>38184408</v>
      </c>
      <c r="F311" s="2">
        <v>3305009</v>
      </c>
      <c r="G311" s="2">
        <v>3305009</v>
      </c>
      <c r="H311">
        <v>454</v>
      </c>
      <c r="I311" s="1">
        <v>42328</v>
      </c>
      <c r="J311" t="s">
        <v>5</v>
      </c>
      <c r="K311">
        <f>COUNTIFS(GESTIONES!$A:$A, BASE_CUENTAS!$A311, GESTIONES!$B:$B, BASE_CUENTAS!$C311)</f>
        <v>3</v>
      </c>
      <c r="L311">
        <f>COUNTIFS(GESTIONES!$A:$A, BASE_CUENTAS!$A311,GESTIONES!$B:$B, BASE_CUENTAS!$C311,GESTIONES!$E:$E, "S")</f>
        <v>1</v>
      </c>
      <c r="M311">
        <f>COUNTIFS(GESTIONES!$A:$A, BASE_CUENTAS!$A311,GESTIONES!$B:$B, BASE_CUENTAS!$C311,GESTIONES!$E:$E, "N")</f>
        <v>2</v>
      </c>
      <c r="N311">
        <f>COUNTIFS(GESTIONES!$A:$A, BASE_CUENTAS!$A311,GESTIONES!$B:$B, BASE_CUENTAS!$C311,GESTIONES!$D:$D, "SMS")</f>
        <v>0</v>
      </c>
      <c r="O311">
        <f>SUMIFS(PAGOS!$D:$D,PAGOS!$A:$A, BASE_CUENTAS!$A311,PAGOS!$B:$B, BASE_CUENTAS!$C311)</f>
        <v>3305009</v>
      </c>
      <c r="P311" t="str">
        <f>IF(
VLOOKUP($C311,BASE_CIERRE_MES!$C:$G,5,FALSE)=0,
"Normalización",
IF(
VLOOKUP($C311,BASE_CIERRE_MES!$C:$G,5,FALSE)&lt;$H311,
"Recuperación",
IF(
VLOOKUP($C311,BASE_CIERRE_MES!$C:$G,5,FALSE)=$H311,
"Contención",
"Rodamiento"
)))</f>
        <v>Normalización</v>
      </c>
      <c r="Q311">
        <f t="shared" si="4"/>
        <v>1</v>
      </c>
    </row>
    <row r="312" spans="1:17" x14ac:dyDescent="0.25">
      <c r="A312">
        <v>8175434</v>
      </c>
      <c r="B312" t="s">
        <v>16</v>
      </c>
      <c r="C312">
        <v>22984080</v>
      </c>
      <c r="D312" t="s">
        <v>12</v>
      </c>
      <c r="E312">
        <v>38184408</v>
      </c>
      <c r="F312" s="2">
        <v>1247624</v>
      </c>
      <c r="G312" s="2">
        <v>847109</v>
      </c>
      <c r="H312">
        <v>329</v>
      </c>
      <c r="I312" s="1">
        <v>42328</v>
      </c>
      <c r="J312" t="s">
        <v>5</v>
      </c>
      <c r="K312">
        <f>COUNTIFS(GESTIONES!$A:$A, BASE_CUENTAS!$A312, GESTIONES!$B:$B, BASE_CUENTAS!$C312)</f>
        <v>3</v>
      </c>
      <c r="L312">
        <f>COUNTIFS(GESTIONES!$A:$A, BASE_CUENTAS!$A312,GESTIONES!$B:$B, BASE_CUENTAS!$C312,GESTIONES!$E:$E, "S")</f>
        <v>0</v>
      </c>
      <c r="M312">
        <f>COUNTIFS(GESTIONES!$A:$A, BASE_CUENTAS!$A312,GESTIONES!$B:$B, BASE_CUENTAS!$C312,GESTIONES!$E:$E, "N")</f>
        <v>3</v>
      </c>
      <c r="N312">
        <f>COUNTIFS(GESTIONES!$A:$A, BASE_CUENTAS!$A312,GESTIONES!$B:$B, BASE_CUENTAS!$C312,GESTIONES!$D:$D, "SMS")</f>
        <v>2</v>
      </c>
      <c r="O312">
        <f>SUMIFS(PAGOS!$D:$D,PAGOS!$A:$A, BASE_CUENTAS!$A312,PAGOS!$B:$B, BASE_CUENTAS!$C312)</f>
        <v>423554</v>
      </c>
      <c r="P312" t="str">
        <f>IF(
VLOOKUP($C312,BASE_CIERRE_MES!$C:$G,5,FALSE)=0,
"Normalización",
IF(
VLOOKUP($C312,BASE_CIERRE_MES!$C:$G,5,FALSE)&lt;$H312,
"Recuperación",
IF(
VLOOKUP($C312,BASE_CIERRE_MES!$C:$G,5,FALSE)=$H312,
"Contención",
"Rodamiento"
)))</f>
        <v>Recuperación</v>
      </c>
      <c r="Q312">
        <f t="shared" si="4"/>
        <v>0.33948849974030637</v>
      </c>
    </row>
    <row r="313" spans="1:17" x14ac:dyDescent="0.25">
      <c r="A313">
        <v>8175434</v>
      </c>
      <c r="B313" t="s">
        <v>16</v>
      </c>
      <c r="C313">
        <v>22984353</v>
      </c>
      <c r="D313" t="s">
        <v>12</v>
      </c>
      <c r="E313">
        <v>38184408</v>
      </c>
      <c r="F313" s="2">
        <v>1603173</v>
      </c>
      <c r="G313" s="2">
        <v>1088545</v>
      </c>
      <c r="H313">
        <v>329</v>
      </c>
      <c r="I313" s="1">
        <v>42328</v>
      </c>
      <c r="J313" t="s">
        <v>5</v>
      </c>
      <c r="K313">
        <f>COUNTIFS(GESTIONES!$A:$A, BASE_CUENTAS!$A313, GESTIONES!$B:$B, BASE_CUENTAS!$C313)</f>
        <v>3</v>
      </c>
      <c r="L313">
        <f>COUNTIFS(GESTIONES!$A:$A, BASE_CUENTAS!$A313,GESTIONES!$B:$B, BASE_CUENTAS!$C313,GESTIONES!$E:$E, "S")</f>
        <v>1</v>
      </c>
      <c r="M313">
        <f>COUNTIFS(GESTIONES!$A:$A, BASE_CUENTAS!$A313,GESTIONES!$B:$B, BASE_CUENTAS!$C313,GESTIONES!$E:$E, "N")</f>
        <v>2</v>
      </c>
      <c r="N313">
        <f>COUNTIFS(GESTIONES!$A:$A, BASE_CUENTAS!$A313,GESTIONES!$B:$B, BASE_CUENTAS!$C313,GESTIONES!$D:$D, "SMS")</f>
        <v>1</v>
      </c>
      <c r="O313">
        <f>SUMIFS(PAGOS!$D:$D,PAGOS!$A:$A, BASE_CUENTAS!$A313,PAGOS!$B:$B, BASE_CUENTAS!$C313)</f>
        <v>0</v>
      </c>
      <c r="P313" t="str">
        <f>IF(
VLOOKUP($C313,BASE_CIERRE_MES!$C:$G,5,FALSE)=0,
"Normalización",
IF(
VLOOKUP($C313,BASE_CIERRE_MES!$C:$G,5,FALSE)&lt;$H313,
"Recuperación",
IF(
VLOOKUP($C313,BASE_CIERRE_MES!$C:$G,5,FALSE)=$H313,
"Contención",
"Rodamiento"
)))</f>
        <v>Recuperación</v>
      </c>
      <c r="Q313">
        <f t="shared" si="4"/>
        <v>0</v>
      </c>
    </row>
    <row r="314" spans="1:17" x14ac:dyDescent="0.25">
      <c r="A314">
        <v>8175434</v>
      </c>
      <c r="B314" t="s">
        <v>16</v>
      </c>
      <c r="C314">
        <v>23068002</v>
      </c>
      <c r="D314" t="s">
        <v>12</v>
      </c>
      <c r="E314">
        <v>38184408</v>
      </c>
      <c r="F314" s="2">
        <v>1829873</v>
      </c>
      <c r="G314" s="2">
        <v>1153476</v>
      </c>
      <c r="H314">
        <v>329</v>
      </c>
      <c r="I314" s="1">
        <v>42328</v>
      </c>
      <c r="J314" t="s">
        <v>5</v>
      </c>
      <c r="K314">
        <f>COUNTIFS(GESTIONES!$A:$A, BASE_CUENTAS!$A314, GESTIONES!$B:$B, BASE_CUENTAS!$C314)</f>
        <v>3</v>
      </c>
      <c r="L314">
        <f>COUNTIFS(GESTIONES!$A:$A, BASE_CUENTAS!$A314,GESTIONES!$B:$B, BASE_CUENTAS!$C314,GESTIONES!$E:$E, "S")</f>
        <v>1</v>
      </c>
      <c r="M314">
        <f>COUNTIFS(GESTIONES!$A:$A, BASE_CUENTAS!$A314,GESTIONES!$B:$B, BASE_CUENTAS!$C314,GESTIONES!$E:$E, "N")</f>
        <v>2</v>
      </c>
      <c r="N314">
        <f>COUNTIFS(GESTIONES!$A:$A, BASE_CUENTAS!$A314,GESTIONES!$B:$B, BASE_CUENTAS!$C314,GESTIONES!$D:$D, "SMS")</f>
        <v>1</v>
      </c>
      <c r="O314">
        <f>SUMIFS(PAGOS!$D:$D,PAGOS!$A:$A, BASE_CUENTAS!$A314,PAGOS!$B:$B, BASE_CUENTAS!$C314)</f>
        <v>0</v>
      </c>
      <c r="P314" t="str">
        <f>IF(
VLOOKUP($C314,BASE_CIERRE_MES!$C:$G,5,FALSE)=0,
"Normalización",
IF(
VLOOKUP($C314,BASE_CIERRE_MES!$C:$G,5,FALSE)&lt;$H314,
"Recuperación",
IF(
VLOOKUP($C314,BASE_CIERRE_MES!$C:$G,5,FALSE)=$H314,
"Contención",
"Rodamiento"
)))</f>
        <v>Recuperación</v>
      </c>
      <c r="Q314">
        <f t="shared" si="4"/>
        <v>0</v>
      </c>
    </row>
    <row r="315" spans="1:17" x14ac:dyDescent="0.25">
      <c r="A315">
        <v>8175434</v>
      </c>
      <c r="B315" t="s">
        <v>16</v>
      </c>
      <c r="C315">
        <v>23123539</v>
      </c>
      <c r="D315" t="s">
        <v>12</v>
      </c>
      <c r="E315">
        <v>38184408</v>
      </c>
      <c r="F315" s="2">
        <v>2897450</v>
      </c>
      <c r="G315" s="2">
        <v>2211719</v>
      </c>
      <c r="H315">
        <v>571</v>
      </c>
      <c r="I315" s="1">
        <v>42328</v>
      </c>
      <c r="J315" t="s">
        <v>5</v>
      </c>
      <c r="K315">
        <f>COUNTIFS(GESTIONES!$A:$A, BASE_CUENTAS!$A315, GESTIONES!$B:$B, BASE_CUENTAS!$C315)</f>
        <v>3</v>
      </c>
      <c r="L315">
        <f>COUNTIFS(GESTIONES!$A:$A, BASE_CUENTAS!$A315,GESTIONES!$B:$B, BASE_CUENTAS!$C315,GESTIONES!$E:$E, "S")</f>
        <v>1</v>
      </c>
      <c r="M315">
        <f>COUNTIFS(GESTIONES!$A:$A, BASE_CUENTAS!$A315,GESTIONES!$B:$B, BASE_CUENTAS!$C315,GESTIONES!$E:$E, "N")</f>
        <v>2</v>
      </c>
      <c r="N315">
        <f>COUNTIFS(GESTIONES!$A:$A, BASE_CUENTAS!$A315,GESTIONES!$B:$B, BASE_CUENTAS!$C315,GESTIONES!$D:$D, "SMS")</f>
        <v>0</v>
      </c>
      <c r="O315">
        <f>SUMIFS(PAGOS!$D:$D,PAGOS!$A:$A, BASE_CUENTAS!$A315,PAGOS!$B:$B, BASE_CUENTAS!$C315)</f>
        <v>2211719</v>
      </c>
      <c r="P315" t="str">
        <f>IF(
VLOOKUP($C315,BASE_CIERRE_MES!$C:$G,5,FALSE)=0,
"Normalización",
IF(
VLOOKUP($C315,BASE_CIERRE_MES!$C:$G,5,FALSE)&lt;$H315,
"Recuperación",
IF(
VLOOKUP($C315,BASE_CIERRE_MES!$C:$G,5,FALSE)=$H315,
"Contención",
"Rodamiento"
)))</f>
        <v>Normalización</v>
      </c>
      <c r="Q315">
        <f t="shared" si="4"/>
        <v>0.76333293068042585</v>
      </c>
    </row>
    <row r="316" spans="1:17" x14ac:dyDescent="0.25">
      <c r="A316">
        <v>8175434</v>
      </c>
      <c r="B316" t="s">
        <v>16</v>
      </c>
      <c r="C316">
        <v>23827455</v>
      </c>
      <c r="D316" t="s">
        <v>7</v>
      </c>
      <c r="E316">
        <v>38184408</v>
      </c>
      <c r="F316" s="2">
        <v>4065749</v>
      </c>
      <c r="G316" s="2">
        <v>4065749</v>
      </c>
      <c r="H316">
        <v>360</v>
      </c>
      <c r="I316" s="1">
        <v>42328</v>
      </c>
      <c r="J316" t="s">
        <v>5</v>
      </c>
      <c r="K316">
        <f>COUNTIFS(GESTIONES!$A:$A, BASE_CUENTAS!$A316, GESTIONES!$B:$B, BASE_CUENTAS!$C316)</f>
        <v>3</v>
      </c>
      <c r="L316">
        <f>COUNTIFS(GESTIONES!$A:$A, BASE_CUENTAS!$A316,GESTIONES!$B:$B, BASE_CUENTAS!$C316,GESTIONES!$E:$E, "S")</f>
        <v>1</v>
      </c>
      <c r="M316">
        <f>COUNTIFS(GESTIONES!$A:$A, BASE_CUENTAS!$A316,GESTIONES!$B:$B, BASE_CUENTAS!$C316,GESTIONES!$E:$E, "N")</f>
        <v>2</v>
      </c>
      <c r="N316">
        <f>COUNTIFS(GESTIONES!$A:$A, BASE_CUENTAS!$A316,GESTIONES!$B:$B, BASE_CUENTAS!$C316,GESTIONES!$D:$D, "SMS")</f>
        <v>0</v>
      </c>
      <c r="O316">
        <f>SUMIFS(PAGOS!$D:$D,PAGOS!$A:$A, BASE_CUENTAS!$A316,PAGOS!$B:$B, BASE_CUENTAS!$C316)</f>
        <v>4065749</v>
      </c>
      <c r="P316" t="str">
        <f>IF(
VLOOKUP($C316,BASE_CIERRE_MES!$C:$G,5,FALSE)=0,
"Normalización",
IF(
VLOOKUP($C316,BASE_CIERRE_MES!$C:$G,5,FALSE)&lt;$H316,
"Recuperación",
IF(
VLOOKUP($C316,BASE_CIERRE_MES!$C:$G,5,FALSE)=$H316,
"Contención",
"Rodamiento"
)))</f>
        <v>Normalización</v>
      </c>
      <c r="Q316">
        <f t="shared" si="4"/>
        <v>1</v>
      </c>
    </row>
    <row r="317" spans="1:17" x14ac:dyDescent="0.25">
      <c r="A317">
        <v>8175434</v>
      </c>
      <c r="B317" t="s">
        <v>16</v>
      </c>
      <c r="C317">
        <v>24903975</v>
      </c>
      <c r="D317" t="s">
        <v>12</v>
      </c>
      <c r="E317">
        <v>38184408</v>
      </c>
      <c r="F317" s="2">
        <v>2170233</v>
      </c>
      <c r="G317" s="2">
        <v>1334071</v>
      </c>
      <c r="H317">
        <v>602</v>
      </c>
      <c r="I317" s="1">
        <v>42328</v>
      </c>
      <c r="J317" t="s">
        <v>5</v>
      </c>
      <c r="K317">
        <f>COUNTIFS(GESTIONES!$A:$A, BASE_CUENTAS!$A317, GESTIONES!$B:$B, BASE_CUENTAS!$C317)</f>
        <v>3</v>
      </c>
      <c r="L317">
        <f>COUNTIFS(GESTIONES!$A:$A, BASE_CUENTAS!$A317,GESTIONES!$B:$B, BASE_CUENTAS!$C317,GESTIONES!$E:$E, "S")</f>
        <v>0</v>
      </c>
      <c r="M317">
        <f>COUNTIFS(GESTIONES!$A:$A, BASE_CUENTAS!$A317,GESTIONES!$B:$B, BASE_CUENTAS!$C317,GESTIONES!$E:$E, "N")</f>
        <v>3</v>
      </c>
      <c r="N317">
        <f>COUNTIFS(GESTIONES!$A:$A, BASE_CUENTAS!$A317,GESTIONES!$B:$B, BASE_CUENTAS!$C317,GESTIONES!$D:$D, "SMS")</f>
        <v>2</v>
      </c>
      <c r="O317">
        <f>SUMIFS(PAGOS!$D:$D,PAGOS!$A:$A, BASE_CUENTAS!$A317,PAGOS!$B:$B, BASE_CUENTAS!$C317)</f>
        <v>444690</v>
      </c>
      <c r="P317" t="str">
        <f>IF(
VLOOKUP($C317,BASE_CIERRE_MES!$C:$G,5,FALSE)=0,
"Normalización",
IF(
VLOOKUP($C317,BASE_CIERRE_MES!$C:$G,5,FALSE)&lt;$H317,
"Recuperación",
IF(
VLOOKUP($C317,BASE_CIERRE_MES!$C:$G,5,FALSE)=$H317,
"Contención",
"Rodamiento"
)))</f>
        <v>Contención</v>
      </c>
      <c r="Q317">
        <f t="shared" si="4"/>
        <v>0.20490426603963721</v>
      </c>
    </row>
    <row r="318" spans="1:17" x14ac:dyDescent="0.25">
      <c r="A318">
        <v>8175521</v>
      </c>
      <c r="B318" t="s">
        <v>18</v>
      </c>
      <c r="C318">
        <v>28584078</v>
      </c>
      <c r="D318" t="s">
        <v>7</v>
      </c>
      <c r="E318">
        <v>2257448</v>
      </c>
      <c r="F318" s="2">
        <v>935943</v>
      </c>
      <c r="G318" s="2">
        <v>82164</v>
      </c>
      <c r="H318">
        <v>30</v>
      </c>
      <c r="I318" s="1">
        <v>42524</v>
      </c>
      <c r="J318" t="s">
        <v>6</v>
      </c>
      <c r="K318">
        <f>COUNTIFS(GESTIONES!$A:$A, BASE_CUENTAS!$A318, GESTIONES!$B:$B, BASE_CUENTAS!$C318)</f>
        <v>3</v>
      </c>
      <c r="L318">
        <f>COUNTIFS(GESTIONES!$A:$A, BASE_CUENTAS!$A318,GESTIONES!$B:$B, BASE_CUENTAS!$C318,GESTIONES!$E:$E, "S")</f>
        <v>1</v>
      </c>
      <c r="M318">
        <f>COUNTIFS(GESTIONES!$A:$A, BASE_CUENTAS!$A318,GESTIONES!$B:$B, BASE_CUENTAS!$C318,GESTIONES!$E:$E, "N")</f>
        <v>2</v>
      </c>
      <c r="N318">
        <f>COUNTIFS(GESTIONES!$A:$A, BASE_CUENTAS!$A318,GESTIONES!$B:$B, BASE_CUENTAS!$C318,GESTIONES!$D:$D, "SMS")</f>
        <v>1</v>
      </c>
      <c r="O318">
        <f>SUMIFS(PAGOS!$D:$D,PAGOS!$A:$A, BASE_CUENTAS!$A318,PAGOS!$B:$B, BASE_CUENTAS!$C318)</f>
        <v>82164</v>
      </c>
      <c r="P318" t="str">
        <f>IF(
VLOOKUP($C318,BASE_CIERRE_MES!$C:$G,5,FALSE)=0,
"Normalización",
IF(
VLOOKUP($C318,BASE_CIERRE_MES!$C:$G,5,FALSE)&lt;$H318,
"Recuperación",
IF(
VLOOKUP($C318,BASE_CIERRE_MES!$C:$G,5,FALSE)=$H318,
"Contención",
"Rodamiento"
)))</f>
        <v>Normalización</v>
      </c>
      <c r="Q318">
        <f t="shared" si="4"/>
        <v>8.7787397309451537E-2</v>
      </c>
    </row>
    <row r="319" spans="1:17" x14ac:dyDescent="0.25">
      <c r="A319">
        <v>8177174</v>
      </c>
      <c r="B319" t="s">
        <v>18</v>
      </c>
      <c r="C319">
        <v>16031676</v>
      </c>
      <c r="D319" t="s">
        <v>7</v>
      </c>
      <c r="E319">
        <v>2250334</v>
      </c>
      <c r="F319" s="2">
        <v>1140847</v>
      </c>
      <c r="G319" s="2">
        <v>403364</v>
      </c>
      <c r="H319">
        <v>60</v>
      </c>
      <c r="I319" s="1">
        <v>42490</v>
      </c>
      <c r="J319" t="s">
        <v>6</v>
      </c>
      <c r="K319">
        <f>COUNTIFS(GESTIONES!$A:$A, BASE_CUENTAS!$A319, GESTIONES!$B:$B, BASE_CUENTAS!$C319)</f>
        <v>3</v>
      </c>
      <c r="L319">
        <f>COUNTIFS(GESTIONES!$A:$A, BASE_CUENTAS!$A319,GESTIONES!$B:$B, BASE_CUENTAS!$C319,GESTIONES!$E:$E, "S")</f>
        <v>1</v>
      </c>
      <c r="M319">
        <f>COUNTIFS(GESTIONES!$A:$A, BASE_CUENTAS!$A319,GESTIONES!$B:$B, BASE_CUENTAS!$C319,GESTIONES!$E:$E, "N")</f>
        <v>2</v>
      </c>
      <c r="N319">
        <f>COUNTIFS(GESTIONES!$A:$A, BASE_CUENTAS!$A319,GESTIONES!$B:$B, BASE_CUENTAS!$C319,GESTIONES!$D:$D, "SMS")</f>
        <v>1</v>
      </c>
      <c r="O319">
        <f>SUMIFS(PAGOS!$D:$D,PAGOS!$A:$A, BASE_CUENTAS!$A319,PAGOS!$B:$B, BASE_CUENTAS!$C319)</f>
        <v>134455</v>
      </c>
      <c r="P319" t="str">
        <f>IF(
VLOOKUP($C319,BASE_CIERRE_MES!$C:$G,5,FALSE)=0,
"Normalización",
IF(
VLOOKUP($C319,BASE_CIERRE_MES!$C:$G,5,FALSE)&lt;$H319,
"Recuperación",
IF(
VLOOKUP($C319,BASE_CIERRE_MES!$C:$G,5,FALSE)=$H319,
"Contención",
"Rodamiento"
)))</f>
        <v>Contención</v>
      </c>
      <c r="Q319">
        <f t="shared" si="4"/>
        <v>0.11785541794824372</v>
      </c>
    </row>
    <row r="320" spans="1:17" x14ac:dyDescent="0.25">
      <c r="A320">
        <v>8177174</v>
      </c>
      <c r="B320" t="s">
        <v>18</v>
      </c>
      <c r="C320">
        <v>17210228</v>
      </c>
      <c r="D320" t="s">
        <v>7</v>
      </c>
      <c r="E320">
        <v>2250334</v>
      </c>
      <c r="F320" s="2">
        <v>1109487</v>
      </c>
      <c r="G320" s="2">
        <v>372978</v>
      </c>
      <c r="H320">
        <v>60</v>
      </c>
      <c r="I320" s="1">
        <v>42491</v>
      </c>
      <c r="J320" t="s">
        <v>6</v>
      </c>
      <c r="K320">
        <f>COUNTIFS(GESTIONES!$A:$A, BASE_CUENTAS!$A320, GESTIONES!$B:$B, BASE_CUENTAS!$C320)</f>
        <v>3</v>
      </c>
      <c r="L320">
        <f>COUNTIFS(GESTIONES!$A:$A, BASE_CUENTAS!$A320,GESTIONES!$B:$B, BASE_CUENTAS!$C320,GESTIONES!$E:$E, "S")</f>
        <v>1</v>
      </c>
      <c r="M320">
        <f>COUNTIFS(GESTIONES!$A:$A, BASE_CUENTAS!$A320,GESTIONES!$B:$B, BASE_CUENTAS!$C320,GESTIONES!$E:$E, "N")</f>
        <v>2</v>
      </c>
      <c r="N320">
        <f>COUNTIFS(GESTIONES!$A:$A, BASE_CUENTAS!$A320,GESTIONES!$B:$B, BASE_CUENTAS!$C320,GESTIONES!$D:$D, "SMS")</f>
        <v>0</v>
      </c>
      <c r="O320">
        <f>SUMIFS(PAGOS!$D:$D,PAGOS!$A:$A, BASE_CUENTAS!$A320,PAGOS!$B:$B, BASE_CUENTAS!$C320)</f>
        <v>372978</v>
      </c>
      <c r="P320" t="str">
        <f>IF(
VLOOKUP($C320,BASE_CIERRE_MES!$C:$G,5,FALSE)=0,
"Normalización",
IF(
VLOOKUP($C320,BASE_CIERRE_MES!$C:$G,5,FALSE)&lt;$H320,
"Recuperación",
IF(
VLOOKUP($C320,BASE_CIERRE_MES!$C:$G,5,FALSE)=$H320,
"Contención",
"Rodamiento"
)))</f>
        <v>Normalización</v>
      </c>
      <c r="Q320">
        <f t="shared" si="4"/>
        <v>0.33617158200141145</v>
      </c>
    </row>
    <row r="321" spans="1:17" x14ac:dyDescent="0.25">
      <c r="A321">
        <v>8177716</v>
      </c>
      <c r="B321" t="s">
        <v>18</v>
      </c>
      <c r="C321">
        <v>26262210</v>
      </c>
      <c r="D321" t="s">
        <v>7</v>
      </c>
      <c r="E321">
        <v>1542416</v>
      </c>
      <c r="F321" s="2">
        <v>1542416</v>
      </c>
      <c r="G321" s="2">
        <v>338657</v>
      </c>
      <c r="H321">
        <v>60</v>
      </c>
      <c r="I321" s="1">
        <v>42491</v>
      </c>
      <c r="J321" t="s">
        <v>6</v>
      </c>
      <c r="K321">
        <f>COUNTIFS(GESTIONES!$A:$A, BASE_CUENTAS!$A321, GESTIONES!$B:$B, BASE_CUENTAS!$C321)</f>
        <v>3</v>
      </c>
      <c r="L321">
        <f>COUNTIFS(GESTIONES!$A:$A, BASE_CUENTAS!$A321,GESTIONES!$B:$B, BASE_CUENTAS!$C321,GESTIONES!$E:$E, "S")</f>
        <v>2</v>
      </c>
      <c r="M321">
        <f>COUNTIFS(GESTIONES!$A:$A, BASE_CUENTAS!$A321,GESTIONES!$B:$B, BASE_CUENTAS!$C321,GESTIONES!$E:$E, "N")</f>
        <v>1</v>
      </c>
      <c r="N321">
        <f>COUNTIFS(GESTIONES!$A:$A, BASE_CUENTAS!$A321,GESTIONES!$B:$B, BASE_CUENTAS!$C321,GESTIONES!$D:$D, "SMS")</f>
        <v>0</v>
      </c>
      <c r="O321">
        <f>SUMIFS(PAGOS!$D:$D,PAGOS!$A:$A, BASE_CUENTAS!$A321,PAGOS!$B:$B, BASE_CUENTAS!$C321)</f>
        <v>1542416</v>
      </c>
      <c r="P321" t="str">
        <f>IF(
VLOOKUP($C321,BASE_CIERRE_MES!$C:$G,5,FALSE)=0,
"Normalización",
IF(
VLOOKUP($C321,BASE_CIERRE_MES!$C:$G,5,FALSE)&lt;$H321,
"Recuperación",
IF(
VLOOKUP($C321,BASE_CIERRE_MES!$C:$G,5,FALSE)=$H321,
"Contención",
"Rodamiento"
)))</f>
        <v>Normalización</v>
      </c>
      <c r="Q321">
        <f t="shared" si="4"/>
        <v>1</v>
      </c>
    </row>
    <row r="322" spans="1:17" x14ac:dyDescent="0.25">
      <c r="A322">
        <v>8177887</v>
      </c>
      <c r="B322" t="s">
        <v>17</v>
      </c>
      <c r="C322">
        <v>26004795</v>
      </c>
      <c r="D322" t="s">
        <v>7</v>
      </c>
      <c r="E322">
        <v>16645036</v>
      </c>
      <c r="F322" s="2">
        <v>4070571</v>
      </c>
      <c r="G322" s="2">
        <v>4070571</v>
      </c>
      <c r="H322">
        <v>360</v>
      </c>
      <c r="I322" s="1">
        <v>42336</v>
      </c>
      <c r="J322" t="s">
        <v>5</v>
      </c>
      <c r="K322">
        <f>COUNTIFS(GESTIONES!$A:$A, BASE_CUENTAS!$A322, GESTIONES!$B:$B, BASE_CUENTAS!$C322)</f>
        <v>3</v>
      </c>
      <c r="L322">
        <f>COUNTIFS(GESTIONES!$A:$A, BASE_CUENTAS!$A322,GESTIONES!$B:$B, BASE_CUENTAS!$C322,GESTIONES!$E:$E, "S")</f>
        <v>1</v>
      </c>
      <c r="M322">
        <f>COUNTIFS(GESTIONES!$A:$A, BASE_CUENTAS!$A322,GESTIONES!$B:$B, BASE_CUENTAS!$C322,GESTIONES!$E:$E, "N")</f>
        <v>2</v>
      </c>
      <c r="N322">
        <f>COUNTIFS(GESTIONES!$A:$A, BASE_CUENTAS!$A322,GESTIONES!$B:$B, BASE_CUENTAS!$C322,GESTIONES!$D:$D, "SMS")</f>
        <v>1</v>
      </c>
      <c r="O322">
        <f>SUMIFS(PAGOS!$D:$D,PAGOS!$A:$A, BASE_CUENTAS!$A322,PAGOS!$B:$B, BASE_CUENTAS!$C322)</f>
        <v>423554</v>
      </c>
      <c r="P322" t="str">
        <f>IF(
VLOOKUP($C322,BASE_CIERRE_MES!$C:$G,5,FALSE)=0,
"Normalización",
IF(
VLOOKUP($C322,BASE_CIERRE_MES!$C:$G,5,FALSE)&lt;$H322,
"Recuperación",
IF(
VLOOKUP($C322,BASE_CIERRE_MES!$C:$G,5,FALSE)=$H322,
"Contención",
"Rodamiento"
)))</f>
        <v>Contención</v>
      </c>
      <c r="Q322">
        <f t="shared" si="4"/>
        <v>0.10405272380705312</v>
      </c>
    </row>
    <row r="323" spans="1:17" x14ac:dyDescent="0.25">
      <c r="A323">
        <v>8178293</v>
      </c>
      <c r="B323" t="s">
        <v>18</v>
      </c>
      <c r="C323">
        <v>19935619</v>
      </c>
      <c r="D323" t="s">
        <v>7</v>
      </c>
      <c r="E323">
        <v>190232</v>
      </c>
      <c r="F323" s="2">
        <v>190232</v>
      </c>
      <c r="G323" s="2">
        <v>14567</v>
      </c>
      <c r="H323">
        <v>30</v>
      </c>
      <c r="I323" s="1">
        <v>42508</v>
      </c>
      <c r="J323" t="s">
        <v>6</v>
      </c>
      <c r="K323">
        <f>COUNTIFS(GESTIONES!$A:$A, BASE_CUENTAS!$A323, GESTIONES!$B:$B, BASE_CUENTAS!$C323)</f>
        <v>3</v>
      </c>
      <c r="L323">
        <f>COUNTIFS(GESTIONES!$A:$A, BASE_CUENTAS!$A323,GESTIONES!$B:$B, BASE_CUENTAS!$C323,GESTIONES!$E:$E, "S")</f>
        <v>0</v>
      </c>
      <c r="M323">
        <f>COUNTIFS(GESTIONES!$A:$A, BASE_CUENTAS!$A323,GESTIONES!$B:$B, BASE_CUENTAS!$C323,GESTIONES!$E:$E, "N")</f>
        <v>3</v>
      </c>
      <c r="N323">
        <f>COUNTIFS(GESTIONES!$A:$A, BASE_CUENTAS!$A323,GESTIONES!$B:$B, BASE_CUENTAS!$C323,GESTIONES!$D:$D, "SMS")</f>
        <v>1</v>
      </c>
      <c r="O323">
        <f>SUMIFS(PAGOS!$D:$D,PAGOS!$A:$A, BASE_CUENTAS!$A323,PAGOS!$B:$B, BASE_CUENTAS!$C323)</f>
        <v>0</v>
      </c>
      <c r="P323" t="str">
        <f>IF(
VLOOKUP($C323,BASE_CIERRE_MES!$C:$G,5,FALSE)=0,
"Normalización",
IF(
VLOOKUP($C323,BASE_CIERRE_MES!$C:$G,5,FALSE)&lt;$H323,
"Recuperación",
IF(
VLOOKUP($C323,BASE_CIERRE_MES!$C:$G,5,FALSE)=$H323,
"Contención",
"Rodamiento"
)))</f>
        <v>Rodamiento</v>
      </c>
      <c r="Q323">
        <f t="shared" ref="Q323:Q386" si="5">IF(F323=0,0,VALUE(O323)/VALUE(F323))</f>
        <v>0</v>
      </c>
    </row>
    <row r="324" spans="1:17" x14ac:dyDescent="0.25">
      <c r="A324">
        <v>8178346</v>
      </c>
      <c r="B324" t="s">
        <v>17</v>
      </c>
      <c r="C324">
        <v>26154252</v>
      </c>
      <c r="D324" t="s">
        <v>7</v>
      </c>
      <c r="E324">
        <v>8304178</v>
      </c>
      <c r="F324" s="2">
        <v>2221749</v>
      </c>
      <c r="G324" s="2">
        <v>403716</v>
      </c>
      <c r="H324">
        <v>30</v>
      </c>
      <c r="I324" s="1">
        <v>42519</v>
      </c>
      <c r="J324" t="s">
        <v>6</v>
      </c>
      <c r="K324">
        <f>COUNTIFS(GESTIONES!$A:$A, BASE_CUENTAS!$A324, GESTIONES!$B:$B, BASE_CUENTAS!$C324)</f>
        <v>3</v>
      </c>
      <c r="L324">
        <f>COUNTIFS(GESTIONES!$A:$A, BASE_CUENTAS!$A324,GESTIONES!$B:$B, BASE_CUENTAS!$C324,GESTIONES!$E:$E, "S")</f>
        <v>1</v>
      </c>
      <c r="M324">
        <f>COUNTIFS(GESTIONES!$A:$A, BASE_CUENTAS!$A324,GESTIONES!$B:$B, BASE_CUENTAS!$C324,GESTIONES!$E:$E, "N")</f>
        <v>2</v>
      </c>
      <c r="N324">
        <f>COUNTIFS(GESTIONES!$A:$A, BASE_CUENTAS!$A324,GESTIONES!$B:$B, BASE_CUENTAS!$C324,GESTIONES!$D:$D, "SMS")</f>
        <v>2</v>
      </c>
      <c r="O324">
        <f>SUMIFS(PAGOS!$D:$D,PAGOS!$A:$A, BASE_CUENTAS!$A324,PAGOS!$B:$B, BASE_CUENTAS!$C324)</f>
        <v>0</v>
      </c>
      <c r="P324" t="str">
        <f>IF(
VLOOKUP($C324,BASE_CIERRE_MES!$C:$G,5,FALSE)=0,
"Normalización",
IF(
VLOOKUP($C324,BASE_CIERRE_MES!$C:$G,5,FALSE)&lt;$H324,
"Recuperación",
IF(
VLOOKUP($C324,BASE_CIERRE_MES!$C:$G,5,FALSE)=$H324,
"Contención",
"Rodamiento"
)))</f>
        <v>Rodamiento</v>
      </c>
      <c r="Q324">
        <f t="shared" si="5"/>
        <v>0</v>
      </c>
    </row>
    <row r="325" spans="1:17" x14ac:dyDescent="0.25">
      <c r="A325">
        <v>8180768</v>
      </c>
      <c r="B325" t="s">
        <v>18</v>
      </c>
      <c r="C325">
        <v>1438298</v>
      </c>
      <c r="D325" t="s">
        <v>7</v>
      </c>
      <c r="E325">
        <v>1927436</v>
      </c>
      <c r="F325" s="2">
        <v>1927436</v>
      </c>
      <c r="G325" s="2">
        <v>81599</v>
      </c>
      <c r="H325">
        <v>30</v>
      </c>
      <c r="I325" s="1">
        <v>42521</v>
      </c>
      <c r="J325" t="s">
        <v>4</v>
      </c>
      <c r="K325">
        <f>COUNTIFS(GESTIONES!$A:$A, BASE_CUENTAS!$A325, GESTIONES!$B:$B, BASE_CUENTAS!$C325)</f>
        <v>3</v>
      </c>
      <c r="L325">
        <f>COUNTIFS(GESTIONES!$A:$A, BASE_CUENTAS!$A325,GESTIONES!$B:$B, BASE_CUENTAS!$C325,GESTIONES!$E:$E, "S")</f>
        <v>1</v>
      </c>
      <c r="M325">
        <f>COUNTIFS(GESTIONES!$A:$A, BASE_CUENTAS!$A325,GESTIONES!$B:$B, BASE_CUENTAS!$C325,GESTIONES!$E:$E, "N")</f>
        <v>2</v>
      </c>
      <c r="N325">
        <f>COUNTIFS(GESTIONES!$A:$A, BASE_CUENTAS!$A325,GESTIONES!$B:$B, BASE_CUENTAS!$C325,GESTIONES!$D:$D, "SMS")</f>
        <v>0</v>
      </c>
      <c r="O325">
        <f>SUMIFS(PAGOS!$D:$D,PAGOS!$A:$A, BASE_CUENTAS!$A325,PAGOS!$B:$B, BASE_CUENTAS!$C325)</f>
        <v>0</v>
      </c>
      <c r="P325" t="str">
        <f>IF(
VLOOKUP($C325,BASE_CIERRE_MES!$C:$G,5,FALSE)=0,
"Normalización",
IF(
VLOOKUP($C325,BASE_CIERRE_MES!$C:$G,5,FALSE)&lt;$H325,
"Recuperación",
IF(
VLOOKUP($C325,BASE_CIERRE_MES!$C:$G,5,FALSE)=$H325,
"Contención",
"Rodamiento"
)))</f>
        <v>Rodamiento</v>
      </c>
      <c r="Q325">
        <f t="shared" si="5"/>
        <v>0</v>
      </c>
    </row>
    <row r="326" spans="1:17" x14ac:dyDescent="0.25">
      <c r="A326">
        <v>8181055</v>
      </c>
      <c r="B326" t="s">
        <v>17</v>
      </c>
      <c r="C326">
        <v>21622993</v>
      </c>
      <c r="D326" t="s">
        <v>7</v>
      </c>
      <c r="E326">
        <v>7170559</v>
      </c>
      <c r="F326" s="2">
        <v>1436715</v>
      </c>
      <c r="G326" s="2">
        <v>1436715</v>
      </c>
      <c r="H326">
        <v>360</v>
      </c>
      <c r="I326" s="1">
        <v>42443</v>
      </c>
      <c r="J326" t="s">
        <v>5</v>
      </c>
      <c r="K326">
        <f>COUNTIFS(GESTIONES!$A:$A, BASE_CUENTAS!$A326, GESTIONES!$B:$B, BASE_CUENTAS!$C326)</f>
        <v>3</v>
      </c>
      <c r="L326">
        <f>COUNTIFS(GESTIONES!$A:$A, BASE_CUENTAS!$A326,GESTIONES!$B:$B, BASE_CUENTAS!$C326,GESTIONES!$E:$E, "S")</f>
        <v>1</v>
      </c>
      <c r="M326">
        <f>COUNTIFS(GESTIONES!$A:$A, BASE_CUENTAS!$A326,GESTIONES!$B:$B, BASE_CUENTAS!$C326,GESTIONES!$E:$E, "N")</f>
        <v>2</v>
      </c>
      <c r="N326">
        <f>COUNTIFS(GESTIONES!$A:$A, BASE_CUENTAS!$A326,GESTIONES!$B:$B, BASE_CUENTAS!$C326,GESTIONES!$D:$D, "SMS")</f>
        <v>0</v>
      </c>
      <c r="O326">
        <f>SUMIFS(PAGOS!$D:$D,PAGOS!$A:$A, BASE_CUENTAS!$A326,PAGOS!$B:$B, BASE_CUENTAS!$C326)</f>
        <v>478905</v>
      </c>
      <c r="P326" t="str">
        <f>IF(
VLOOKUP($C326,BASE_CIERRE_MES!$C:$G,5,FALSE)=0,
"Normalización",
IF(
VLOOKUP($C326,BASE_CIERRE_MES!$C:$G,5,FALSE)&lt;$H326,
"Recuperación",
IF(
VLOOKUP($C326,BASE_CIERRE_MES!$C:$G,5,FALSE)=$H326,
"Contención",
"Rodamiento"
)))</f>
        <v>Contención</v>
      </c>
      <c r="Q326">
        <f t="shared" si="5"/>
        <v>0.33333333333333331</v>
      </c>
    </row>
    <row r="327" spans="1:17" x14ac:dyDescent="0.25">
      <c r="A327">
        <v>8181055</v>
      </c>
      <c r="B327" t="s">
        <v>17</v>
      </c>
      <c r="C327">
        <v>21623286</v>
      </c>
      <c r="D327" t="s">
        <v>7</v>
      </c>
      <c r="E327">
        <v>7170559</v>
      </c>
      <c r="F327" s="2">
        <v>2282558</v>
      </c>
      <c r="G327" s="2">
        <v>2282558</v>
      </c>
      <c r="H327">
        <v>360</v>
      </c>
      <c r="I327" s="1">
        <v>42487</v>
      </c>
      <c r="J327" t="s">
        <v>5</v>
      </c>
      <c r="K327">
        <f>COUNTIFS(GESTIONES!$A:$A, BASE_CUENTAS!$A327, GESTIONES!$B:$B, BASE_CUENTAS!$C327)</f>
        <v>3</v>
      </c>
      <c r="L327">
        <f>COUNTIFS(GESTIONES!$A:$A, BASE_CUENTAS!$A327,GESTIONES!$B:$B, BASE_CUENTAS!$C327,GESTIONES!$E:$E, "S")</f>
        <v>1</v>
      </c>
      <c r="M327">
        <f>COUNTIFS(GESTIONES!$A:$A, BASE_CUENTAS!$A327,GESTIONES!$B:$B, BASE_CUENTAS!$C327,GESTIONES!$E:$E, "N")</f>
        <v>2</v>
      </c>
      <c r="N327">
        <f>COUNTIFS(GESTIONES!$A:$A, BASE_CUENTAS!$A327,GESTIONES!$B:$B, BASE_CUENTAS!$C327,GESTIONES!$D:$D, "SMS")</f>
        <v>1</v>
      </c>
      <c r="O327">
        <f>SUMIFS(PAGOS!$D:$D,PAGOS!$A:$A, BASE_CUENTAS!$A327,PAGOS!$B:$B, BASE_CUENTAS!$C327)</f>
        <v>760853</v>
      </c>
      <c r="P327" t="str">
        <f>IF(
VLOOKUP($C327,BASE_CIERRE_MES!$C:$G,5,FALSE)=0,
"Normalización",
IF(
VLOOKUP($C327,BASE_CIERRE_MES!$C:$G,5,FALSE)&lt;$H327,
"Recuperación",
IF(
VLOOKUP($C327,BASE_CIERRE_MES!$C:$G,5,FALSE)=$H327,
"Contención",
"Rodamiento"
)))</f>
        <v>Contención</v>
      </c>
      <c r="Q327">
        <f t="shared" si="5"/>
        <v>0.33333347936832275</v>
      </c>
    </row>
    <row r="328" spans="1:17" x14ac:dyDescent="0.25">
      <c r="A328">
        <v>8181850</v>
      </c>
      <c r="B328" t="s">
        <v>18</v>
      </c>
      <c r="C328">
        <v>16943512</v>
      </c>
      <c r="D328" t="s">
        <v>7</v>
      </c>
      <c r="E328">
        <v>3150543</v>
      </c>
      <c r="F328" s="2">
        <v>3150543</v>
      </c>
      <c r="G328" s="2">
        <v>356551</v>
      </c>
      <c r="H328">
        <v>30</v>
      </c>
      <c r="I328" s="1">
        <v>42508</v>
      </c>
      <c r="J328" t="s">
        <v>6</v>
      </c>
      <c r="K328">
        <f>COUNTIFS(GESTIONES!$A:$A, BASE_CUENTAS!$A328, GESTIONES!$B:$B, BASE_CUENTAS!$C328)</f>
        <v>3</v>
      </c>
      <c r="L328">
        <f>COUNTIFS(GESTIONES!$A:$A, BASE_CUENTAS!$A328,GESTIONES!$B:$B, BASE_CUENTAS!$C328,GESTIONES!$E:$E, "S")</f>
        <v>0</v>
      </c>
      <c r="M328">
        <f>COUNTIFS(GESTIONES!$A:$A, BASE_CUENTAS!$A328,GESTIONES!$B:$B, BASE_CUENTAS!$C328,GESTIONES!$E:$E, "N")</f>
        <v>3</v>
      </c>
      <c r="N328">
        <f>COUNTIFS(GESTIONES!$A:$A, BASE_CUENTAS!$A328,GESTIONES!$B:$B, BASE_CUENTAS!$C328,GESTIONES!$D:$D, "SMS")</f>
        <v>1</v>
      </c>
      <c r="O328">
        <f>SUMIFS(PAGOS!$D:$D,PAGOS!$A:$A, BASE_CUENTAS!$A328,PAGOS!$B:$B, BASE_CUENTAS!$C328)</f>
        <v>0</v>
      </c>
      <c r="P328" t="str">
        <f>IF(
VLOOKUP($C328,BASE_CIERRE_MES!$C:$G,5,FALSE)=0,
"Normalización",
IF(
VLOOKUP($C328,BASE_CIERRE_MES!$C:$G,5,FALSE)&lt;$H328,
"Recuperación",
IF(
VLOOKUP($C328,BASE_CIERRE_MES!$C:$G,5,FALSE)=$H328,
"Contención",
"Rodamiento"
)))</f>
        <v>Rodamiento</v>
      </c>
      <c r="Q328">
        <f t="shared" si="5"/>
        <v>0</v>
      </c>
    </row>
    <row r="329" spans="1:17" x14ac:dyDescent="0.25">
      <c r="A329">
        <v>8182206</v>
      </c>
      <c r="B329" t="s">
        <v>16</v>
      </c>
      <c r="C329">
        <v>12411571</v>
      </c>
      <c r="D329" t="s">
        <v>7</v>
      </c>
      <c r="E329">
        <v>24483414</v>
      </c>
      <c r="F329" s="2">
        <v>4750021</v>
      </c>
      <c r="G329" s="2">
        <v>4750021</v>
      </c>
      <c r="H329">
        <v>360</v>
      </c>
      <c r="I329" s="1">
        <v>42329</v>
      </c>
      <c r="J329" t="s">
        <v>5</v>
      </c>
      <c r="K329">
        <f>COUNTIFS(GESTIONES!$A:$A, BASE_CUENTAS!$A329, GESTIONES!$B:$B, BASE_CUENTAS!$C329)</f>
        <v>3</v>
      </c>
      <c r="L329">
        <f>COUNTIFS(GESTIONES!$A:$A, BASE_CUENTAS!$A329,GESTIONES!$B:$B, BASE_CUENTAS!$C329,GESTIONES!$E:$E, "S")</f>
        <v>1</v>
      </c>
      <c r="M329">
        <f>COUNTIFS(GESTIONES!$A:$A, BASE_CUENTAS!$A329,GESTIONES!$B:$B, BASE_CUENTAS!$C329,GESTIONES!$E:$E, "N")</f>
        <v>2</v>
      </c>
      <c r="N329">
        <f>COUNTIFS(GESTIONES!$A:$A, BASE_CUENTAS!$A329,GESTIONES!$B:$B, BASE_CUENTAS!$C329,GESTIONES!$D:$D, "SMS")</f>
        <v>2</v>
      </c>
      <c r="O329">
        <f>SUMIFS(PAGOS!$D:$D,PAGOS!$A:$A, BASE_CUENTAS!$A329,PAGOS!$B:$B, BASE_CUENTAS!$C329)</f>
        <v>0</v>
      </c>
      <c r="P329" t="str">
        <f>IF(
VLOOKUP($C329,BASE_CIERRE_MES!$C:$G,5,FALSE)=0,
"Normalización",
IF(
VLOOKUP($C329,BASE_CIERRE_MES!$C:$G,5,FALSE)&lt;$H329,
"Recuperación",
IF(
VLOOKUP($C329,BASE_CIERRE_MES!$C:$G,5,FALSE)=$H329,
"Contención",
"Rodamiento"
)))</f>
        <v>Recuperación</v>
      </c>
      <c r="Q329">
        <f t="shared" si="5"/>
        <v>0</v>
      </c>
    </row>
    <row r="330" spans="1:17" x14ac:dyDescent="0.25">
      <c r="A330">
        <v>8182206</v>
      </c>
      <c r="B330" t="s">
        <v>16</v>
      </c>
      <c r="C330">
        <v>15355963</v>
      </c>
      <c r="D330" t="s">
        <v>7</v>
      </c>
      <c r="E330">
        <v>24483414</v>
      </c>
      <c r="F330" s="2">
        <v>4749692</v>
      </c>
      <c r="G330" s="2">
        <v>4749692</v>
      </c>
      <c r="H330">
        <v>360</v>
      </c>
      <c r="I330" s="1">
        <v>42329</v>
      </c>
      <c r="J330" t="s">
        <v>5</v>
      </c>
      <c r="K330">
        <f>COUNTIFS(GESTIONES!$A:$A, BASE_CUENTAS!$A330, GESTIONES!$B:$B, BASE_CUENTAS!$C330)</f>
        <v>3</v>
      </c>
      <c r="L330">
        <f>COUNTIFS(GESTIONES!$A:$A, BASE_CUENTAS!$A330,GESTIONES!$B:$B, BASE_CUENTAS!$C330,GESTIONES!$E:$E, "S")</f>
        <v>1</v>
      </c>
      <c r="M330">
        <f>COUNTIFS(GESTIONES!$A:$A, BASE_CUENTAS!$A330,GESTIONES!$B:$B, BASE_CUENTAS!$C330,GESTIONES!$E:$E, "N")</f>
        <v>2</v>
      </c>
      <c r="N330">
        <f>COUNTIFS(GESTIONES!$A:$A, BASE_CUENTAS!$A330,GESTIONES!$B:$B, BASE_CUENTAS!$C330,GESTIONES!$D:$D, "SMS")</f>
        <v>0</v>
      </c>
      <c r="O330">
        <f>SUMIFS(PAGOS!$D:$D,PAGOS!$A:$A, BASE_CUENTAS!$A330,PAGOS!$B:$B, BASE_CUENTAS!$C330)</f>
        <v>0</v>
      </c>
      <c r="P330" t="str">
        <f>IF(
VLOOKUP($C330,BASE_CIERRE_MES!$C:$G,5,FALSE)=0,
"Normalización",
IF(
VLOOKUP($C330,BASE_CIERRE_MES!$C:$G,5,FALSE)&lt;$H330,
"Recuperación",
IF(
VLOOKUP($C330,BASE_CIERRE_MES!$C:$G,5,FALSE)=$H330,
"Contención",
"Rodamiento"
)))</f>
        <v>Recuperación</v>
      </c>
      <c r="Q330">
        <f t="shared" si="5"/>
        <v>0</v>
      </c>
    </row>
    <row r="331" spans="1:17" x14ac:dyDescent="0.25">
      <c r="A331">
        <v>8182206</v>
      </c>
      <c r="B331" t="s">
        <v>16</v>
      </c>
      <c r="C331">
        <v>15356943</v>
      </c>
      <c r="D331" t="s">
        <v>7</v>
      </c>
      <c r="E331">
        <v>24483414</v>
      </c>
      <c r="F331" s="2">
        <v>4910018</v>
      </c>
      <c r="G331" s="2">
        <v>4910018</v>
      </c>
      <c r="H331">
        <v>360</v>
      </c>
      <c r="I331" s="1">
        <v>42329</v>
      </c>
      <c r="J331" t="s">
        <v>5</v>
      </c>
      <c r="K331">
        <f>COUNTIFS(GESTIONES!$A:$A, BASE_CUENTAS!$A331, GESTIONES!$B:$B, BASE_CUENTAS!$C331)</f>
        <v>3</v>
      </c>
      <c r="L331">
        <f>COUNTIFS(GESTIONES!$A:$A, BASE_CUENTAS!$A331,GESTIONES!$B:$B, BASE_CUENTAS!$C331,GESTIONES!$E:$E, "S")</f>
        <v>1</v>
      </c>
      <c r="M331">
        <f>COUNTIFS(GESTIONES!$A:$A, BASE_CUENTAS!$A331,GESTIONES!$B:$B, BASE_CUENTAS!$C331,GESTIONES!$E:$E, "N")</f>
        <v>2</v>
      </c>
      <c r="N331">
        <f>COUNTIFS(GESTIONES!$A:$A, BASE_CUENTAS!$A331,GESTIONES!$B:$B, BASE_CUENTAS!$C331,GESTIONES!$D:$D, "SMS")</f>
        <v>0</v>
      </c>
      <c r="O331">
        <f>SUMIFS(PAGOS!$D:$D,PAGOS!$A:$A, BASE_CUENTAS!$A331,PAGOS!$B:$B, BASE_CUENTAS!$C331)</f>
        <v>0</v>
      </c>
      <c r="P331" t="str">
        <f>IF(
VLOOKUP($C331,BASE_CIERRE_MES!$C:$G,5,FALSE)=0,
"Normalización",
IF(
VLOOKUP($C331,BASE_CIERRE_MES!$C:$G,5,FALSE)&lt;$H331,
"Recuperación",
IF(
VLOOKUP($C331,BASE_CIERRE_MES!$C:$G,5,FALSE)=$H331,
"Contención",
"Rodamiento"
)))</f>
        <v>Recuperación</v>
      </c>
      <c r="Q331">
        <f t="shared" si="5"/>
        <v>0</v>
      </c>
    </row>
    <row r="332" spans="1:17" x14ac:dyDescent="0.25">
      <c r="A332">
        <v>8182453</v>
      </c>
      <c r="B332" t="s">
        <v>16</v>
      </c>
      <c r="C332">
        <v>4284933</v>
      </c>
      <c r="D332" t="s">
        <v>7</v>
      </c>
      <c r="E332">
        <v>19225783</v>
      </c>
      <c r="F332" s="2">
        <v>1976706</v>
      </c>
      <c r="G332" s="2">
        <v>306376</v>
      </c>
      <c r="H332">
        <v>60</v>
      </c>
      <c r="I332" s="1">
        <v>42490</v>
      </c>
      <c r="J332" t="s">
        <v>6</v>
      </c>
      <c r="K332">
        <f>COUNTIFS(GESTIONES!$A:$A, BASE_CUENTAS!$A332, GESTIONES!$B:$B, BASE_CUENTAS!$C332)</f>
        <v>3</v>
      </c>
      <c r="L332">
        <f>COUNTIFS(GESTIONES!$A:$A, BASE_CUENTAS!$A332,GESTIONES!$B:$B, BASE_CUENTAS!$C332,GESTIONES!$E:$E, "S")</f>
        <v>1</v>
      </c>
      <c r="M332">
        <f>COUNTIFS(GESTIONES!$A:$A, BASE_CUENTAS!$A332,GESTIONES!$B:$B, BASE_CUENTAS!$C332,GESTIONES!$E:$E, "N")</f>
        <v>2</v>
      </c>
      <c r="N332">
        <f>COUNTIFS(GESTIONES!$A:$A, BASE_CUENTAS!$A332,GESTIONES!$B:$B, BASE_CUENTAS!$C332,GESTIONES!$D:$D, "SMS")</f>
        <v>1</v>
      </c>
      <c r="O332">
        <f>SUMIFS(PAGOS!$D:$D,PAGOS!$A:$A, BASE_CUENTAS!$A332,PAGOS!$B:$B, BASE_CUENTAS!$C332)</f>
        <v>306376</v>
      </c>
      <c r="P332" t="str">
        <f>IF(
VLOOKUP($C332,BASE_CIERRE_MES!$C:$G,5,FALSE)=0,
"Normalización",
IF(
VLOOKUP($C332,BASE_CIERRE_MES!$C:$G,5,FALSE)&lt;$H332,
"Recuperación",
IF(
VLOOKUP($C332,BASE_CIERRE_MES!$C:$G,5,FALSE)=$H332,
"Contención",
"Rodamiento"
)))</f>
        <v>Normalización</v>
      </c>
      <c r="Q332">
        <f t="shared" si="5"/>
        <v>0.15499320586875337</v>
      </c>
    </row>
    <row r="333" spans="1:17" x14ac:dyDescent="0.25">
      <c r="A333">
        <v>8182453</v>
      </c>
      <c r="B333" t="s">
        <v>16</v>
      </c>
      <c r="C333">
        <v>10408712</v>
      </c>
      <c r="D333" t="s">
        <v>7</v>
      </c>
      <c r="E333">
        <v>19225783</v>
      </c>
      <c r="F333" s="2">
        <v>4206613</v>
      </c>
      <c r="G333" s="2">
        <v>338481</v>
      </c>
      <c r="H333">
        <v>30</v>
      </c>
      <c r="I333" s="1">
        <v>42508</v>
      </c>
      <c r="J333" t="s">
        <v>6</v>
      </c>
      <c r="K333">
        <f>COUNTIFS(GESTIONES!$A:$A, BASE_CUENTAS!$A333, GESTIONES!$B:$B, BASE_CUENTAS!$C333)</f>
        <v>3</v>
      </c>
      <c r="L333">
        <f>COUNTIFS(GESTIONES!$A:$A, BASE_CUENTAS!$A333,GESTIONES!$B:$B, BASE_CUENTAS!$C333,GESTIONES!$E:$E, "S")</f>
        <v>0</v>
      </c>
      <c r="M333">
        <f>COUNTIFS(GESTIONES!$A:$A, BASE_CUENTAS!$A333,GESTIONES!$B:$B, BASE_CUENTAS!$C333,GESTIONES!$E:$E, "N")</f>
        <v>3</v>
      </c>
      <c r="N333">
        <f>COUNTIFS(GESTIONES!$A:$A, BASE_CUENTAS!$A333,GESTIONES!$B:$B, BASE_CUENTAS!$C333,GESTIONES!$D:$D, "SMS")</f>
        <v>1</v>
      </c>
      <c r="O333">
        <f>SUMIFS(PAGOS!$D:$D,PAGOS!$A:$A, BASE_CUENTAS!$A333,PAGOS!$B:$B, BASE_CUENTAS!$C333)</f>
        <v>338481</v>
      </c>
      <c r="P333" t="str">
        <f>IF(
VLOOKUP($C333,BASE_CIERRE_MES!$C:$G,5,FALSE)=0,
"Normalización",
IF(
VLOOKUP($C333,BASE_CIERRE_MES!$C:$G,5,FALSE)&lt;$H333,
"Recuperación",
IF(
VLOOKUP($C333,BASE_CIERRE_MES!$C:$G,5,FALSE)=$H333,
"Contención",
"Rodamiento"
)))</f>
        <v>Normalización</v>
      </c>
      <c r="Q333">
        <f t="shared" si="5"/>
        <v>8.0464021767631108E-2</v>
      </c>
    </row>
    <row r="334" spans="1:17" x14ac:dyDescent="0.25">
      <c r="A334">
        <v>8182453</v>
      </c>
      <c r="B334" t="s">
        <v>16</v>
      </c>
      <c r="C334">
        <v>15475872</v>
      </c>
      <c r="D334" t="s">
        <v>7</v>
      </c>
      <c r="E334">
        <v>19225783</v>
      </c>
      <c r="F334" s="2">
        <v>5046959</v>
      </c>
      <c r="G334" s="2">
        <v>513749</v>
      </c>
      <c r="H334">
        <v>30</v>
      </c>
      <c r="I334" s="1">
        <v>42519</v>
      </c>
      <c r="J334" t="s">
        <v>6</v>
      </c>
      <c r="K334">
        <f>COUNTIFS(GESTIONES!$A:$A, BASE_CUENTAS!$A334, GESTIONES!$B:$B, BASE_CUENTAS!$C334)</f>
        <v>3</v>
      </c>
      <c r="L334">
        <f>COUNTIFS(GESTIONES!$A:$A, BASE_CUENTAS!$A334,GESTIONES!$B:$B, BASE_CUENTAS!$C334,GESTIONES!$E:$E, "S")</f>
        <v>1</v>
      </c>
      <c r="M334">
        <f>COUNTIFS(GESTIONES!$A:$A, BASE_CUENTAS!$A334,GESTIONES!$B:$B, BASE_CUENTAS!$C334,GESTIONES!$E:$E, "N")</f>
        <v>2</v>
      </c>
      <c r="N334">
        <f>COUNTIFS(GESTIONES!$A:$A, BASE_CUENTAS!$A334,GESTIONES!$B:$B, BASE_CUENTAS!$C334,GESTIONES!$D:$D, "SMS")</f>
        <v>2</v>
      </c>
      <c r="O334">
        <f>SUMIFS(PAGOS!$D:$D,PAGOS!$A:$A, BASE_CUENTAS!$A334,PAGOS!$B:$B, BASE_CUENTAS!$C334)</f>
        <v>0</v>
      </c>
      <c r="P334" t="str">
        <f>IF(
VLOOKUP($C334,BASE_CIERRE_MES!$C:$G,5,FALSE)=0,
"Normalización",
IF(
VLOOKUP($C334,BASE_CIERRE_MES!$C:$G,5,FALSE)&lt;$H334,
"Recuperación",
IF(
VLOOKUP($C334,BASE_CIERRE_MES!$C:$G,5,FALSE)=$H334,
"Contención",
"Rodamiento"
)))</f>
        <v>Rodamiento</v>
      </c>
      <c r="Q334">
        <f t="shared" si="5"/>
        <v>0</v>
      </c>
    </row>
    <row r="335" spans="1:17" x14ac:dyDescent="0.25">
      <c r="A335">
        <v>8183550</v>
      </c>
      <c r="B335" t="s">
        <v>18</v>
      </c>
      <c r="C335">
        <v>25922154</v>
      </c>
      <c r="D335" t="s">
        <v>7</v>
      </c>
      <c r="E335">
        <v>1817928</v>
      </c>
      <c r="F335" s="2">
        <v>747521</v>
      </c>
      <c r="G335" s="2">
        <v>91498</v>
      </c>
      <c r="H335">
        <v>30</v>
      </c>
      <c r="I335" s="1">
        <v>42521</v>
      </c>
      <c r="J335" t="s">
        <v>4</v>
      </c>
      <c r="K335">
        <f>COUNTIFS(GESTIONES!$A:$A, BASE_CUENTAS!$A335, GESTIONES!$B:$B, BASE_CUENTAS!$C335)</f>
        <v>3</v>
      </c>
      <c r="L335">
        <f>COUNTIFS(GESTIONES!$A:$A, BASE_CUENTAS!$A335,GESTIONES!$B:$B, BASE_CUENTAS!$C335,GESTIONES!$E:$E, "S")</f>
        <v>1</v>
      </c>
      <c r="M335">
        <f>COUNTIFS(GESTIONES!$A:$A, BASE_CUENTAS!$A335,GESTIONES!$B:$B, BASE_CUENTAS!$C335,GESTIONES!$E:$E, "N")</f>
        <v>2</v>
      </c>
      <c r="N335">
        <f>COUNTIFS(GESTIONES!$A:$A, BASE_CUENTAS!$A335,GESTIONES!$B:$B, BASE_CUENTAS!$C335,GESTIONES!$D:$D, "SMS")</f>
        <v>0</v>
      </c>
      <c r="O335">
        <f>SUMIFS(PAGOS!$D:$D,PAGOS!$A:$A, BASE_CUENTAS!$A335,PAGOS!$B:$B, BASE_CUENTAS!$C335)</f>
        <v>0</v>
      </c>
      <c r="P335" t="str">
        <f>IF(
VLOOKUP($C335,BASE_CIERRE_MES!$C:$G,5,FALSE)=0,
"Normalización",
IF(
VLOOKUP($C335,BASE_CIERRE_MES!$C:$G,5,FALSE)&lt;$H335,
"Recuperación",
IF(
VLOOKUP($C335,BASE_CIERRE_MES!$C:$G,5,FALSE)=$H335,
"Contención",
"Rodamiento"
)))</f>
        <v>Rodamiento</v>
      </c>
      <c r="Q335">
        <f t="shared" si="5"/>
        <v>0</v>
      </c>
    </row>
    <row r="336" spans="1:17" x14ac:dyDescent="0.25">
      <c r="A336">
        <v>8183593</v>
      </c>
      <c r="B336" t="s">
        <v>17</v>
      </c>
      <c r="C336">
        <v>3487181</v>
      </c>
      <c r="D336" t="s">
        <v>7</v>
      </c>
      <c r="E336">
        <v>5664055</v>
      </c>
      <c r="F336" s="2">
        <v>3395196</v>
      </c>
      <c r="G336" s="2">
        <v>3395196</v>
      </c>
      <c r="H336">
        <v>150</v>
      </c>
      <c r="I336" s="1">
        <v>42480</v>
      </c>
      <c r="J336" t="s">
        <v>5</v>
      </c>
      <c r="K336">
        <f>COUNTIFS(GESTIONES!$A:$A, BASE_CUENTAS!$A336, GESTIONES!$B:$B, BASE_CUENTAS!$C336)</f>
        <v>3</v>
      </c>
      <c r="L336">
        <f>COUNTIFS(GESTIONES!$A:$A, BASE_CUENTAS!$A336,GESTIONES!$B:$B, BASE_CUENTAS!$C336,GESTIONES!$E:$E, "S")</f>
        <v>1</v>
      </c>
      <c r="M336">
        <f>COUNTIFS(GESTIONES!$A:$A, BASE_CUENTAS!$A336,GESTIONES!$B:$B, BASE_CUENTAS!$C336,GESTIONES!$E:$E, "N")</f>
        <v>2</v>
      </c>
      <c r="N336">
        <f>COUNTIFS(GESTIONES!$A:$A, BASE_CUENTAS!$A336,GESTIONES!$B:$B, BASE_CUENTAS!$C336,GESTIONES!$D:$D, "SMS")</f>
        <v>0</v>
      </c>
      <c r="O336">
        <f>SUMIFS(PAGOS!$D:$D,PAGOS!$A:$A, BASE_CUENTAS!$A336,PAGOS!$B:$B, BASE_CUENTAS!$C336)</f>
        <v>3395196</v>
      </c>
      <c r="P336" t="str">
        <f>IF(
VLOOKUP($C336,BASE_CIERRE_MES!$C:$G,5,FALSE)=0,
"Normalización",
IF(
VLOOKUP($C336,BASE_CIERRE_MES!$C:$G,5,FALSE)&lt;$H336,
"Recuperación",
IF(
VLOOKUP($C336,BASE_CIERRE_MES!$C:$G,5,FALSE)=$H336,
"Contención",
"Rodamiento"
)))</f>
        <v>Normalización</v>
      </c>
      <c r="Q336">
        <f t="shared" si="5"/>
        <v>1</v>
      </c>
    </row>
    <row r="337" spans="1:17" x14ac:dyDescent="0.25">
      <c r="A337">
        <v>8183593</v>
      </c>
      <c r="B337" t="s">
        <v>17</v>
      </c>
      <c r="C337">
        <v>3487537</v>
      </c>
      <c r="D337" t="s">
        <v>7</v>
      </c>
      <c r="E337">
        <v>5664055</v>
      </c>
      <c r="F337" s="2">
        <v>2268860</v>
      </c>
      <c r="G337" s="2">
        <v>2268860</v>
      </c>
      <c r="H337">
        <v>150</v>
      </c>
      <c r="I337" s="1">
        <v>42490</v>
      </c>
      <c r="J337" t="s">
        <v>5</v>
      </c>
      <c r="K337">
        <f>COUNTIFS(GESTIONES!$A:$A, BASE_CUENTAS!$A337, GESTIONES!$B:$B, BASE_CUENTAS!$C337)</f>
        <v>3</v>
      </c>
      <c r="L337">
        <f>COUNTIFS(GESTIONES!$A:$A, BASE_CUENTAS!$A337,GESTIONES!$B:$B, BASE_CUENTAS!$C337,GESTIONES!$E:$E, "S")</f>
        <v>2</v>
      </c>
      <c r="M337">
        <f>COUNTIFS(GESTIONES!$A:$A, BASE_CUENTAS!$A337,GESTIONES!$B:$B, BASE_CUENTAS!$C337,GESTIONES!$E:$E, "N")</f>
        <v>1</v>
      </c>
      <c r="N337">
        <f>COUNTIFS(GESTIONES!$A:$A, BASE_CUENTAS!$A337,GESTIONES!$B:$B, BASE_CUENTAS!$C337,GESTIONES!$D:$D, "SMS")</f>
        <v>1</v>
      </c>
      <c r="O337">
        <f>SUMIFS(PAGOS!$D:$D,PAGOS!$A:$A, BASE_CUENTAS!$A337,PAGOS!$B:$B, BASE_CUENTAS!$C337)</f>
        <v>0</v>
      </c>
      <c r="P337" t="str">
        <f>IF(
VLOOKUP($C337,BASE_CIERRE_MES!$C:$G,5,FALSE)=0,
"Normalización",
IF(
VLOOKUP($C337,BASE_CIERRE_MES!$C:$G,5,FALSE)&lt;$H337,
"Recuperación",
IF(
VLOOKUP($C337,BASE_CIERRE_MES!$C:$G,5,FALSE)=$H337,
"Contención",
"Rodamiento"
)))</f>
        <v>Recuperación</v>
      </c>
      <c r="Q337">
        <f t="shared" si="5"/>
        <v>0</v>
      </c>
    </row>
    <row r="338" spans="1:17" x14ac:dyDescent="0.25">
      <c r="A338">
        <v>8183881</v>
      </c>
      <c r="B338" t="s">
        <v>18</v>
      </c>
      <c r="C338">
        <v>25845909</v>
      </c>
      <c r="D338" t="s">
        <v>7</v>
      </c>
      <c r="E338">
        <v>1935142</v>
      </c>
      <c r="F338" s="2">
        <v>909660</v>
      </c>
      <c r="G338" s="2">
        <v>133003</v>
      </c>
      <c r="H338">
        <v>90</v>
      </c>
      <c r="I338" s="1">
        <v>42481</v>
      </c>
      <c r="J338" t="s">
        <v>5</v>
      </c>
      <c r="K338">
        <f>COUNTIFS(GESTIONES!$A:$A, BASE_CUENTAS!$A338, GESTIONES!$B:$B, BASE_CUENTAS!$C338)</f>
        <v>3</v>
      </c>
      <c r="L338">
        <f>COUNTIFS(GESTIONES!$A:$A, BASE_CUENTAS!$A338,GESTIONES!$B:$B, BASE_CUENTAS!$C338,GESTIONES!$E:$E, "S")</f>
        <v>1</v>
      </c>
      <c r="M338">
        <f>COUNTIFS(GESTIONES!$A:$A, BASE_CUENTAS!$A338,GESTIONES!$B:$B, BASE_CUENTAS!$C338,GESTIONES!$E:$E, "N")</f>
        <v>2</v>
      </c>
      <c r="N338">
        <f>COUNTIFS(GESTIONES!$A:$A, BASE_CUENTAS!$A338,GESTIONES!$B:$B, BASE_CUENTAS!$C338,GESTIONES!$D:$D, "SMS")</f>
        <v>0</v>
      </c>
      <c r="O338">
        <f>SUMIFS(PAGOS!$D:$D,PAGOS!$A:$A, BASE_CUENTAS!$A338,PAGOS!$B:$B, BASE_CUENTAS!$C338)</f>
        <v>133003</v>
      </c>
      <c r="P338" t="str">
        <f>IF(
VLOOKUP($C338,BASE_CIERRE_MES!$C:$G,5,FALSE)=0,
"Normalización",
IF(
VLOOKUP($C338,BASE_CIERRE_MES!$C:$G,5,FALSE)&lt;$H338,
"Recuperación",
IF(
VLOOKUP($C338,BASE_CIERRE_MES!$C:$G,5,FALSE)=$H338,
"Contención",
"Rodamiento"
)))</f>
        <v>Normalización</v>
      </c>
      <c r="Q338">
        <f t="shared" si="5"/>
        <v>0.14621177143108413</v>
      </c>
    </row>
    <row r="339" spans="1:17" x14ac:dyDescent="0.25">
      <c r="A339">
        <v>8183881</v>
      </c>
      <c r="B339" t="s">
        <v>18</v>
      </c>
      <c r="C339">
        <v>25846725</v>
      </c>
      <c r="D339" t="s">
        <v>7</v>
      </c>
      <c r="E339">
        <v>1935142</v>
      </c>
      <c r="F339" s="2">
        <v>1025482</v>
      </c>
      <c r="G339" s="2">
        <v>1025482</v>
      </c>
      <c r="H339">
        <v>150</v>
      </c>
      <c r="I339" s="1">
        <v>42509</v>
      </c>
      <c r="J339" t="s">
        <v>5</v>
      </c>
      <c r="K339">
        <f>COUNTIFS(GESTIONES!$A:$A, BASE_CUENTAS!$A339, GESTIONES!$B:$B, BASE_CUENTAS!$C339)</f>
        <v>3</v>
      </c>
      <c r="L339">
        <f>COUNTIFS(GESTIONES!$A:$A, BASE_CUENTAS!$A339,GESTIONES!$B:$B, BASE_CUENTAS!$C339,GESTIONES!$E:$E, "S")</f>
        <v>0</v>
      </c>
      <c r="M339">
        <f>COUNTIFS(GESTIONES!$A:$A, BASE_CUENTAS!$A339,GESTIONES!$B:$B, BASE_CUENTAS!$C339,GESTIONES!$E:$E, "N")</f>
        <v>3</v>
      </c>
      <c r="N339">
        <f>COUNTIFS(GESTIONES!$A:$A, BASE_CUENTAS!$A339,GESTIONES!$B:$B, BASE_CUENTAS!$C339,GESTIONES!$D:$D, "SMS")</f>
        <v>2</v>
      </c>
      <c r="O339">
        <f>SUMIFS(PAGOS!$D:$D,PAGOS!$A:$A, BASE_CUENTAS!$A339,PAGOS!$B:$B, BASE_CUENTAS!$C339)</f>
        <v>0</v>
      </c>
      <c r="P339" t="str">
        <f>IF(
VLOOKUP($C339,BASE_CIERRE_MES!$C:$G,5,FALSE)=0,
"Normalización",
IF(
VLOOKUP($C339,BASE_CIERRE_MES!$C:$G,5,FALSE)&lt;$H339,
"Recuperación",
IF(
VLOOKUP($C339,BASE_CIERRE_MES!$C:$G,5,FALSE)=$H339,
"Contención",
"Rodamiento"
)))</f>
        <v>Recuperación</v>
      </c>
      <c r="Q339">
        <f t="shared" si="5"/>
        <v>0</v>
      </c>
    </row>
    <row r="340" spans="1:17" x14ac:dyDescent="0.25">
      <c r="A340">
        <v>8184628</v>
      </c>
      <c r="B340" t="s">
        <v>18</v>
      </c>
      <c r="C340">
        <v>24982681</v>
      </c>
      <c r="D340" t="s">
        <v>7</v>
      </c>
      <c r="E340">
        <v>1018077</v>
      </c>
      <c r="F340" s="2">
        <v>1018077</v>
      </c>
      <c r="G340" s="2">
        <v>113865</v>
      </c>
      <c r="H340">
        <v>30</v>
      </c>
      <c r="I340" s="1">
        <v>42509</v>
      </c>
      <c r="J340" t="s">
        <v>6</v>
      </c>
      <c r="K340">
        <f>COUNTIFS(GESTIONES!$A:$A, BASE_CUENTAS!$A340, GESTIONES!$B:$B, BASE_CUENTAS!$C340)</f>
        <v>3</v>
      </c>
      <c r="L340">
        <f>COUNTIFS(GESTIONES!$A:$A, BASE_CUENTAS!$A340,GESTIONES!$B:$B, BASE_CUENTAS!$C340,GESTIONES!$E:$E, "S")</f>
        <v>1</v>
      </c>
      <c r="M340">
        <f>COUNTIFS(GESTIONES!$A:$A, BASE_CUENTAS!$A340,GESTIONES!$B:$B, BASE_CUENTAS!$C340,GESTIONES!$E:$E, "N")</f>
        <v>2</v>
      </c>
      <c r="N340">
        <f>COUNTIFS(GESTIONES!$A:$A, BASE_CUENTAS!$A340,GESTIONES!$B:$B, BASE_CUENTAS!$C340,GESTIONES!$D:$D, "SMS")</f>
        <v>1</v>
      </c>
      <c r="O340">
        <f>SUMIFS(PAGOS!$D:$D,PAGOS!$A:$A, BASE_CUENTAS!$A340,PAGOS!$B:$B, BASE_CUENTAS!$C340)</f>
        <v>0</v>
      </c>
      <c r="P340" t="str">
        <f>IF(
VLOOKUP($C340,BASE_CIERRE_MES!$C:$G,5,FALSE)=0,
"Normalización",
IF(
VLOOKUP($C340,BASE_CIERRE_MES!$C:$G,5,FALSE)&lt;$H340,
"Recuperación",
IF(
VLOOKUP($C340,BASE_CIERRE_MES!$C:$G,5,FALSE)=$H340,
"Contención",
"Rodamiento"
)))</f>
        <v>Rodamiento</v>
      </c>
      <c r="Q340">
        <f t="shared" si="5"/>
        <v>0</v>
      </c>
    </row>
    <row r="341" spans="1:17" x14ac:dyDescent="0.25">
      <c r="A341">
        <v>8184681</v>
      </c>
      <c r="B341" t="s">
        <v>18</v>
      </c>
      <c r="C341">
        <v>21188298</v>
      </c>
      <c r="D341" t="s">
        <v>7</v>
      </c>
      <c r="E341">
        <v>2297800</v>
      </c>
      <c r="F341" s="2">
        <v>851335</v>
      </c>
      <c r="G341" s="2">
        <v>65115</v>
      </c>
      <c r="H341">
        <v>30</v>
      </c>
      <c r="I341" s="1">
        <v>42522</v>
      </c>
      <c r="J341" t="s">
        <v>6</v>
      </c>
      <c r="K341">
        <f>COUNTIFS(GESTIONES!$A:$A, BASE_CUENTAS!$A341, GESTIONES!$B:$B, BASE_CUENTAS!$C341)</f>
        <v>3</v>
      </c>
      <c r="L341">
        <f>COUNTIFS(GESTIONES!$A:$A, BASE_CUENTAS!$A341,GESTIONES!$B:$B, BASE_CUENTAS!$C341,GESTIONES!$E:$E, "S")</f>
        <v>1</v>
      </c>
      <c r="M341">
        <f>COUNTIFS(GESTIONES!$A:$A, BASE_CUENTAS!$A341,GESTIONES!$B:$B, BASE_CUENTAS!$C341,GESTIONES!$E:$E, "N")</f>
        <v>2</v>
      </c>
      <c r="N341">
        <f>COUNTIFS(GESTIONES!$A:$A, BASE_CUENTAS!$A341,GESTIONES!$B:$B, BASE_CUENTAS!$C341,GESTIONES!$D:$D, "SMS")</f>
        <v>0</v>
      </c>
      <c r="O341">
        <f>SUMIFS(PAGOS!$D:$D,PAGOS!$A:$A, BASE_CUENTAS!$A341,PAGOS!$B:$B, BASE_CUENTAS!$C341)</f>
        <v>65115</v>
      </c>
      <c r="P341" t="str">
        <f>IF(
VLOOKUP($C341,BASE_CIERRE_MES!$C:$G,5,FALSE)=0,
"Normalización",
IF(
VLOOKUP($C341,BASE_CIERRE_MES!$C:$G,5,FALSE)&lt;$H341,
"Recuperación",
IF(
VLOOKUP($C341,BASE_CIERRE_MES!$C:$G,5,FALSE)=$H341,
"Contención",
"Rodamiento"
)))</f>
        <v>Normalización</v>
      </c>
      <c r="Q341">
        <f t="shared" si="5"/>
        <v>7.6485754726400304E-2</v>
      </c>
    </row>
    <row r="342" spans="1:17" x14ac:dyDescent="0.25">
      <c r="A342">
        <v>8184854</v>
      </c>
      <c r="B342" t="s">
        <v>16</v>
      </c>
      <c r="C342">
        <v>22156065</v>
      </c>
      <c r="D342" t="s">
        <v>7</v>
      </c>
      <c r="E342">
        <v>64339037</v>
      </c>
      <c r="F342" s="2">
        <v>2272100</v>
      </c>
      <c r="G342" s="2">
        <v>2272100</v>
      </c>
      <c r="H342">
        <v>360</v>
      </c>
      <c r="I342" s="1">
        <v>42506</v>
      </c>
      <c r="J342" t="s">
        <v>5</v>
      </c>
      <c r="K342">
        <f>COUNTIFS(GESTIONES!$A:$A, BASE_CUENTAS!$A342, GESTIONES!$B:$B, BASE_CUENTAS!$C342)</f>
        <v>3</v>
      </c>
      <c r="L342">
        <f>COUNTIFS(GESTIONES!$A:$A, BASE_CUENTAS!$A342,GESTIONES!$B:$B, BASE_CUENTAS!$C342,GESTIONES!$E:$E, "S")</f>
        <v>1</v>
      </c>
      <c r="M342">
        <f>COUNTIFS(GESTIONES!$A:$A, BASE_CUENTAS!$A342,GESTIONES!$B:$B, BASE_CUENTAS!$C342,GESTIONES!$E:$E, "N")</f>
        <v>2</v>
      </c>
      <c r="N342">
        <f>COUNTIFS(GESTIONES!$A:$A, BASE_CUENTAS!$A342,GESTIONES!$B:$B, BASE_CUENTAS!$C342,GESTIONES!$D:$D, "SMS")</f>
        <v>1</v>
      </c>
      <c r="O342">
        <f>SUMIFS(PAGOS!$D:$D,PAGOS!$A:$A, BASE_CUENTAS!$A342,PAGOS!$B:$B, BASE_CUENTAS!$C342)</f>
        <v>0</v>
      </c>
      <c r="P342" t="str">
        <f>IF(
VLOOKUP($C342,BASE_CIERRE_MES!$C:$G,5,FALSE)=0,
"Normalización",
IF(
VLOOKUP($C342,BASE_CIERRE_MES!$C:$G,5,FALSE)&lt;$H342,
"Recuperación",
IF(
VLOOKUP($C342,BASE_CIERRE_MES!$C:$G,5,FALSE)=$H342,
"Contención",
"Rodamiento"
)))</f>
        <v>Recuperación</v>
      </c>
      <c r="Q342">
        <f t="shared" si="5"/>
        <v>0</v>
      </c>
    </row>
    <row r="343" spans="1:17" x14ac:dyDescent="0.25">
      <c r="A343">
        <v>8185898</v>
      </c>
      <c r="B343" t="s">
        <v>18</v>
      </c>
      <c r="C343">
        <v>26379550</v>
      </c>
      <c r="D343" t="s">
        <v>7</v>
      </c>
      <c r="E343">
        <v>1193925</v>
      </c>
      <c r="F343" s="2">
        <v>1193925</v>
      </c>
      <c r="G343" s="2">
        <v>58785</v>
      </c>
      <c r="H343">
        <v>30</v>
      </c>
      <c r="I343" s="1">
        <v>42508</v>
      </c>
      <c r="J343" t="s">
        <v>6</v>
      </c>
      <c r="K343">
        <f>COUNTIFS(GESTIONES!$A:$A, BASE_CUENTAS!$A343, GESTIONES!$B:$B, BASE_CUENTAS!$C343)</f>
        <v>3</v>
      </c>
      <c r="L343">
        <f>COUNTIFS(GESTIONES!$A:$A, BASE_CUENTAS!$A343,GESTIONES!$B:$B, BASE_CUENTAS!$C343,GESTIONES!$E:$E, "S")</f>
        <v>1</v>
      </c>
      <c r="M343">
        <f>COUNTIFS(GESTIONES!$A:$A, BASE_CUENTAS!$A343,GESTIONES!$B:$B, BASE_CUENTAS!$C343,GESTIONES!$E:$E, "N")</f>
        <v>2</v>
      </c>
      <c r="N343">
        <f>COUNTIFS(GESTIONES!$A:$A, BASE_CUENTAS!$A343,GESTIONES!$B:$B, BASE_CUENTAS!$C343,GESTIONES!$D:$D, "SMS")</f>
        <v>0</v>
      </c>
      <c r="O343">
        <f>SUMIFS(PAGOS!$D:$D,PAGOS!$A:$A, BASE_CUENTAS!$A343,PAGOS!$B:$B, BASE_CUENTAS!$C343)</f>
        <v>1193925</v>
      </c>
      <c r="P343" t="str">
        <f>IF(
VLOOKUP($C343,BASE_CIERRE_MES!$C:$G,5,FALSE)=0,
"Normalización",
IF(
VLOOKUP($C343,BASE_CIERRE_MES!$C:$G,5,FALSE)&lt;$H343,
"Recuperación",
IF(
VLOOKUP($C343,BASE_CIERRE_MES!$C:$G,5,FALSE)=$H343,
"Contención",
"Rodamiento"
)))</f>
        <v>Normalización</v>
      </c>
      <c r="Q343">
        <f t="shared" si="5"/>
        <v>1</v>
      </c>
    </row>
    <row r="344" spans="1:17" x14ac:dyDescent="0.25">
      <c r="A344">
        <v>8186426</v>
      </c>
      <c r="B344" t="s">
        <v>18</v>
      </c>
      <c r="C344">
        <v>22931031</v>
      </c>
      <c r="D344" t="s">
        <v>7</v>
      </c>
      <c r="E344">
        <v>80992</v>
      </c>
      <c r="F344" s="2">
        <v>80992</v>
      </c>
      <c r="G344" s="2">
        <v>77981</v>
      </c>
      <c r="H344">
        <v>210</v>
      </c>
      <c r="I344" s="1">
        <v>42447</v>
      </c>
      <c r="J344" t="s">
        <v>5</v>
      </c>
      <c r="K344">
        <f>COUNTIFS(GESTIONES!$A:$A, BASE_CUENTAS!$A344, GESTIONES!$B:$B, BASE_CUENTAS!$C344)</f>
        <v>3</v>
      </c>
      <c r="L344">
        <f>COUNTIFS(GESTIONES!$A:$A, BASE_CUENTAS!$A344,GESTIONES!$B:$B, BASE_CUENTAS!$C344,GESTIONES!$E:$E, "S")</f>
        <v>0</v>
      </c>
      <c r="M344">
        <f>COUNTIFS(GESTIONES!$A:$A, BASE_CUENTAS!$A344,GESTIONES!$B:$B, BASE_CUENTAS!$C344,GESTIONES!$E:$E, "N")</f>
        <v>3</v>
      </c>
      <c r="N344">
        <f>COUNTIFS(GESTIONES!$A:$A, BASE_CUENTAS!$A344,GESTIONES!$B:$B, BASE_CUENTAS!$C344,GESTIONES!$D:$D, "SMS")</f>
        <v>2</v>
      </c>
      <c r="O344">
        <f>SUMIFS(PAGOS!$D:$D,PAGOS!$A:$A, BASE_CUENTAS!$A344,PAGOS!$B:$B, BASE_CUENTAS!$C344)</f>
        <v>80992</v>
      </c>
      <c r="P344" t="str">
        <f>IF(
VLOOKUP($C344,BASE_CIERRE_MES!$C:$G,5,FALSE)=0,
"Normalización",
IF(
VLOOKUP($C344,BASE_CIERRE_MES!$C:$G,5,FALSE)&lt;$H344,
"Recuperación",
IF(
VLOOKUP($C344,BASE_CIERRE_MES!$C:$G,5,FALSE)=$H344,
"Contención",
"Rodamiento"
)))</f>
        <v>Normalización</v>
      </c>
      <c r="Q344">
        <f t="shared" si="5"/>
        <v>1</v>
      </c>
    </row>
    <row r="345" spans="1:17" x14ac:dyDescent="0.25">
      <c r="A345">
        <v>8187113</v>
      </c>
      <c r="B345" t="s">
        <v>18</v>
      </c>
      <c r="C345">
        <v>21767160</v>
      </c>
      <c r="D345" t="s">
        <v>7</v>
      </c>
      <c r="E345">
        <v>950272</v>
      </c>
      <c r="F345" s="2">
        <v>950272</v>
      </c>
      <c r="G345" s="2">
        <v>339772</v>
      </c>
      <c r="H345">
        <v>60</v>
      </c>
      <c r="I345" s="1">
        <v>42480</v>
      </c>
      <c r="J345" t="s">
        <v>6</v>
      </c>
      <c r="K345">
        <f>COUNTIFS(GESTIONES!$A:$A, BASE_CUENTAS!$A345, GESTIONES!$B:$B, BASE_CUENTAS!$C345)</f>
        <v>3</v>
      </c>
      <c r="L345">
        <f>COUNTIFS(GESTIONES!$A:$A, BASE_CUENTAS!$A345,GESTIONES!$B:$B, BASE_CUENTAS!$C345,GESTIONES!$E:$E, "S")</f>
        <v>1</v>
      </c>
      <c r="M345">
        <f>COUNTIFS(GESTIONES!$A:$A, BASE_CUENTAS!$A345,GESTIONES!$B:$B, BASE_CUENTAS!$C345,GESTIONES!$E:$E, "N")</f>
        <v>2</v>
      </c>
      <c r="N345">
        <f>COUNTIFS(GESTIONES!$A:$A, BASE_CUENTAS!$A345,GESTIONES!$B:$B, BASE_CUENTAS!$C345,GESTIONES!$D:$D, "SMS")</f>
        <v>1</v>
      </c>
      <c r="O345">
        <f>SUMIFS(PAGOS!$D:$D,PAGOS!$A:$A, BASE_CUENTAS!$A345,PAGOS!$B:$B, BASE_CUENTAS!$C345)</f>
        <v>169887</v>
      </c>
      <c r="P345" t="str">
        <f>IF(
VLOOKUP($C345,BASE_CIERRE_MES!$C:$G,5,FALSE)=0,
"Normalización",
IF(
VLOOKUP($C345,BASE_CIERRE_MES!$C:$G,5,FALSE)&lt;$H345,
"Recuperación",
IF(
VLOOKUP($C345,BASE_CIERRE_MES!$C:$G,5,FALSE)=$H345,
"Contención",
"Rodamiento"
)))</f>
        <v>Recuperación</v>
      </c>
      <c r="Q345">
        <f t="shared" si="5"/>
        <v>0.17877723430765086</v>
      </c>
    </row>
    <row r="346" spans="1:17" x14ac:dyDescent="0.25">
      <c r="A346">
        <v>8187231</v>
      </c>
      <c r="B346" t="s">
        <v>18</v>
      </c>
      <c r="C346">
        <v>28056854</v>
      </c>
      <c r="D346" t="s">
        <v>7</v>
      </c>
      <c r="E346">
        <v>1217947</v>
      </c>
      <c r="F346" s="2">
        <v>1217947</v>
      </c>
      <c r="G346" s="2">
        <v>155692</v>
      </c>
      <c r="H346">
        <v>30</v>
      </c>
      <c r="I346" s="1">
        <v>42522</v>
      </c>
      <c r="J346" t="s">
        <v>6</v>
      </c>
      <c r="K346">
        <f>COUNTIFS(GESTIONES!$A:$A, BASE_CUENTAS!$A346, GESTIONES!$B:$B, BASE_CUENTAS!$C346)</f>
        <v>3</v>
      </c>
      <c r="L346">
        <f>COUNTIFS(GESTIONES!$A:$A, BASE_CUENTAS!$A346,GESTIONES!$B:$B, BASE_CUENTAS!$C346,GESTIONES!$E:$E, "S")</f>
        <v>1</v>
      </c>
      <c r="M346">
        <f>COUNTIFS(GESTIONES!$A:$A, BASE_CUENTAS!$A346,GESTIONES!$B:$B, BASE_CUENTAS!$C346,GESTIONES!$E:$E, "N")</f>
        <v>2</v>
      </c>
      <c r="N346">
        <f>COUNTIFS(GESTIONES!$A:$A, BASE_CUENTAS!$A346,GESTIONES!$B:$B, BASE_CUENTAS!$C346,GESTIONES!$D:$D, "SMS")</f>
        <v>0</v>
      </c>
      <c r="O346">
        <f>SUMIFS(PAGOS!$D:$D,PAGOS!$A:$A, BASE_CUENTAS!$A346,PAGOS!$B:$B, BASE_CUENTAS!$C346)</f>
        <v>0</v>
      </c>
      <c r="P346" t="str">
        <f>IF(
VLOOKUP($C346,BASE_CIERRE_MES!$C:$G,5,FALSE)=0,
"Normalización",
IF(
VLOOKUP($C346,BASE_CIERRE_MES!$C:$G,5,FALSE)&lt;$H346,
"Recuperación",
IF(
VLOOKUP($C346,BASE_CIERRE_MES!$C:$G,5,FALSE)=$H346,
"Contención",
"Rodamiento"
)))</f>
        <v>Rodamiento</v>
      </c>
      <c r="Q346">
        <f t="shared" si="5"/>
        <v>0</v>
      </c>
    </row>
    <row r="347" spans="1:17" x14ac:dyDescent="0.25">
      <c r="A347">
        <v>8187553</v>
      </c>
      <c r="B347" t="s">
        <v>18</v>
      </c>
      <c r="C347">
        <v>27233220</v>
      </c>
      <c r="D347" t="s">
        <v>7</v>
      </c>
      <c r="E347">
        <v>711171</v>
      </c>
      <c r="F347" s="2">
        <v>711171</v>
      </c>
      <c r="G347" s="2">
        <v>711171</v>
      </c>
      <c r="H347">
        <v>150</v>
      </c>
      <c r="I347" s="1">
        <v>42508</v>
      </c>
      <c r="J347" t="s">
        <v>5</v>
      </c>
      <c r="K347">
        <f>COUNTIFS(GESTIONES!$A:$A, BASE_CUENTAS!$A347, GESTIONES!$B:$B, BASE_CUENTAS!$C347)</f>
        <v>3</v>
      </c>
      <c r="L347">
        <f>COUNTIFS(GESTIONES!$A:$A, BASE_CUENTAS!$A347,GESTIONES!$B:$B, BASE_CUENTAS!$C347,GESTIONES!$E:$E, "S")</f>
        <v>1</v>
      </c>
      <c r="M347">
        <f>COUNTIFS(GESTIONES!$A:$A, BASE_CUENTAS!$A347,GESTIONES!$B:$B, BASE_CUENTAS!$C347,GESTIONES!$E:$E, "N")</f>
        <v>2</v>
      </c>
      <c r="N347">
        <f>COUNTIFS(GESTIONES!$A:$A, BASE_CUENTAS!$A347,GESTIONES!$B:$B, BASE_CUENTAS!$C347,GESTIONES!$D:$D, "SMS")</f>
        <v>1</v>
      </c>
      <c r="O347">
        <f>SUMIFS(PAGOS!$D:$D,PAGOS!$A:$A, BASE_CUENTAS!$A347,PAGOS!$B:$B, BASE_CUENTAS!$C347)</f>
        <v>355586</v>
      </c>
      <c r="P347" t="str">
        <f>IF(
VLOOKUP($C347,BASE_CIERRE_MES!$C:$G,5,FALSE)=0,
"Normalización",
IF(
VLOOKUP($C347,BASE_CIERRE_MES!$C:$G,5,FALSE)&lt;$H347,
"Recuperación",
IF(
VLOOKUP($C347,BASE_CIERRE_MES!$C:$G,5,FALSE)=$H347,
"Contención",
"Rodamiento"
)))</f>
        <v>Recuperación</v>
      </c>
      <c r="Q347">
        <f t="shared" si="5"/>
        <v>0.5000007030657887</v>
      </c>
    </row>
    <row r="348" spans="1:17" x14ac:dyDescent="0.25">
      <c r="A348">
        <v>8187734</v>
      </c>
      <c r="B348" t="s">
        <v>18</v>
      </c>
      <c r="C348">
        <v>10938673</v>
      </c>
      <c r="D348" t="s">
        <v>7</v>
      </c>
      <c r="E348">
        <v>3234783</v>
      </c>
      <c r="F348" s="2">
        <v>585862</v>
      </c>
      <c r="G348" s="2">
        <v>80085</v>
      </c>
      <c r="H348">
        <v>30</v>
      </c>
      <c r="I348" s="1">
        <v>42522</v>
      </c>
      <c r="J348" t="s">
        <v>6</v>
      </c>
      <c r="K348">
        <f>COUNTIFS(GESTIONES!$A:$A, BASE_CUENTAS!$A348, GESTIONES!$B:$B, BASE_CUENTAS!$C348)</f>
        <v>3</v>
      </c>
      <c r="L348">
        <f>COUNTIFS(GESTIONES!$A:$A, BASE_CUENTAS!$A348,GESTIONES!$B:$B, BASE_CUENTAS!$C348,GESTIONES!$E:$E, "S")</f>
        <v>1</v>
      </c>
      <c r="M348">
        <f>COUNTIFS(GESTIONES!$A:$A, BASE_CUENTAS!$A348,GESTIONES!$B:$B, BASE_CUENTAS!$C348,GESTIONES!$E:$E, "N")</f>
        <v>2</v>
      </c>
      <c r="N348">
        <f>COUNTIFS(GESTIONES!$A:$A, BASE_CUENTAS!$A348,GESTIONES!$B:$B, BASE_CUENTAS!$C348,GESTIONES!$D:$D, "SMS")</f>
        <v>0</v>
      </c>
      <c r="O348">
        <f>SUMIFS(PAGOS!$D:$D,PAGOS!$A:$A, BASE_CUENTAS!$A348,PAGOS!$B:$B, BASE_CUENTAS!$C348)</f>
        <v>0</v>
      </c>
      <c r="P348" t="str">
        <f>IF(
VLOOKUP($C348,BASE_CIERRE_MES!$C:$G,5,FALSE)=0,
"Normalización",
IF(
VLOOKUP($C348,BASE_CIERRE_MES!$C:$G,5,FALSE)&lt;$H348,
"Recuperación",
IF(
VLOOKUP($C348,BASE_CIERRE_MES!$C:$G,5,FALSE)=$H348,
"Contención",
"Rodamiento"
)))</f>
        <v>Rodamiento</v>
      </c>
      <c r="Q348">
        <f t="shared" si="5"/>
        <v>0</v>
      </c>
    </row>
    <row r="349" spans="1:17" x14ac:dyDescent="0.25">
      <c r="A349">
        <v>8187955</v>
      </c>
      <c r="B349" t="s">
        <v>18</v>
      </c>
      <c r="C349">
        <v>22742458</v>
      </c>
      <c r="D349" t="s">
        <v>7</v>
      </c>
      <c r="E349">
        <v>352233</v>
      </c>
      <c r="F349" s="2">
        <v>352233</v>
      </c>
      <c r="G349" s="2">
        <v>73589</v>
      </c>
      <c r="H349">
        <v>30</v>
      </c>
      <c r="I349" s="1">
        <v>42521</v>
      </c>
      <c r="J349" t="s">
        <v>4</v>
      </c>
      <c r="K349">
        <f>COUNTIFS(GESTIONES!$A:$A, BASE_CUENTAS!$A349, GESTIONES!$B:$B, BASE_CUENTAS!$C349)</f>
        <v>3</v>
      </c>
      <c r="L349">
        <f>COUNTIFS(GESTIONES!$A:$A, BASE_CUENTAS!$A349,GESTIONES!$B:$B, BASE_CUENTAS!$C349,GESTIONES!$E:$E, "S")</f>
        <v>0</v>
      </c>
      <c r="M349">
        <f>COUNTIFS(GESTIONES!$A:$A, BASE_CUENTAS!$A349,GESTIONES!$B:$B, BASE_CUENTAS!$C349,GESTIONES!$E:$E, "N")</f>
        <v>3</v>
      </c>
      <c r="N349">
        <f>COUNTIFS(GESTIONES!$A:$A, BASE_CUENTAS!$A349,GESTIONES!$B:$B, BASE_CUENTAS!$C349,GESTIONES!$D:$D, "SMS")</f>
        <v>2</v>
      </c>
      <c r="O349">
        <f>SUMIFS(PAGOS!$D:$D,PAGOS!$A:$A, BASE_CUENTAS!$A349,PAGOS!$B:$B, BASE_CUENTAS!$C349)</f>
        <v>24530</v>
      </c>
      <c r="P349" t="str">
        <f>IF(
VLOOKUP($C349,BASE_CIERRE_MES!$C:$G,5,FALSE)=0,
"Normalización",
IF(
VLOOKUP($C349,BASE_CIERRE_MES!$C:$G,5,FALSE)&lt;$H349,
"Recuperación",
IF(
VLOOKUP($C349,BASE_CIERRE_MES!$C:$G,5,FALSE)=$H349,
"Contención",
"Rodamiento"
)))</f>
        <v>Contención</v>
      </c>
      <c r="Q349">
        <f t="shared" si="5"/>
        <v>6.9641402140060704E-2</v>
      </c>
    </row>
    <row r="350" spans="1:17" x14ac:dyDescent="0.25">
      <c r="A350">
        <v>8188190</v>
      </c>
      <c r="B350" t="s">
        <v>16</v>
      </c>
      <c r="C350">
        <v>22079343</v>
      </c>
      <c r="D350" t="s">
        <v>9</v>
      </c>
      <c r="E350">
        <v>12483625</v>
      </c>
      <c r="F350" s="2">
        <v>7036041</v>
      </c>
      <c r="G350" s="2">
        <v>1419385</v>
      </c>
      <c r="H350">
        <v>67</v>
      </c>
      <c r="I350" s="1">
        <v>42523</v>
      </c>
      <c r="J350" t="s">
        <v>6</v>
      </c>
      <c r="K350">
        <f>COUNTIFS(GESTIONES!$A:$A, BASE_CUENTAS!$A350, GESTIONES!$B:$B, BASE_CUENTAS!$C350)</f>
        <v>3</v>
      </c>
      <c r="L350">
        <f>COUNTIFS(GESTIONES!$A:$A, BASE_CUENTAS!$A350,GESTIONES!$B:$B, BASE_CUENTAS!$C350,GESTIONES!$E:$E, "S")</f>
        <v>1</v>
      </c>
      <c r="M350">
        <f>COUNTIFS(GESTIONES!$A:$A, BASE_CUENTAS!$A350,GESTIONES!$B:$B, BASE_CUENTAS!$C350,GESTIONES!$E:$E, "N")</f>
        <v>2</v>
      </c>
      <c r="N350">
        <f>COUNTIFS(GESTIONES!$A:$A, BASE_CUENTAS!$A350,GESTIONES!$B:$B, BASE_CUENTAS!$C350,GESTIONES!$D:$D, "SMS")</f>
        <v>1</v>
      </c>
      <c r="O350">
        <f>SUMIFS(PAGOS!$D:$D,PAGOS!$A:$A, BASE_CUENTAS!$A350,PAGOS!$B:$B, BASE_CUENTAS!$C350)</f>
        <v>709693</v>
      </c>
      <c r="P350" t="str">
        <f>IF(
VLOOKUP($C350,BASE_CIERRE_MES!$C:$G,5,FALSE)=0,
"Normalización",
IF(
VLOOKUP($C350,BASE_CIERRE_MES!$C:$G,5,FALSE)&lt;$H350,
"Recuperación",
IF(
VLOOKUP($C350,BASE_CIERRE_MES!$C:$G,5,FALSE)=$H350,
"Contención",
"Rodamiento"
)))</f>
        <v>Recuperación</v>
      </c>
      <c r="Q350">
        <f t="shared" si="5"/>
        <v>0.10086538722557188</v>
      </c>
    </row>
    <row r="351" spans="1:17" x14ac:dyDescent="0.25">
      <c r="A351">
        <v>8188190</v>
      </c>
      <c r="B351" t="s">
        <v>16</v>
      </c>
      <c r="C351">
        <v>23063678</v>
      </c>
      <c r="D351" t="s">
        <v>7</v>
      </c>
      <c r="E351">
        <v>12483625</v>
      </c>
      <c r="F351" s="2">
        <v>1753736</v>
      </c>
      <c r="G351" s="2">
        <v>175160</v>
      </c>
      <c r="H351">
        <v>30</v>
      </c>
      <c r="I351" s="1">
        <v>42523</v>
      </c>
      <c r="J351" t="s">
        <v>6</v>
      </c>
      <c r="K351">
        <f>COUNTIFS(GESTIONES!$A:$A, BASE_CUENTAS!$A351, GESTIONES!$B:$B, BASE_CUENTAS!$C351)</f>
        <v>3</v>
      </c>
      <c r="L351">
        <f>COUNTIFS(GESTIONES!$A:$A, BASE_CUENTAS!$A351,GESTIONES!$B:$B, BASE_CUENTAS!$C351,GESTIONES!$E:$E, "S")</f>
        <v>1</v>
      </c>
      <c r="M351">
        <f>COUNTIFS(GESTIONES!$A:$A, BASE_CUENTAS!$A351,GESTIONES!$B:$B, BASE_CUENTAS!$C351,GESTIONES!$E:$E, "N")</f>
        <v>2</v>
      </c>
      <c r="N351">
        <f>COUNTIFS(GESTIONES!$A:$A, BASE_CUENTAS!$A351,GESTIONES!$B:$B, BASE_CUENTAS!$C351,GESTIONES!$D:$D, "SMS")</f>
        <v>0</v>
      </c>
      <c r="O351">
        <f>SUMIFS(PAGOS!$D:$D,PAGOS!$A:$A, BASE_CUENTAS!$A351,PAGOS!$B:$B, BASE_CUENTAS!$C351)</f>
        <v>0</v>
      </c>
      <c r="P351" t="str">
        <f>IF(
VLOOKUP($C351,BASE_CIERRE_MES!$C:$G,5,FALSE)=0,
"Normalización",
IF(
VLOOKUP($C351,BASE_CIERRE_MES!$C:$G,5,FALSE)&lt;$H351,
"Recuperación",
IF(
VLOOKUP($C351,BASE_CIERRE_MES!$C:$G,5,FALSE)=$H351,
"Contención",
"Rodamiento"
)))</f>
        <v>Rodamiento</v>
      </c>
      <c r="Q351">
        <f t="shared" si="5"/>
        <v>0</v>
      </c>
    </row>
    <row r="352" spans="1:17" x14ac:dyDescent="0.25">
      <c r="A352">
        <v>8188190</v>
      </c>
      <c r="B352" t="s">
        <v>16</v>
      </c>
      <c r="C352">
        <v>23064775</v>
      </c>
      <c r="D352" t="s">
        <v>7</v>
      </c>
      <c r="E352">
        <v>12483625</v>
      </c>
      <c r="F352" s="2">
        <v>3693847</v>
      </c>
      <c r="G352" s="2">
        <v>557137</v>
      </c>
      <c r="H352">
        <v>60</v>
      </c>
      <c r="I352" s="1">
        <v>42523</v>
      </c>
      <c r="J352" t="s">
        <v>6</v>
      </c>
      <c r="K352">
        <f>COUNTIFS(GESTIONES!$A:$A, BASE_CUENTAS!$A352, GESTIONES!$B:$B, BASE_CUENTAS!$C352)</f>
        <v>3</v>
      </c>
      <c r="L352">
        <f>COUNTIFS(GESTIONES!$A:$A, BASE_CUENTAS!$A352,GESTIONES!$B:$B, BASE_CUENTAS!$C352,GESTIONES!$E:$E, "S")</f>
        <v>1</v>
      </c>
      <c r="M352">
        <f>COUNTIFS(GESTIONES!$A:$A, BASE_CUENTAS!$A352,GESTIONES!$B:$B, BASE_CUENTAS!$C352,GESTIONES!$E:$E, "N")</f>
        <v>2</v>
      </c>
      <c r="N352">
        <f>COUNTIFS(GESTIONES!$A:$A, BASE_CUENTAS!$A352,GESTIONES!$B:$B, BASE_CUENTAS!$C352,GESTIONES!$D:$D, "SMS")</f>
        <v>1</v>
      </c>
      <c r="O352">
        <f>SUMIFS(PAGOS!$D:$D,PAGOS!$A:$A, BASE_CUENTAS!$A352,PAGOS!$B:$B, BASE_CUENTAS!$C352)</f>
        <v>0</v>
      </c>
      <c r="P352" t="str">
        <f>IF(
VLOOKUP($C352,BASE_CIERRE_MES!$C:$G,5,FALSE)=0,
"Normalización",
IF(
VLOOKUP($C352,BASE_CIERRE_MES!$C:$G,5,FALSE)&lt;$H352,
"Recuperación",
IF(
VLOOKUP($C352,BASE_CIERRE_MES!$C:$G,5,FALSE)=$H352,
"Contención",
"Rodamiento"
)))</f>
        <v>Rodamiento</v>
      </c>
      <c r="Q352">
        <f t="shared" si="5"/>
        <v>0</v>
      </c>
    </row>
    <row r="353" spans="1:17" x14ac:dyDescent="0.25">
      <c r="A353">
        <v>8188778</v>
      </c>
      <c r="B353" t="s">
        <v>17</v>
      </c>
      <c r="C353">
        <v>24100840</v>
      </c>
      <c r="D353" t="s">
        <v>7</v>
      </c>
      <c r="E353">
        <v>7439754</v>
      </c>
      <c r="F353" s="2">
        <v>908827</v>
      </c>
      <c r="G353" s="2">
        <v>283675</v>
      </c>
      <c r="H353">
        <v>60</v>
      </c>
      <c r="I353" s="1">
        <v>42487</v>
      </c>
      <c r="J353" t="s">
        <v>6</v>
      </c>
      <c r="K353">
        <f>COUNTIFS(GESTIONES!$A:$A, BASE_CUENTAS!$A353, GESTIONES!$B:$B, BASE_CUENTAS!$C353)</f>
        <v>3</v>
      </c>
      <c r="L353">
        <f>COUNTIFS(GESTIONES!$A:$A, BASE_CUENTAS!$A353,GESTIONES!$B:$B, BASE_CUENTAS!$C353,GESTIONES!$E:$E, "S")</f>
        <v>2</v>
      </c>
      <c r="M353">
        <f>COUNTIFS(GESTIONES!$A:$A, BASE_CUENTAS!$A353,GESTIONES!$B:$B, BASE_CUENTAS!$C353,GESTIONES!$E:$E, "N")</f>
        <v>1</v>
      </c>
      <c r="N353">
        <f>COUNTIFS(GESTIONES!$A:$A, BASE_CUENTAS!$A353,GESTIONES!$B:$B, BASE_CUENTAS!$C353,GESTIONES!$D:$D, "SMS")</f>
        <v>0</v>
      </c>
      <c r="O353">
        <f>SUMIFS(PAGOS!$D:$D,PAGOS!$A:$A, BASE_CUENTAS!$A353,PAGOS!$B:$B, BASE_CUENTAS!$C353)</f>
        <v>0</v>
      </c>
      <c r="P353" t="str">
        <f>IF(
VLOOKUP($C353,BASE_CIERRE_MES!$C:$G,5,FALSE)=0,
"Normalización",
IF(
VLOOKUP($C353,BASE_CIERRE_MES!$C:$G,5,FALSE)&lt;$H353,
"Recuperación",
IF(
VLOOKUP($C353,BASE_CIERRE_MES!$C:$G,5,FALSE)=$H353,
"Contención",
"Rodamiento"
)))</f>
        <v>Rodamiento</v>
      </c>
      <c r="Q353">
        <f t="shared" si="5"/>
        <v>0</v>
      </c>
    </row>
    <row r="354" spans="1:17" x14ac:dyDescent="0.25">
      <c r="A354">
        <v>8188778</v>
      </c>
      <c r="B354" t="s">
        <v>17</v>
      </c>
      <c r="C354">
        <v>24358304</v>
      </c>
      <c r="D354" t="s">
        <v>7</v>
      </c>
      <c r="E354">
        <v>7439754</v>
      </c>
      <c r="F354" s="2">
        <v>2816341</v>
      </c>
      <c r="G354" s="2">
        <v>971609</v>
      </c>
      <c r="H354">
        <v>60</v>
      </c>
      <c r="I354" s="1">
        <v>42481</v>
      </c>
      <c r="J354" t="s">
        <v>6</v>
      </c>
      <c r="K354">
        <f>COUNTIFS(GESTIONES!$A:$A, BASE_CUENTAS!$A354, GESTIONES!$B:$B, BASE_CUENTAS!$C354)</f>
        <v>3</v>
      </c>
      <c r="L354">
        <f>COUNTIFS(GESTIONES!$A:$A, BASE_CUENTAS!$A354,GESTIONES!$B:$B, BASE_CUENTAS!$C354,GESTIONES!$E:$E, "S")</f>
        <v>1</v>
      </c>
      <c r="M354">
        <f>COUNTIFS(GESTIONES!$A:$A, BASE_CUENTAS!$A354,GESTIONES!$B:$B, BASE_CUENTAS!$C354,GESTIONES!$E:$E, "N")</f>
        <v>2</v>
      </c>
      <c r="N354">
        <f>COUNTIFS(GESTIONES!$A:$A, BASE_CUENTAS!$A354,GESTIONES!$B:$B, BASE_CUENTAS!$C354,GESTIONES!$D:$D, "SMS")</f>
        <v>1</v>
      </c>
      <c r="O354">
        <f>SUMIFS(PAGOS!$D:$D,PAGOS!$A:$A, BASE_CUENTAS!$A354,PAGOS!$B:$B, BASE_CUENTAS!$C354)</f>
        <v>2816341</v>
      </c>
      <c r="P354" t="str">
        <f>IF(
VLOOKUP($C354,BASE_CIERRE_MES!$C:$G,5,FALSE)=0,
"Normalización",
IF(
VLOOKUP($C354,BASE_CIERRE_MES!$C:$G,5,FALSE)&lt;$H354,
"Recuperación",
IF(
VLOOKUP($C354,BASE_CIERRE_MES!$C:$G,5,FALSE)=$H354,
"Contención",
"Rodamiento"
)))</f>
        <v>Normalización</v>
      </c>
      <c r="Q354">
        <f t="shared" si="5"/>
        <v>1</v>
      </c>
    </row>
    <row r="355" spans="1:17" x14ac:dyDescent="0.25">
      <c r="A355">
        <v>8188778</v>
      </c>
      <c r="B355" t="s">
        <v>17</v>
      </c>
      <c r="C355">
        <v>24359949</v>
      </c>
      <c r="D355" t="s">
        <v>7</v>
      </c>
      <c r="E355">
        <v>7439754</v>
      </c>
      <c r="F355" s="2">
        <v>3714585</v>
      </c>
      <c r="G355" s="2">
        <v>1184221</v>
      </c>
      <c r="H355">
        <v>60</v>
      </c>
      <c r="I355" s="1">
        <v>42480</v>
      </c>
      <c r="J355" t="s">
        <v>6</v>
      </c>
      <c r="K355">
        <f>COUNTIFS(GESTIONES!$A:$A, BASE_CUENTAS!$A355, GESTIONES!$B:$B, BASE_CUENTAS!$C355)</f>
        <v>3</v>
      </c>
      <c r="L355">
        <f>COUNTIFS(GESTIONES!$A:$A, BASE_CUENTAS!$A355,GESTIONES!$B:$B, BASE_CUENTAS!$C355,GESTIONES!$E:$E, "S")</f>
        <v>0</v>
      </c>
      <c r="M355">
        <f>COUNTIFS(GESTIONES!$A:$A, BASE_CUENTAS!$A355,GESTIONES!$B:$B, BASE_CUENTAS!$C355,GESTIONES!$E:$E, "N")</f>
        <v>3</v>
      </c>
      <c r="N355">
        <f>COUNTIFS(GESTIONES!$A:$A, BASE_CUENTAS!$A355,GESTIONES!$B:$B, BASE_CUENTAS!$C355,GESTIONES!$D:$D, "SMS")</f>
        <v>1</v>
      </c>
      <c r="O355">
        <f>SUMIFS(PAGOS!$D:$D,PAGOS!$A:$A, BASE_CUENTAS!$A355,PAGOS!$B:$B, BASE_CUENTAS!$C355)</f>
        <v>0</v>
      </c>
      <c r="P355" t="str">
        <f>IF(
VLOOKUP($C355,BASE_CIERRE_MES!$C:$G,5,FALSE)=0,
"Normalización",
IF(
VLOOKUP($C355,BASE_CIERRE_MES!$C:$G,5,FALSE)&lt;$H355,
"Recuperación",
IF(
VLOOKUP($C355,BASE_CIERRE_MES!$C:$G,5,FALSE)=$H355,
"Contención",
"Rodamiento"
)))</f>
        <v>Rodamiento</v>
      </c>
      <c r="Q355">
        <f t="shared" si="5"/>
        <v>0</v>
      </c>
    </row>
    <row r="356" spans="1:17" x14ac:dyDescent="0.25">
      <c r="A356">
        <v>8188922</v>
      </c>
      <c r="B356" t="s">
        <v>16</v>
      </c>
      <c r="C356">
        <v>25276234</v>
      </c>
      <c r="D356" t="s">
        <v>7</v>
      </c>
      <c r="E356">
        <v>42140387</v>
      </c>
      <c r="F356" s="2">
        <v>2865296</v>
      </c>
      <c r="G356" s="2">
        <v>1302447</v>
      </c>
      <c r="H356">
        <v>90</v>
      </c>
      <c r="I356" s="1">
        <v>42459</v>
      </c>
      <c r="J356" t="s">
        <v>5</v>
      </c>
      <c r="K356">
        <f>COUNTIFS(GESTIONES!$A:$A, BASE_CUENTAS!$A356, GESTIONES!$B:$B, BASE_CUENTAS!$C356)</f>
        <v>3</v>
      </c>
      <c r="L356">
        <f>COUNTIFS(GESTIONES!$A:$A, BASE_CUENTAS!$A356,GESTIONES!$B:$B, BASE_CUENTAS!$C356,GESTIONES!$E:$E, "S")</f>
        <v>1</v>
      </c>
      <c r="M356">
        <f>COUNTIFS(GESTIONES!$A:$A, BASE_CUENTAS!$A356,GESTIONES!$B:$B, BASE_CUENTAS!$C356,GESTIONES!$E:$E, "N")</f>
        <v>2</v>
      </c>
      <c r="N356">
        <f>COUNTIFS(GESTIONES!$A:$A, BASE_CUENTAS!$A356,GESTIONES!$B:$B, BASE_CUENTAS!$C356,GESTIONES!$D:$D, "SMS")</f>
        <v>1</v>
      </c>
      <c r="O356">
        <f>SUMIFS(PAGOS!$D:$D,PAGOS!$A:$A, BASE_CUENTAS!$A356,PAGOS!$B:$B, BASE_CUENTAS!$C356)</f>
        <v>2865296</v>
      </c>
      <c r="P356" t="str">
        <f>IF(
VLOOKUP($C356,BASE_CIERRE_MES!$C:$G,5,FALSE)=0,
"Normalización",
IF(
VLOOKUP($C356,BASE_CIERRE_MES!$C:$G,5,FALSE)&lt;$H356,
"Recuperación",
IF(
VLOOKUP($C356,BASE_CIERRE_MES!$C:$G,5,FALSE)=$H356,
"Contención",
"Rodamiento"
)))</f>
        <v>Normalización</v>
      </c>
      <c r="Q356">
        <f t="shared" si="5"/>
        <v>1</v>
      </c>
    </row>
    <row r="357" spans="1:17" x14ac:dyDescent="0.25">
      <c r="A357">
        <v>8188922</v>
      </c>
      <c r="B357" t="s">
        <v>16</v>
      </c>
      <c r="C357">
        <v>25278013</v>
      </c>
      <c r="D357" t="s">
        <v>7</v>
      </c>
      <c r="E357">
        <v>42140387</v>
      </c>
      <c r="F357" s="2">
        <v>2100174</v>
      </c>
      <c r="G357" s="2">
        <v>1245483</v>
      </c>
      <c r="H357">
        <v>90</v>
      </c>
      <c r="I357" s="1">
        <v>42487</v>
      </c>
      <c r="J357" t="s">
        <v>5</v>
      </c>
      <c r="K357">
        <f>COUNTIFS(GESTIONES!$A:$A, BASE_CUENTAS!$A357, GESTIONES!$B:$B, BASE_CUENTAS!$C357)</f>
        <v>3</v>
      </c>
      <c r="L357">
        <f>COUNTIFS(GESTIONES!$A:$A, BASE_CUENTAS!$A357,GESTIONES!$B:$B, BASE_CUENTAS!$C357,GESTIONES!$E:$E, "S")</f>
        <v>1</v>
      </c>
      <c r="M357">
        <f>COUNTIFS(GESTIONES!$A:$A, BASE_CUENTAS!$A357,GESTIONES!$B:$B, BASE_CUENTAS!$C357,GESTIONES!$E:$E, "N")</f>
        <v>2</v>
      </c>
      <c r="N357">
        <f>COUNTIFS(GESTIONES!$A:$A, BASE_CUENTAS!$A357,GESTIONES!$B:$B, BASE_CUENTAS!$C357,GESTIONES!$D:$D, "SMS")</f>
        <v>1</v>
      </c>
      <c r="O357">
        <f>SUMIFS(PAGOS!$D:$D,PAGOS!$A:$A, BASE_CUENTAS!$A357,PAGOS!$B:$B, BASE_CUENTAS!$C357)</f>
        <v>0</v>
      </c>
      <c r="P357" t="str">
        <f>IF(
VLOOKUP($C357,BASE_CIERRE_MES!$C:$G,5,FALSE)=0,
"Normalización",
IF(
VLOOKUP($C357,BASE_CIERRE_MES!$C:$G,5,FALSE)&lt;$H357,
"Recuperación",
IF(
VLOOKUP($C357,BASE_CIERRE_MES!$C:$G,5,FALSE)=$H357,
"Contención",
"Rodamiento"
)))</f>
        <v>Recuperación</v>
      </c>
      <c r="Q357">
        <f t="shared" si="5"/>
        <v>0</v>
      </c>
    </row>
    <row r="358" spans="1:17" x14ac:dyDescent="0.25">
      <c r="A358">
        <v>8188922</v>
      </c>
      <c r="B358" t="s">
        <v>16</v>
      </c>
      <c r="C358">
        <v>25291355</v>
      </c>
      <c r="D358" t="s">
        <v>7</v>
      </c>
      <c r="E358">
        <v>42140387</v>
      </c>
      <c r="F358" s="2">
        <v>3082649</v>
      </c>
      <c r="G358" s="2">
        <v>1744432</v>
      </c>
      <c r="H358">
        <v>90</v>
      </c>
      <c r="I358" s="1">
        <v>42448</v>
      </c>
      <c r="J358" t="s">
        <v>5</v>
      </c>
      <c r="K358">
        <f>COUNTIFS(GESTIONES!$A:$A, BASE_CUENTAS!$A358, GESTIONES!$B:$B, BASE_CUENTAS!$C358)</f>
        <v>3</v>
      </c>
      <c r="L358">
        <f>COUNTIFS(GESTIONES!$A:$A, BASE_CUENTAS!$A358,GESTIONES!$B:$B, BASE_CUENTAS!$C358,GESTIONES!$E:$E, "S")</f>
        <v>1</v>
      </c>
      <c r="M358">
        <f>COUNTIFS(GESTIONES!$A:$A, BASE_CUENTAS!$A358,GESTIONES!$B:$B, BASE_CUENTAS!$C358,GESTIONES!$E:$E, "N")</f>
        <v>2</v>
      </c>
      <c r="N358">
        <f>COUNTIFS(GESTIONES!$A:$A, BASE_CUENTAS!$A358,GESTIONES!$B:$B, BASE_CUENTAS!$C358,GESTIONES!$D:$D, "SMS")</f>
        <v>0</v>
      </c>
      <c r="O358">
        <f>SUMIFS(PAGOS!$D:$D,PAGOS!$A:$A, BASE_CUENTAS!$A358,PAGOS!$B:$B, BASE_CUENTAS!$C358)</f>
        <v>0</v>
      </c>
      <c r="P358" t="str">
        <f>IF(
VLOOKUP($C358,BASE_CIERRE_MES!$C:$G,5,FALSE)=0,
"Normalización",
IF(
VLOOKUP($C358,BASE_CIERRE_MES!$C:$G,5,FALSE)&lt;$H358,
"Recuperación",
IF(
VLOOKUP($C358,BASE_CIERRE_MES!$C:$G,5,FALSE)=$H358,
"Contención",
"Rodamiento"
)))</f>
        <v>Recuperación</v>
      </c>
      <c r="Q358">
        <f t="shared" si="5"/>
        <v>0</v>
      </c>
    </row>
    <row r="359" spans="1:17" x14ac:dyDescent="0.25">
      <c r="A359">
        <v>8188922</v>
      </c>
      <c r="B359" t="s">
        <v>16</v>
      </c>
      <c r="C359">
        <v>26207742</v>
      </c>
      <c r="D359" t="s">
        <v>13</v>
      </c>
      <c r="E359">
        <v>42140387</v>
      </c>
      <c r="F359" s="2">
        <v>34092268</v>
      </c>
      <c r="G359" s="2">
        <v>3610861</v>
      </c>
      <c r="H359">
        <v>62</v>
      </c>
      <c r="I359" s="1">
        <v>42468</v>
      </c>
      <c r="J359" t="s">
        <v>5</v>
      </c>
      <c r="K359">
        <f>COUNTIFS(GESTIONES!$A:$A, BASE_CUENTAS!$A359, GESTIONES!$B:$B, BASE_CUENTAS!$C359)</f>
        <v>3</v>
      </c>
      <c r="L359">
        <f>COUNTIFS(GESTIONES!$A:$A, BASE_CUENTAS!$A359,GESTIONES!$B:$B, BASE_CUENTAS!$C359,GESTIONES!$E:$E, "S")</f>
        <v>1</v>
      </c>
      <c r="M359">
        <f>COUNTIFS(GESTIONES!$A:$A, BASE_CUENTAS!$A359,GESTIONES!$B:$B, BASE_CUENTAS!$C359,GESTIONES!$E:$E, "N")</f>
        <v>2</v>
      </c>
      <c r="N359">
        <f>COUNTIFS(GESTIONES!$A:$A, BASE_CUENTAS!$A359,GESTIONES!$B:$B, BASE_CUENTAS!$C359,GESTIONES!$D:$D, "SMS")</f>
        <v>1</v>
      </c>
      <c r="O359">
        <f>SUMIFS(PAGOS!$D:$D,PAGOS!$A:$A, BASE_CUENTAS!$A359,PAGOS!$B:$B, BASE_CUENTAS!$C359)</f>
        <v>3610861</v>
      </c>
      <c r="P359" t="str">
        <f>IF(
VLOOKUP($C359,BASE_CIERRE_MES!$C:$G,5,FALSE)=0,
"Normalización",
IF(
VLOOKUP($C359,BASE_CIERRE_MES!$C:$G,5,FALSE)&lt;$H359,
"Recuperación",
IF(
VLOOKUP($C359,BASE_CIERRE_MES!$C:$G,5,FALSE)=$H359,
"Contención",
"Rodamiento"
)))</f>
        <v>Normalización</v>
      </c>
      <c r="Q359">
        <f t="shared" si="5"/>
        <v>0.1059143674454278</v>
      </c>
    </row>
    <row r="360" spans="1:17" x14ac:dyDescent="0.25">
      <c r="A360">
        <v>8241775</v>
      </c>
      <c r="B360" t="s">
        <v>18</v>
      </c>
      <c r="C360">
        <v>25340462</v>
      </c>
      <c r="D360" t="s">
        <v>7</v>
      </c>
      <c r="E360">
        <v>1888459</v>
      </c>
      <c r="F360" s="2">
        <v>1136361</v>
      </c>
      <c r="G360" s="2">
        <v>25878</v>
      </c>
      <c r="H360">
        <v>30</v>
      </c>
      <c r="I360" s="1">
        <v>42487</v>
      </c>
      <c r="J360" t="s">
        <v>6</v>
      </c>
      <c r="K360">
        <f>COUNTIFS(GESTIONES!$A:$A, BASE_CUENTAS!$A360, GESTIONES!$B:$B, BASE_CUENTAS!$C360)</f>
        <v>3</v>
      </c>
      <c r="L360">
        <f>COUNTIFS(GESTIONES!$A:$A, BASE_CUENTAS!$A360,GESTIONES!$B:$B, BASE_CUENTAS!$C360,GESTIONES!$E:$E, "S")</f>
        <v>0</v>
      </c>
      <c r="M360">
        <f>COUNTIFS(GESTIONES!$A:$A, BASE_CUENTAS!$A360,GESTIONES!$B:$B, BASE_CUENTAS!$C360,GESTIONES!$E:$E, "N")</f>
        <v>3</v>
      </c>
      <c r="N360">
        <f>COUNTIFS(GESTIONES!$A:$A, BASE_CUENTAS!$A360,GESTIONES!$B:$B, BASE_CUENTAS!$C360,GESTIONES!$D:$D, "SMS")</f>
        <v>1</v>
      </c>
      <c r="O360">
        <f>SUMIFS(PAGOS!$D:$D,PAGOS!$A:$A, BASE_CUENTAS!$A360,PAGOS!$B:$B, BASE_CUENTAS!$C360)</f>
        <v>25878</v>
      </c>
      <c r="P360" t="str">
        <f>IF(
VLOOKUP($C360,BASE_CIERRE_MES!$C:$G,5,FALSE)=0,
"Normalización",
IF(
VLOOKUP($C360,BASE_CIERRE_MES!$C:$G,5,FALSE)&lt;$H360,
"Recuperación",
IF(
VLOOKUP($C360,BASE_CIERRE_MES!$C:$G,5,FALSE)=$H360,
"Contención",
"Rodamiento"
)))</f>
        <v>Normalización</v>
      </c>
      <c r="Q360">
        <f t="shared" si="5"/>
        <v>2.2772692832647372E-2</v>
      </c>
    </row>
    <row r="361" spans="1:17" x14ac:dyDescent="0.25">
      <c r="A361">
        <v>8241793</v>
      </c>
      <c r="B361" t="s">
        <v>18</v>
      </c>
      <c r="C361">
        <v>25338590</v>
      </c>
      <c r="D361" t="s">
        <v>7</v>
      </c>
      <c r="E361">
        <v>2624528</v>
      </c>
      <c r="F361" s="2">
        <v>702535</v>
      </c>
      <c r="G361" s="2">
        <v>178447</v>
      </c>
      <c r="H361">
        <v>60</v>
      </c>
      <c r="I361" s="1">
        <v>42521</v>
      </c>
      <c r="J361" t="s">
        <v>4</v>
      </c>
      <c r="K361">
        <f>COUNTIFS(GESTIONES!$A:$A, BASE_CUENTAS!$A361, GESTIONES!$B:$B, BASE_CUENTAS!$C361)</f>
        <v>3</v>
      </c>
      <c r="L361">
        <f>COUNTIFS(GESTIONES!$A:$A, BASE_CUENTAS!$A361,GESTIONES!$B:$B, BASE_CUENTAS!$C361,GESTIONES!$E:$E, "S")</f>
        <v>1</v>
      </c>
      <c r="M361">
        <f>COUNTIFS(GESTIONES!$A:$A, BASE_CUENTAS!$A361,GESTIONES!$B:$B, BASE_CUENTAS!$C361,GESTIONES!$E:$E, "N")</f>
        <v>2</v>
      </c>
      <c r="N361">
        <f>COUNTIFS(GESTIONES!$A:$A, BASE_CUENTAS!$A361,GESTIONES!$B:$B, BASE_CUENTAS!$C361,GESTIONES!$D:$D, "SMS")</f>
        <v>1</v>
      </c>
      <c r="O361">
        <f>SUMIFS(PAGOS!$D:$D,PAGOS!$A:$A, BASE_CUENTAS!$A361,PAGOS!$B:$B, BASE_CUENTAS!$C361)</f>
        <v>178447</v>
      </c>
      <c r="P361" t="str">
        <f>IF(
VLOOKUP($C361,BASE_CIERRE_MES!$C:$G,5,FALSE)=0,
"Normalización",
IF(
VLOOKUP($C361,BASE_CIERRE_MES!$C:$G,5,FALSE)&lt;$H361,
"Recuperación",
IF(
VLOOKUP($C361,BASE_CIERRE_MES!$C:$G,5,FALSE)=$H361,
"Contención",
"Rodamiento"
)))</f>
        <v>Normalización</v>
      </c>
      <c r="Q361">
        <f t="shared" si="5"/>
        <v>0.25400442682570973</v>
      </c>
    </row>
    <row r="362" spans="1:17" x14ac:dyDescent="0.25">
      <c r="A362">
        <v>8241793</v>
      </c>
      <c r="B362" t="s">
        <v>18</v>
      </c>
      <c r="C362">
        <v>27398392</v>
      </c>
      <c r="D362" t="s">
        <v>7</v>
      </c>
      <c r="E362">
        <v>2624528</v>
      </c>
      <c r="F362" s="2">
        <v>1007442</v>
      </c>
      <c r="G362" s="2">
        <v>110538</v>
      </c>
      <c r="H362">
        <v>30</v>
      </c>
      <c r="I362" s="1">
        <v>42521</v>
      </c>
      <c r="J362" t="s">
        <v>4</v>
      </c>
      <c r="K362">
        <f>COUNTIFS(GESTIONES!$A:$A, BASE_CUENTAS!$A362, GESTIONES!$B:$B, BASE_CUENTAS!$C362)</f>
        <v>3</v>
      </c>
      <c r="L362">
        <f>COUNTIFS(GESTIONES!$A:$A, BASE_CUENTAS!$A362,GESTIONES!$B:$B, BASE_CUENTAS!$C362,GESTIONES!$E:$E, "S")</f>
        <v>1</v>
      </c>
      <c r="M362">
        <f>COUNTIFS(GESTIONES!$A:$A, BASE_CUENTAS!$A362,GESTIONES!$B:$B, BASE_CUENTAS!$C362,GESTIONES!$E:$E, "N")</f>
        <v>2</v>
      </c>
      <c r="N362">
        <f>COUNTIFS(GESTIONES!$A:$A, BASE_CUENTAS!$A362,GESTIONES!$B:$B, BASE_CUENTAS!$C362,GESTIONES!$D:$D, "SMS")</f>
        <v>1</v>
      </c>
      <c r="O362">
        <f>SUMIFS(PAGOS!$D:$D,PAGOS!$A:$A, BASE_CUENTAS!$A362,PAGOS!$B:$B, BASE_CUENTAS!$C362)</f>
        <v>0</v>
      </c>
      <c r="P362" t="str">
        <f>IF(
VLOOKUP($C362,BASE_CIERRE_MES!$C:$G,5,FALSE)=0,
"Normalización",
IF(
VLOOKUP($C362,BASE_CIERRE_MES!$C:$G,5,FALSE)&lt;$H362,
"Recuperación",
IF(
VLOOKUP($C362,BASE_CIERRE_MES!$C:$G,5,FALSE)=$H362,
"Contención",
"Rodamiento"
)))</f>
        <v>Rodamiento</v>
      </c>
      <c r="Q362">
        <f t="shared" si="5"/>
        <v>0</v>
      </c>
    </row>
    <row r="363" spans="1:17" x14ac:dyDescent="0.25">
      <c r="A363">
        <v>8250710</v>
      </c>
      <c r="B363" t="s">
        <v>18</v>
      </c>
      <c r="C363">
        <v>27049625</v>
      </c>
      <c r="D363" t="s">
        <v>7</v>
      </c>
      <c r="E363">
        <v>1435778</v>
      </c>
      <c r="F363" s="2">
        <v>1435778</v>
      </c>
      <c r="G363" s="2">
        <v>147013</v>
      </c>
      <c r="H363">
        <v>30</v>
      </c>
      <c r="I363" s="1">
        <v>42521</v>
      </c>
      <c r="J363" t="s">
        <v>4</v>
      </c>
      <c r="K363">
        <f>COUNTIFS(GESTIONES!$A:$A, BASE_CUENTAS!$A363, GESTIONES!$B:$B, BASE_CUENTAS!$C363)</f>
        <v>3</v>
      </c>
      <c r="L363">
        <f>COUNTIFS(GESTIONES!$A:$A, BASE_CUENTAS!$A363,GESTIONES!$B:$B, BASE_CUENTAS!$C363,GESTIONES!$E:$E, "S")</f>
        <v>1</v>
      </c>
      <c r="M363">
        <f>COUNTIFS(GESTIONES!$A:$A, BASE_CUENTAS!$A363,GESTIONES!$B:$B, BASE_CUENTAS!$C363,GESTIONES!$E:$E, "N")</f>
        <v>2</v>
      </c>
      <c r="N363">
        <f>COUNTIFS(GESTIONES!$A:$A, BASE_CUENTAS!$A363,GESTIONES!$B:$B, BASE_CUENTAS!$C363,GESTIONES!$D:$D, "SMS")</f>
        <v>0</v>
      </c>
      <c r="O363">
        <f>SUMIFS(PAGOS!$D:$D,PAGOS!$A:$A, BASE_CUENTAS!$A363,PAGOS!$B:$B, BASE_CUENTAS!$C363)</f>
        <v>0</v>
      </c>
      <c r="P363" t="str">
        <f>IF(
VLOOKUP($C363,BASE_CIERRE_MES!$C:$G,5,FALSE)=0,
"Normalización",
IF(
VLOOKUP($C363,BASE_CIERRE_MES!$C:$G,5,FALSE)&lt;$H363,
"Recuperación",
IF(
VLOOKUP($C363,BASE_CIERRE_MES!$C:$G,5,FALSE)=$H363,
"Contención",
"Rodamiento"
)))</f>
        <v>Rodamiento</v>
      </c>
      <c r="Q363">
        <f t="shared" si="5"/>
        <v>0</v>
      </c>
    </row>
    <row r="364" spans="1:17" x14ac:dyDescent="0.25">
      <c r="A364">
        <v>8250963</v>
      </c>
      <c r="B364" t="s">
        <v>18</v>
      </c>
      <c r="C364">
        <v>27064250</v>
      </c>
      <c r="D364" t="s">
        <v>7</v>
      </c>
      <c r="E364">
        <v>408549</v>
      </c>
      <c r="F364" s="2">
        <v>385735</v>
      </c>
      <c r="G364" s="2">
        <v>11529</v>
      </c>
      <c r="H364">
        <v>30</v>
      </c>
      <c r="I364" s="1">
        <v>42508</v>
      </c>
      <c r="J364" t="s">
        <v>6</v>
      </c>
      <c r="K364">
        <f>COUNTIFS(GESTIONES!$A:$A, BASE_CUENTAS!$A364, GESTIONES!$B:$B, BASE_CUENTAS!$C364)</f>
        <v>3</v>
      </c>
      <c r="L364">
        <f>COUNTIFS(GESTIONES!$A:$A, BASE_CUENTAS!$A364,GESTIONES!$B:$B, BASE_CUENTAS!$C364,GESTIONES!$E:$E, "S")</f>
        <v>1</v>
      </c>
      <c r="M364">
        <f>COUNTIFS(GESTIONES!$A:$A, BASE_CUENTAS!$A364,GESTIONES!$B:$B, BASE_CUENTAS!$C364,GESTIONES!$E:$E, "N")</f>
        <v>2</v>
      </c>
      <c r="N364">
        <f>COUNTIFS(GESTIONES!$A:$A, BASE_CUENTAS!$A364,GESTIONES!$B:$B, BASE_CUENTAS!$C364,GESTIONES!$D:$D, "SMS")</f>
        <v>1</v>
      </c>
      <c r="O364">
        <f>SUMIFS(PAGOS!$D:$D,PAGOS!$A:$A, BASE_CUENTAS!$A364,PAGOS!$B:$B, BASE_CUENTAS!$C364)</f>
        <v>0</v>
      </c>
      <c r="P364" t="str">
        <f>IF(
VLOOKUP($C364,BASE_CIERRE_MES!$C:$G,5,FALSE)=0,
"Normalización",
IF(
VLOOKUP($C364,BASE_CIERRE_MES!$C:$G,5,FALSE)&lt;$H364,
"Recuperación",
IF(
VLOOKUP($C364,BASE_CIERRE_MES!$C:$G,5,FALSE)=$H364,
"Contención",
"Rodamiento"
)))</f>
        <v>Rodamiento</v>
      </c>
      <c r="Q364">
        <f t="shared" si="5"/>
        <v>0</v>
      </c>
    </row>
    <row r="365" spans="1:17" x14ac:dyDescent="0.25">
      <c r="A365">
        <v>8251019</v>
      </c>
      <c r="B365" t="s">
        <v>17</v>
      </c>
      <c r="C365">
        <v>23719460</v>
      </c>
      <c r="D365" t="s">
        <v>7</v>
      </c>
      <c r="E365">
        <v>6326884</v>
      </c>
      <c r="F365" s="2">
        <v>1649900</v>
      </c>
      <c r="G365" s="2">
        <v>1649900</v>
      </c>
      <c r="H365">
        <v>210</v>
      </c>
      <c r="I365" s="1">
        <v>42461</v>
      </c>
      <c r="J365" t="s">
        <v>5</v>
      </c>
      <c r="K365">
        <f>COUNTIFS(GESTIONES!$A:$A, BASE_CUENTAS!$A365, GESTIONES!$B:$B, BASE_CUENTAS!$C365)</f>
        <v>3</v>
      </c>
      <c r="L365">
        <f>COUNTIFS(GESTIONES!$A:$A, BASE_CUENTAS!$A365,GESTIONES!$B:$B, BASE_CUENTAS!$C365,GESTIONES!$E:$E, "S")</f>
        <v>0</v>
      </c>
      <c r="M365">
        <f>COUNTIFS(GESTIONES!$A:$A, BASE_CUENTAS!$A365,GESTIONES!$B:$B, BASE_CUENTAS!$C365,GESTIONES!$E:$E, "N")</f>
        <v>3</v>
      </c>
      <c r="N365">
        <f>COUNTIFS(GESTIONES!$A:$A, BASE_CUENTAS!$A365,GESTIONES!$B:$B, BASE_CUENTAS!$C365,GESTIONES!$D:$D, "SMS")</f>
        <v>1</v>
      </c>
      <c r="O365">
        <f>SUMIFS(PAGOS!$D:$D,PAGOS!$A:$A, BASE_CUENTAS!$A365,PAGOS!$B:$B, BASE_CUENTAS!$C365)</f>
        <v>824950</v>
      </c>
      <c r="P365" t="str">
        <f>IF(
VLOOKUP($C365,BASE_CIERRE_MES!$C:$G,5,FALSE)=0,
"Normalización",
IF(
VLOOKUP($C365,BASE_CIERRE_MES!$C:$G,5,FALSE)&lt;$H365,
"Recuperación",
IF(
VLOOKUP($C365,BASE_CIERRE_MES!$C:$G,5,FALSE)=$H365,
"Contención",
"Rodamiento"
)))</f>
        <v>Recuperación</v>
      </c>
      <c r="Q365">
        <f t="shared" si="5"/>
        <v>0.5</v>
      </c>
    </row>
    <row r="366" spans="1:17" x14ac:dyDescent="0.25">
      <c r="A366">
        <v>8251019</v>
      </c>
      <c r="B366" t="s">
        <v>17</v>
      </c>
      <c r="C366">
        <v>25290944</v>
      </c>
      <c r="D366" t="s">
        <v>7</v>
      </c>
      <c r="E366">
        <v>6326884</v>
      </c>
      <c r="F366" s="2">
        <v>4676984</v>
      </c>
      <c r="G366" s="2">
        <v>4676984</v>
      </c>
      <c r="H366">
        <v>210</v>
      </c>
      <c r="I366" s="1">
        <v>42462</v>
      </c>
      <c r="J366" t="s">
        <v>5</v>
      </c>
      <c r="K366">
        <f>COUNTIFS(GESTIONES!$A:$A, BASE_CUENTAS!$A366, GESTIONES!$B:$B, BASE_CUENTAS!$C366)</f>
        <v>3</v>
      </c>
      <c r="L366">
        <f>COUNTIFS(GESTIONES!$A:$A, BASE_CUENTAS!$A366,GESTIONES!$B:$B, BASE_CUENTAS!$C366,GESTIONES!$E:$E, "S")</f>
        <v>1</v>
      </c>
      <c r="M366">
        <f>COUNTIFS(GESTIONES!$A:$A, BASE_CUENTAS!$A366,GESTIONES!$B:$B, BASE_CUENTAS!$C366,GESTIONES!$E:$E, "N")</f>
        <v>2</v>
      </c>
      <c r="N366">
        <f>COUNTIFS(GESTIONES!$A:$A, BASE_CUENTAS!$A366,GESTIONES!$B:$B, BASE_CUENTAS!$C366,GESTIONES!$D:$D, "SMS")</f>
        <v>1</v>
      </c>
      <c r="O366">
        <f>SUMIFS(PAGOS!$D:$D,PAGOS!$A:$A, BASE_CUENTAS!$A366,PAGOS!$B:$B, BASE_CUENTAS!$C366)</f>
        <v>4676984</v>
      </c>
      <c r="P366" t="str">
        <f>IF(
VLOOKUP($C366,BASE_CIERRE_MES!$C:$G,5,FALSE)=0,
"Normalización",
IF(
VLOOKUP($C366,BASE_CIERRE_MES!$C:$G,5,FALSE)&lt;$H366,
"Recuperación",
IF(
VLOOKUP($C366,BASE_CIERRE_MES!$C:$G,5,FALSE)=$H366,
"Contención",
"Rodamiento"
)))</f>
        <v>Normalización</v>
      </c>
      <c r="Q366">
        <f t="shared" si="5"/>
        <v>1</v>
      </c>
    </row>
    <row r="367" spans="1:17" x14ac:dyDescent="0.25">
      <c r="A367">
        <v>8251177</v>
      </c>
      <c r="B367" t="s">
        <v>18</v>
      </c>
      <c r="C367">
        <v>21128914</v>
      </c>
      <c r="D367" t="s">
        <v>7</v>
      </c>
      <c r="E367">
        <v>1027904</v>
      </c>
      <c r="F367" s="2">
        <v>982169</v>
      </c>
      <c r="G367" s="2">
        <v>982169</v>
      </c>
      <c r="H367">
        <v>150</v>
      </c>
      <c r="I367" s="1">
        <v>42518</v>
      </c>
      <c r="J367" t="s">
        <v>5</v>
      </c>
      <c r="K367">
        <f>COUNTIFS(GESTIONES!$A:$A, BASE_CUENTAS!$A367, GESTIONES!$B:$B, BASE_CUENTAS!$C367)</f>
        <v>3</v>
      </c>
      <c r="L367">
        <f>COUNTIFS(GESTIONES!$A:$A, BASE_CUENTAS!$A367,GESTIONES!$B:$B, BASE_CUENTAS!$C367,GESTIONES!$E:$E, "S")</f>
        <v>1</v>
      </c>
      <c r="M367">
        <f>COUNTIFS(GESTIONES!$A:$A, BASE_CUENTAS!$A367,GESTIONES!$B:$B, BASE_CUENTAS!$C367,GESTIONES!$E:$E, "N")</f>
        <v>2</v>
      </c>
      <c r="N367">
        <f>COUNTIFS(GESTIONES!$A:$A, BASE_CUENTAS!$A367,GESTIONES!$B:$B, BASE_CUENTAS!$C367,GESTIONES!$D:$D, "SMS")</f>
        <v>1</v>
      </c>
      <c r="O367">
        <f>SUMIFS(PAGOS!$D:$D,PAGOS!$A:$A, BASE_CUENTAS!$A367,PAGOS!$B:$B, BASE_CUENTAS!$C367)</f>
        <v>0</v>
      </c>
      <c r="P367" t="str">
        <f>IF(
VLOOKUP($C367,BASE_CIERRE_MES!$C:$G,5,FALSE)=0,
"Normalización",
IF(
VLOOKUP($C367,BASE_CIERRE_MES!$C:$G,5,FALSE)&lt;$H367,
"Recuperación",
IF(
VLOOKUP($C367,BASE_CIERRE_MES!$C:$G,5,FALSE)=$H367,
"Contención",
"Rodamiento"
)))</f>
        <v>Recuperación</v>
      </c>
      <c r="Q367">
        <f t="shared" si="5"/>
        <v>0</v>
      </c>
    </row>
    <row r="368" spans="1:17" x14ac:dyDescent="0.25">
      <c r="A368">
        <v>8251177</v>
      </c>
      <c r="B368" t="s">
        <v>18</v>
      </c>
      <c r="C368">
        <v>21131643</v>
      </c>
      <c r="D368" t="s">
        <v>7</v>
      </c>
      <c r="E368">
        <v>1027904</v>
      </c>
      <c r="F368" s="2">
        <v>26121</v>
      </c>
      <c r="G368" s="2">
        <v>26121</v>
      </c>
      <c r="H368">
        <v>210</v>
      </c>
      <c r="I368" s="1">
        <v>42487</v>
      </c>
      <c r="J368" t="s">
        <v>5</v>
      </c>
      <c r="K368">
        <f>COUNTIFS(GESTIONES!$A:$A, BASE_CUENTAS!$A368, GESTIONES!$B:$B, BASE_CUENTAS!$C368)</f>
        <v>3</v>
      </c>
      <c r="L368">
        <f>COUNTIFS(GESTIONES!$A:$A, BASE_CUENTAS!$A368,GESTIONES!$B:$B, BASE_CUENTAS!$C368,GESTIONES!$E:$E, "S")</f>
        <v>1</v>
      </c>
      <c r="M368">
        <f>COUNTIFS(GESTIONES!$A:$A, BASE_CUENTAS!$A368,GESTIONES!$B:$B, BASE_CUENTAS!$C368,GESTIONES!$E:$E, "N")</f>
        <v>2</v>
      </c>
      <c r="N368">
        <f>COUNTIFS(GESTIONES!$A:$A, BASE_CUENTAS!$A368,GESTIONES!$B:$B, BASE_CUENTAS!$C368,GESTIONES!$D:$D, "SMS")</f>
        <v>0</v>
      </c>
      <c r="O368">
        <f>SUMIFS(PAGOS!$D:$D,PAGOS!$A:$A, BASE_CUENTAS!$A368,PAGOS!$B:$B, BASE_CUENTAS!$C368)</f>
        <v>26121</v>
      </c>
      <c r="P368" t="str">
        <f>IF(
VLOOKUP($C368,BASE_CIERRE_MES!$C:$G,5,FALSE)=0,
"Normalización",
IF(
VLOOKUP($C368,BASE_CIERRE_MES!$C:$G,5,FALSE)&lt;$H368,
"Recuperación",
IF(
VLOOKUP($C368,BASE_CIERRE_MES!$C:$G,5,FALSE)=$H368,
"Contención",
"Rodamiento"
)))</f>
        <v>Normalización</v>
      </c>
      <c r="Q368">
        <f t="shared" si="5"/>
        <v>1</v>
      </c>
    </row>
    <row r="369" spans="1:17" x14ac:dyDescent="0.25">
      <c r="A369">
        <v>8259541</v>
      </c>
      <c r="B369" t="s">
        <v>18</v>
      </c>
      <c r="C369">
        <v>25529977</v>
      </c>
      <c r="D369" t="s">
        <v>7</v>
      </c>
      <c r="E369">
        <v>538227</v>
      </c>
      <c r="F369" s="2">
        <v>533217</v>
      </c>
      <c r="G369" s="2">
        <v>6040</v>
      </c>
      <c r="H369">
        <v>30</v>
      </c>
      <c r="I369" s="1">
        <v>42508</v>
      </c>
      <c r="J369" t="s">
        <v>6</v>
      </c>
      <c r="K369">
        <f>COUNTIFS(GESTIONES!$A:$A, BASE_CUENTAS!$A369, GESTIONES!$B:$B, BASE_CUENTAS!$C369)</f>
        <v>3</v>
      </c>
      <c r="L369">
        <f>COUNTIFS(GESTIONES!$A:$A, BASE_CUENTAS!$A369,GESTIONES!$B:$B, BASE_CUENTAS!$C369,GESTIONES!$E:$E, "S")</f>
        <v>2</v>
      </c>
      <c r="M369">
        <f>COUNTIFS(GESTIONES!$A:$A, BASE_CUENTAS!$A369,GESTIONES!$B:$B, BASE_CUENTAS!$C369,GESTIONES!$E:$E, "N")</f>
        <v>1</v>
      </c>
      <c r="N369">
        <f>COUNTIFS(GESTIONES!$A:$A, BASE_CUENTAS!$A369,GESTIONES!$B:$B, BASE_CUENTAS!$C369,GESTIONES!$D:$D, "SMS")</f>
        <v>1</v>
      </c>
      <c r="O369">
        <f>SUMIFS(PAGOS!$D:$D,PAGOS!$A:$A, BASE_CUENTAS!$A369,PAGOS!$B:$B, BASE_CUENTAS!$C369)</f>
        <v>0</v>
      </c>
      <c r="P369" t="str">
        <f>IF(
VLOOKUP($C369,BASE_CIERRE_MES!$C:$G,5,FALSE)=0,
"Normalización",
IF(
VLOOKUP($C369,BASE_CIERRE_MES!$C:$G,5,FALSE)&lt;$H369,
"Recuperación",
IF(
VLOOKUP($C369,BASE_CIERRE_MES!$C:$G,5,FALSE)=$H369,
"Contención",
"Rodamiento"
)))</f>
        <v>Rodamiento</v>
      </c>
      <c r="Q369">
        <f t="shared" si="5"/>
        <v>0</v>
      </c>
    </row>
    <row r="370" spans="1:17" x14ac:dyDescent="0.25">
      <c r="A370">
        <v>8259637</v>
      </c>
      <c r="B370" t="s">
        <v>16</v>
      </c>
      <c r="C370">
        <v>22944995</v>
      </c>
      <c r="D370" t="s">
        <v>7</v>
      </c>
      <c r="E370">
        <v>57385481</v>
      </c>
      <c r="F370" s="2">
        <v>280444</v>
      </c>
      <c r="G370" s="2">
        <v>102265</v>
      </c>
      <c r="H370">
        <v>30</v>
      </c>
      <c r="I370" s="1">
        <v>42521</v>
      </c>
      <c r="J370" t="s">
        <v>5</v>
      </c>
      <c r="K370">
        <f>COUNTIFS(GESTIONES!$A:$A, BASE_CUENTAS!$A370, GESTIONES!$B:$B, BASE_CUENTAS!$C370)</f>
        <v>3</v>
      </c>
      <c r="L370">
        <f>COUNTIFS(GESTIONES!$A:$A, BASE_CUENTAS!$A370,GESTIONES!$B:$B, BASE_CUENTAS!$C370,GESTIONES!$E:$E, "S")</f>
        <v>1</v>
      </c>
      <c r="M370">
        <f>COUNTIFS(GESTIONES!$A:$A, BASE_CUENTAS!$A370,GESTIONES!$B:$B, BASE_CUENTAS!$C370,GESTIONES!$E:$E, "N")</f>
        <v>2</v>
      </c>
      <c r="N370">
        <f>COUNTIFS(GESTIONES!$A:$A, BASE_CUENTAS!$A370,GESTIONES!$B:$B, BASE_CUENTAS!$C370,GESTIONES!$D:$D, "SMS")</f>
        <v>0</v>
      </c>
      <c r="O370">
        <f>SUMIFS(PAGOS!$D:$D,PAGOS!$A:$A, BASE_CUENTAS!$A370,PAGOS!$B:$B, BASE_CUENTAS!$C370)</f>
        <v>102265</v>
      </c>
      <c r="P370" t="str">
        <f>IF(
VLOOKUP($C370,BASE_CIERRE_MES!$C:$G,5,FALSE)=0,
"Normalización",
IF(
VLOOKUP($C370,BASE_CIERRE_MES!$C:$G,5,FALSE)&lt;$H370,
"Recuperación",
IF(
VLOOKUP($C370,BASE_CIERRE_MES!$C:$G,5,FALSE)=$H370,
"Contención",
"Rodamiento"
)))</f>
        <v>Normalización</v>
      </c>
      <c r="Q370">
        <f t="shared" si="5"/>
        <v>0.36465390594913777</v>
      </c>
    </row>
    <row r="371" spans="1:17" x14ac:dyDescent="0.25">
      <c r="A371">
        <v>8259892</v>
      </c>
      <c r="B371" t="s">
        <v>17</v>
      </c>
      <c r="C371">
        <v>27130647</v>
      </c>
      <c r="D371" t="s">
        <v>7</v>
      </c>
      <c r="E371">
        <v>20889493</v>
      </c>
      <c r="F371" s="2">
        <v>1901677</v>
      </c>
      <c r="G371" s="2">
        <v>7024</v>
      </c>
      <c r="H371">
        <v>30</v>
      </c>
      <c r="I371" s="1">
        <v>42509</v>
      </c>
      <c r="J371" t="s">
        <v>6</v>
      </c>
      <c r="K371">
        <f>COUNTIFS(GESTIONES!$A:$A, BASE_CUENTAS!$A371, GESTIONES!$B:$B, BASE_CUENTAS!$C371)</f>
        <v>3</v>
      </c>
      <c r="L371">
        <f>COUNTIFS(GESTIONES!$A:$A, BASE_CUENTAS!$A371,GESTIONES!$B:$B, BASE_CUENTAS!$C371,GESTIONES!$E:$E, "S")</f>
        <v>0</v>
      </c>
      <c r="M371">
        <f>COUNTIFS(GESTIONES!$A:$A, BASE_CUENTAS!$A371,GESTIONES!$B:$B, BASE_CUENTAS!$C371,GESTIONES!$E:$E, "N")</f>
        <v>3</v>
      </c>
      <c r="N371">
        <f>COUNTIFS(GESTIONES!$A:$A, BASE_CUENTAS!$A371,GESTIONES!$B:$B, BASE_CUENTAS!$C371,GESTIONES!$D:$D, "SMS")</f>
        <v>1</v>
      </c>
      <c r="O371">
        <f>SUMIFS(PAGOS!$D:$D,PAGOS!$A:$A, BASE_CUENTAS!$A371,PAGOS!$B:$B, BASE_CUENTAS!$C371)</f>
        <v>0</v>
      </c>
      <c r="P371" t="str">
        <f>IF(
VLOOKUP($C371,BASE_CIERRE_MES!$C:$G,5,FALSE)=0,
"Normalización",
IF(
VLOOKUP($C371,BASE_CIERRE_MES!$C:$G,5,FALSE)&lt;$H371,
"Recuperación",
IF(
VLOOKUP($C371,BASE_CIERRE_MES!$C:$G,5,FALSE)=$H371,
"Contención",
"Rodamiento"
)))</f>
        <v>Rodamiento</v>
      </c>
      <c r="Q371">
        <f t="shared" si="5"/>
        <v>0</v>
      </c>
    </row>
    <row r="372" spans="1:17" x14ac:dyDescent="0.25">
      <c r="A372">
        <v>8259910</v>
      </c>
      <c r="B372" t="s">
        <v>18</v>
      </c>
      <c r="C372">
        <v>25711831</v>
      </c>
      <c r="D372" t="s">
        <v>7</v>
      </c>
      <c r="E372">
        <v>946958</v>
      </c>
      <c r="F372" s="2">
        <v>946958</v>
      </c>
      <c r="G372" s="2">
        <v>170212</v>
      </c>
      <c r="H372">
        <v>30</v>
      </c>
      <c r="I372" s="1">
        <v>42508</v>
      </c>
      <c r="J372" t="s">
        <v>6</v>
      </c>
      <c r="K372">
        <f>COUNTIFS(GESTIONES!$A:$A, BASE_CUENTAS!$A372, GESTIONES!$B:$B, BASE_CUENTAS!$C372)</f>
        <v>3</v>
      </c>
      <c r="L372">
        <f>COUNTIFS(GESTIONES!$A:$A, BASE_CUENTAS!$A372,GESTIONES!$B:$B, BASE_CUENTAS!$C372,GESTIONES!$E:$E, "S")</f>
        <v>1</v>
      </c>
      <c r="M372">
        <f>COUNTIFS(GESTIONES!$A:$A, BASE_CUENTAS!$A372,GESTIONES!$B:$B, BASE_CUENTAS!$C372,GESTIONES!$E:$E, "N")</f>
        <v>2</v>
      </c>
      <c r="N372">
        <f>COUNTIFS(GESTIONES!$A:$A, BASE_CUENTAS!$A372,GESTIONES!$B:$B, BASE_CUENTAS!$C372,GESTIONES!$D:$D, "SMS")</f>
        <v>2</v>
      </c>
      <c r="O372">
        <f>SUMIFS(PAGOS!$D:$D,PAGOS!$A:$A, BASE_CUENTAS!$A372,PAGOS!$B:$B, BASE_CUENTAS!$C372)</f>
        <v>0</v>
      </c>
      <c r="P372" t="str">
        <f>IF(
VLOOKUP($C372,BASE_CIERRE_MES!$C:$G,5,FALSE)=0,
"Normalización",
IF(
VLOOKUP($C372,BASE_CIERRE_MES!$C:$G,5,FALSE)&lt;$H372,
"Recuperación",
IF(
VLOOKUP($C372,BASE_CIERRE_MES!$C:$G,5,FALSE)=$H372,
"Contención",
"Rodamiento"
)))</f>
        <v>Rodamiento</v>
      </c>
      <c r="Q372">
        <f t="shared" si="5"/>
        <v>0</v>
      </c>
    </row>
    <row r="373" spans="1:17" x14ac:dyDescent="0.25">
      <c r="A373">
        <v>8259919</v>
      </c>
      <c r="B373" t="s">
        <v>16</v>
      </c>
      <c r="C373">
        <v>22073982</v>
      </c>
      <c r="D373" t="s">
        <v>7</v>
      </c>
      <c r="E373">
        <v>55348576</v>
      </c>
      <c r="F373" s="2">
        <v>1314630</v>
      </c>
      <c r="G373" s="2">
        <v>343824</v>
      </c>
      <c r="H373">
        <v>30</v>
      </c>
      <c r="I373" s="1">
        <v>42508</v>
      </c>
      <c r="J373" t="s">
        <v>5</v>
      </c>
      <c r="K373">
        <f>COUNTIFS(GESTIONES!$A:$A, BASE_CUENTAS!$A373, GESTIONES!$B:$B, BASE_CUENTAS!$C373)</f>
        <v>3</v>
      </c>
      <c r="L373">
        <f>COUNTIFS(GESTIONES!$A:$A, BASE_CUENTAS!$A373,GESTIONES!$B:$B, BASE_CUENTAS!$C373,GESTIONES!$E:$E, "S")</f>
        <v>1</v>
      </c>
      <c r="M373">
        <f>COUNTIFS(GESTIONES!$A:$A, BASE_CUENTAS!$A373,GESTIONES!$B:$B, BASE_CUENTAS!$C373,GESTIONES!$E:$E, "N")</f>
        <v>2</v>
      </c>
      <c r="N373">
        <f>COUNTIFS(GESTIONES!$A:$A, BASE_CUENTAS!$A373,GESTIONES!$B:$B, BASE_CUENTAS!$C373,GESTIONES!$D:$D, "SMS")</f>
        <v>0</v>
      </c>
      <c r="O373">
        <f>SUMIFS(PAGOS!$D:$D,PAGOS!$A:$A, BASE_CUENTAS!$A373,PAGOS!$B:$B, BASE_CUENTAS!$C373)</f>
        <v>114608</v>
      </c>
      <c r="P373" t="str">
        <f>IF(
VLOOKUP($C373,BASE_CIERRE_MES!$C:$G,5,FALSE)=0,
"Normalización",
IF(
VLOOKUP($C373,BASE_CIERRE_MES!$C:$G,5,FALSE)&lt;$H373,
"Recuperación",
IF(
VLOOKUP($C373,BASE_CIERRE_MES!$C:$G,5,FALSE)=$H373,
"Contención",
"Rodamiento"
)))</f>
        <v>Contención</v>
      </c>
      <c r="Q373">
        <f t="shared" si="5"/>
        <v>8.7178902048485121E-2</v>
      </c>
    </row>
    <row r="374" spans="1:17" x14ac:dyDescent="0.25">
      <c r="A374">
        <v>8260027</v>
      </c>
      <c r="B374" t="s">
        <v>18</v>
      </c>
      <c r="C374">
        <v>24186163</v>
      </c>
      <c r="D374" t="s">
        <v>7</v>
      </c>
      <c r="E374">
        <v>802918</v>
      </c>
      <c r="F374" s="2">
        <v>802918</v>
      </c>
      <c r="G374" s="2">
        <v>111844</v>
      </c>
      <c r="H374">
        <v>30</v>
      </c>
      <c r="I374" s="1">
        <v>42508</v>
      </c>
      <c r="J374" t="s">
        <v>6</v>
      </c>
      <c r="K374">
        <f>COUNTIFS(GESTIONES!$A:$A, BASE_CUENTAS!$A374, GESTIONES!$B:$B, BASE_CUENTAS!$C374)</f>
        <v>3</v>
      </c>
      <c r="L374">
        <f>COUNTIFS(GESTIONES!$A:$A, BASE_CUENTAS!$A374,GESTIONES!$B:$B, BASE_CUENTAS!$C374,GESTIONES!$E:$E, "S")</f>
        <v>1</v>
      </c>
      <c r="M374">
        <f>COUNTIFS(GESTIONES!$A:$A, BASE_CUENTAS!$A374,GESTIONES!$B:$B, BASE_CUENTAS!$C374,GESTIONES!$E:$E, "N")</f>
        <v>2</v>
      </c>
      <c r="N374">
        <f>COUNTIFS(GESTIONES!$A:$A, BASE_CUENTAS!$A374,GESTIONES!$B:$B, BASE_CUENTAS!$C374,GESTIONES!$D:$D, "SMS")</f>
        <v>1</v>
      </c>
      <c r="O374">
        <f>SUMIFS(PAGOS!$D:$D,PAGOS!$A:$A, BASE_CUENTAS!$A374,PAGOS!$B:$B, BASE_CUENTAS!$C374)</f>
        <v>111844</v>
      </c>
      <c r="P374" t="str">
        <f>IF(
VLOOKUP($C374,BASE_CIERRE_MES!$C:$G,5,FALSE)=0,
"Normalización",
IF(
VLOOKUP($C374,BASE_CIERRE_MES!$C:$G,5,FALSE)&lt;$H374,
"Recuperación",
IF(
VLOOKUP($C374,BASE_CIERRE_MES!$C:$G,5,FALSE)=$H374,
"Contención",
"Rodamiento"
)))</f>
        <v>Normalización</v>
      </c>
      <c r="Q374">
        <f t="shared" si="5"/>
        <v>0.13929691450434539</v>
      </c>
    </row>
    <row r="375" spans="1:17" x14ac:dyDescent="0.25">
      <c r="A375">
        <v>8260069</v>
      </c>
      <c r="B375" t="s">
        <v>16</v>
      </c>
      <c r="C375">
        <v>25090532</v>
      </c>
      <c r="D375" t="s">
        <v>7</v>
      </c>
      <c r="E375">
        <v>162087161</v>
      </c>
      <c r="F375" s="2">
        <v>15118744</v>
      </c>
      <c r="G375" s="2">
        <v>1958206</v>
      </c>
      <c r="H375">
        <v>30</v>
      </c>
      <c r="I375" s="1">
        <v>42519</v>
      </c>
      <c r="J375" t="s">
        <v>5</v>
      </c>
      <c r="K375">
        <f>COUNTIFS(GESTIONES!$A:$A, BASE_CUENTAS!$A375, GESTIONES!$B:$B, BASE_CUENTAS!$C375)</f>
        <v>3</v>
      </c>
      <c r="L375">
        <f>COUNTIFS(GESTIONES!$A:$A, BASE_CUENTAS!$A375,GESTIONES!$B:$B, BASE_CUENTAS!$C375,GESTIONES!$E:$E, "S")</f>
        <v>1</v>
      </c>
      <c r="M375">
        <f>COUNTIFS(GESTIONES!$A:$A, BASE_CUENTAS!$A375,GESTIONES!$B:$B, BASE_CUENTAS!$C375,GESTIONES!$E:$E, "N")</f>
        <v>2</v>
      </c>
      <c r="N375">
        <f>COUNTIFS(GESTIONES!$A:$A, BASE_CUENTAS!$A375,GESTIONES!$B:$B, BASE_CUENTAS!$C375,GESTIONES!$D:$D, "SMS")</f>
        <v>0</v>
      </c>
      <c r="O375">
        <f>SUMIFS(PAGOS!$D:$D,PAGOS!$A:$A, BASE_CUENTAS!$A375,PAGOS!$B:$B, BASE_CUENTAS!$C375)</f>
        <v>652735</v>
      </c>
      <c r="P375" t="str">
        <f>IF(
VLOOKUP($C375,BASE_CIERRE_MES!$C:$G,5,FALSE)=0,
"Normalización",
IF(
VLOOKUP($C375,BASE_CIERRE_MES!$C:$G,5,FALSE)&lt;$H375,
"Recuperación",
IF(
VLOOKUP($C375,BASE_CIERRE_MES!$C:$G,5,FALSE)=$H375,
"Contención",
"Rodamiento"
)))</f>
        <v>Contención</v>
      </c>
      <c r="Q375">
        <f t="shared" si="5"/>
        <v>4.317389063535966E-2</v>
      </c>
    </row>
    <row r="376" spans="1:17" x14ac:dyDescent="0.25">
      <c r="A376">
        <v>8260078</v>
      </c>
      <c r="B376" t="s">
        <v>17</v>
      </c>
      <c r="C376">
        <v>21721963</v>
      </c>
      <c r="D376" t="s">
        <v>7</v>
      </c>
      <c r="E376">
        <v>8143730</v>
      </c>
      <c r="F376" s="2">
        <v>1232261</v>
      </c>
      <c r="G376" s="2">
        <v>236792</v>
      </c>
      <c r="H376">
        <v>30</v>
      </c>
      <c r="I376" s="1">
        <v>42508</v>
      </c>
      <c r="J376" t="s">
        <v>6</v>
      </c>
      <c r="K376">
        <f>COUNTIFS(GESTIONES!$A:$A, BASE_CUENTAS!$A376, GESTIONES!$B:$B, BASE_CUENTAS!$C376)</f>
        <v>3</v>
      </c>
      <c r="L376">
        <f>COUNTIFS(GESTIONES!$A:$A, BASE_CUENTAS!$A376,GESTIONES!$B:$B, BASE_CUENTAS!$C376,GESTIONES!$E:$E, "S")</f>
        <v>0</v>
      </c>
      <c r="M376">
        <f>COUNTIFS(GESTIONES!$A:$A, BASE_CUENTAS!$A376,GESTIONES!$B:$B, BASE_CUENTAS!$C376,GESTIONES!$E:$E, "N")</f>
        <v>3</v>
      </c>
      <c r="N376">
        <f>COUNTIFS(GESTIONES!$A:$A, BASE_CUENTAS!$A376,GESTIONES!$B:$B, BASE_CUENTAS!$C376,GESTIONES!$D:$D, "SMS")</f>
        <v>1</v>
      </c>
      <c r="O376">
        <f>SUMIFS(PAGOS!$D:$D,PAGOS!$A:$A, BASE_CUENTAS!$A376,PAGOS!$B:$B, BASE_CUENTAS!$C376)</f>
        <v>0</v>
      </c>
      <c r="P376" t="str">
        <f>IF(
VLOOKUP($C376,BASE_CIERRE_MES!$C:$G,5,FALSE)=0,
"Normalización",
IF(
VLOOKUP($C376,BASE_CIERRE_MES!$C:$G,5,FALSE)&lt;$H376,
"Recuperación",
IF(
VLOOKUP($C376,BASE_CIERRE_MES!$C:$G,5,FALSE)=$H376,
"Contención",
"Rodamiento"
)))</f>
        <v>Rodamiento</v>
      </c>
      <c r="Q376">
        <f t="shared" si="5"/>
        <v>0</v>
      </c>
    </row>
    <row r="377" spans="1:17" x14ac:dyDescent="0.25">
      <c r="A377">
        <v>8260078</v>
      </c>
      <c r="B377" t="s">
        <v>17</v>
      </c>
      <c r="C377">
        <v>21777819</v>
      </c>
      <c r="D377" t="s">
        <v>11</v>
      </c>
      <c r="E377">
        <v>8143730</v>
      </c>
      <c r="F377" s="2">
        <v>6911469</v>
      </c>
      <c r="G377" s="2">
        <v>306634</v>
      </c>
      <c r="H377">
        <v>2</v>
      </c>
      <c r="I377" s="1">
        <v>42529</v>
      </c>
      <c r="J377" t="s">
        <v>6</v>
      </c>
      <c r="K377">
        <f>COUNTIFS(GESTIONES!$A:$A, BASE_CUENTAS!$A377, GESTIONES!$B:$B, BASE_CUENTAS!$C377)</f>
        <v>3</v>
      </c>
      <c r="L377">
        <f>COUNTIFS(GESTIONES!$A:$A, BASE_CUENTAS!$A377,GESTIONES!$B:$B, BASE_CUENTAS!$C377,GESTIONES!$E:$E, "S")</f>
        <v>1</v>
      </c>
      <c r="M377">
        <f>COUNTIFS(GESTIONES!$A:$A, BASE_CUENTAS!$A377,GESTIONES!$B:$B, BASE_CUENTAS!$C377,GESTIONES!$E:$E, "N")</f>
        <v>2</v>
      </c>
      <c r="N377">
        <f>COUNTIFS(GESTIONES!$A:$A, BASE_CUENTAS!$A377,GESTIONES!$B:$B, BASE_CUENTAS!$C377,GESTIONES!$D:$D, "SMS")</f>
        <v>2</v>
      </c>
      <c r="O377">
        <f>SUMIFS(PAGOS!$D:$D,PAGOS!$A:$A, BASE_CUENTAS!$A377,PAGOS!$B:$B, BASE_CUENTAS!$C377)</f>
        <v>0</v>
      </c>
      <c r="P377" t="str">
        <f>IF(
VLOOKUP($C377,BASE_CIERRE_MES!$C:$G,5,FALSE)=0,
"Normalización",
IF(
VLOOKUP($C377,BASE_CIERRE_MES!$C:$G,5,FALSE)&lt;$H377,
"Recuperación",
IF(
VLOOKUP($C377,BASE_CIERRE_MES!$C:$G,5,FALSE)=$H377,
"Contención",
"Rodamiento"
)))</f>
        <v>Rodamiento</v>
      </c>
      <c r="Q377">
        <f t="shared" si="5"/>
        <v>0</v>
      </c>
    </row>
    <row r="378" spans="1:17" x14ac:dyDescent="0.25">
      <c r="A378">
        <v>8260160</v>
      </c>
      <c r="B378" t="s">
        <v>17</v>
      </c>
      <c r="C378">
        <v>27607686</v>
      </c>
      <c r="D378" t="s">
        <v>7</v>
      </c>
      <c r="E378">
        <v>12687850</v>
      </c>
      <c r="F378" s="2">
        <v>5115955</v>
      </c>
      <c r="G378" s="2">
        <v>255813</v>
      </c>
      <c r="H378">
        <v>30</v>
      </c>
      <c r="I378" s="1">
        <v>42521</v>
      </c>
      <c r="J378" t="s">
        <v>4</v>
      </c>
      <c r="K378">
        <f>COUNTIFS(GESTIONES!$A:$A, BASE_CUENTAS!$A378, GESTIONES!$B:$B, BASE_CUENTAS!$C378)</f>
        <v>3</v>
      </c>
      <c r="L378">
        <f>COUNTIFS(GESTIONES!$A:$A, BASE_CUENTAS!$A378,GESTIONES!$B:$B, BASE_CUENTAS!$C378,GESTIONES!$E:$E, "S")</f>
        <v>1</v>
      </c>
      <c r="M378">
        <f>COUNTIFS(GESTIONES!$A:$A, BASE_CUENTAS!$A378,GESTIONES!$B:$B, BASE_CUENTAS!$C378,GESTIONES!$E:$E, "N")</f>
        <v>2</v>
      </c>
      <c r="N378">
        <f>COUNTIFS(GESTIONES!$A:$A, BASE_CUENTAS!$A378,GESTIONES!$B:$B, BASE_CUENTAS!$C378,GESTIONES!$D:$D, "SMS")</f>
        <v>0</v>
      </c>
      <c r="O378">
        <f>SUMIFS(PAGOS!$D:$D,PAGOS!$A:$A, BASE_CUENTAS!$A378,PAGOS!$B:$B, BASE_CUENTAS!$C378)</f>
        <v>127907</v>
      </c>
      <c r="P378" t="str">
        <f>IF(
VLOOKUP($C378,BASE_CIERRE_MES!$C:$G,5,FALSE)=0,
"Normalización",
IF(
VLOOKUP($C378,BASE_CIERRE_MES!$C:$G,5,FALSE)&lt;$H378,
"Recuperación",
IF(
VLOOKUP($C378,BASE_CIERRE_MES!$C:$G,5,FALSE)=$H378,
"Contención",
"Rodamiento"
)))</f>
        <v>Recuperación</v>
      </c>
      <c r="Q378">
        <f t="shared" si="5"/>
        <v>2.5001588168777872E-2</v>
      </c>
    </row>
    <row r="379" spans="1:17" x14ac:dyDescent="0.25">
      <c r="A379">
        <v>8260578</v>
      </c>
      <c r="B379" t="s">
        <v>18</v>
      </c>
      <c r="C379">
        <v>27404616</v>
      </c>
      <c r="D379" t="s">
        <v>7</v>
      </c>
      <c r="E379">
        <v>557414</v>
      </c>
      <c r="F379" s="2">
        <v>557414</v>
      </c>
      <c r="G379" s="2">
        <v>36010</v>
      </c>
      <c r="H379">
        <v>30</v>
      </c>
      <c r="I379" s="1">
        <v>42521</v>
      </c>
      <c r="J379" t="s">
        <v>4</v>
      </c>
      <c r="K379">
        <f>COUNTIFS(GESTIONES!$A:$A, BASE_CUENTAS!$A379, GESTIONES!$B:$B, BASE_CUENTAS!$C379)</f>
        <v>3</v>
      </c>
      <c r="L379">
        <f>COUNTIFS(GESTIONES!$A:$A, BASE_CUENTAS!$A379,GESTIONES!$B:$B, BASE_CUENTAS!$C379,GESTIONES!$E:$E, "S")</f>
        <v>1</v>
      </c>
      <c r="M379">
        <f>COUNTIFS(GESTIONES!$A:$A, BASE_CUENTAS!$A379,GESTIONES!$B:$B, BASE_CUENTAS!$C379,GESTIONES!$E:$E, "N")</f>
        <v>2</v>
      </c>
      <c r="N379">
        <f>COUNTIFS(GESTIONES!$A:$A, BASE_CUENTAS!$A379,GESTIONES!$B:$B, BASE_CUENTAS!$C379,GESTIONES!$D:$D, "SMS")</f>
        <v>1</v>
      </c>
      <c r="O379">
        <f>SUMIFS(PAGOS!$D:$D,PAGOS!$A:$A, BASE_CUENTAS!$A379,PAGOS!$B:$B, BASE_CUENTAS!$C379)</f>
        <v>0</v>
      </c>
      <c r="P379" t="str">
        <f>IF(
VLOOKUP($C379,BASE_CIERRE_MES!$C:$G,5,FALSE)=0,
"Normalización",
IF(
VLOOKUP($C379,BASE_CIERRE_MES!$C:$G,5,FALSE)&lt;$H379,
"Recuperación",
IF(
VLOOKUP($C379,BASE_CIERRE_MES!$C:$G,5,FALSE)=$H379,
"Contención",
"Rodamiento"
)))</f>
        <v>Rodamiento</v>
      </c>
      <c r="Q379">
        <f t="shared" si="5"/>
        <v>0</v>
      </c>
    </row>
    <row r="380" spans="1:17" x14ac:dyDescent="0.25">
      <c r="A380">
        <v>8260654</v>
      </c>
      <c r="B380" t="s">
        <v>17</v>
      </c>
      <c r="C380">
        <v>25058357</v>
      </c>
      <c r="D380" t="s">
        <v>7</v>
      </c>
      <c r="E380">
        <v>4867793</v>
      </c>
      <c r="F380" s="2">
        <v>3599130</v>
      </c>
      <c r="G380" s="2">
        <v>420207</v>
      </c>
      <c r="H380">
        <v>30</v>
      </c>
      <c r="I380" s="1">
        <v>42521</v>
      </c>
      <c r="J380" t="s">
        <v>4</v>
      </c>
      <c r="K380">
        <f>COUNTIFS(GESTIONES!$A:$A, BASE_CUENTAS!$A380, GESTIONES!$B:$B, BASE_CUENTAS!$C380)</f>
        <v>3</v>
      </c>
      <c r="L380">
        <f>COUNTIFS(GESTIONES!$A:$A, BASE_CUENTAS!$A380,GESTIONES!$B:$B, BASE_CUENTAS!$C380,GESTIONES!$E:$E, "S")</f>
        <v>1</v>
      </c>
      <c r="M380">
        <f>COUNTIFS(GESTIONES!$A:$A, BASE_CUENTAS!$A380,GESTIONES!$B:$B, BASE_CUENTAS!$C380,GESTIONES!$E:$E, "N")</f>
        <v>2</v>
      </c>
      <c r="N380">
        <f>COUNTIFS(GESTIONES!$A:$A, BASE_CUENTAS!$A380,GESTIONES!$B:$B, BASE_CUENTAS!$C380,GESTIONES!$D:$D, "SMS")</f>
        <v>0</v>
      </c>
      <c r="O380">
        <f>SUMIFS(PAGOS!$D:$D,PAGOS!$A:$A, BASE_CUENTAS!$A380,PAGOS!$B:$B, BASE_CUENTAS!$C380)</f>
        <v>0</v>
      </c>
      <c r="P380" t="str">
        <f>IF(
VLOOKUP($C380,BASE_CIERRE_MES!$C:$G,5,FALSE)=0,
"Normalización",
IF(
VLOOKUP($C380,BASE_CIERRE_MES!$C:$G,5,FALSE)&lt;$H380,
"Recuperación",
IF(
VLOOKUP($C380,BASE_CIERRE_MES!$C:$G,5,FALSE)=$H380,
"Contención",
"Rodamiento"
)))</f>
        <v>Rodamiento</v>
      </c>
      <c r="Q380">
        <f t="shared" si="5"/>
        <v>0</v>
      </c>
    </row>
    <row r="381" spans="1:17" x14ac:dyDescent="0.25">
      <c r="A381">
        <v>8260654</v>
      </c>
      <c r="B381" t="s">
        <v>17</v>
      </c>
      <c r="C381">
        <v>25097727</v>
      </c>
      <c r="D381" t="s">
        <v>7</v>
      </c>
      <c r="E381">
        <v>4867793</v>
      </c>
      <c r="F381" s="2">
        <v>1268664</v>
      </c>
      <c r="G381" s="2">
        <v>409175</v>
      </c>
      <c r="H381">
        <v>30</v>
      </c>
      <c r="I381" s="1">
        <v>42521</v>
      </c>
      <c r="J381" t="s">
        <v>4</v>
      </c>
      <c r="K381">
        <f>COUNTIFS(GESTIONES!$A:$A, BASE_CUENTAS!$A381, GESTIONES!$B:$B, BASE_CUENTAS!$C381)</f>
        <v>3</v>
      </c>
      <c r="L381">
        <f>COUNTIFS(GESTIONES!$A:$A, BASE_CUENTAS!$A381,GESTIONES!$B:$B, BASE_CUENTAS!$C381,GESTIONES!$E:$E, "S")</f>
        <v>0</v>
      </c>
      <c r="M381">
        <f>COUNTIFS(GESTIONES!$A:$A, BASE_CUENTAS!$A381,GESTIONES!$B:$B, BASE_CUENTAS!$C381,GESTIONES!$E:$E, "N")</f>
        <v>3</v>
      </c>
      <c r="N381">
        <f>COUNTIFS(GESTIONES!$A:$A, BASE_CUENTAS!$A381,GESTIONES!$B:$B, BASE_CUENTAS!$C381,GESTIONES!$D:$D, "SMS")</f>
        <v>1</v>
      </c>
      <c r="O381">
        <f>SUMIFS(PAGOS!$D:$D,PAGOS!$A:$A, BASE_CUENTAS!$A381,PAGOS!$B:$B, BASE_CUENTAS!$C381)</f>
        <v>409175</v>
      </c>
      <c r="P381" t="str">
        <f>IF(
VLOOKUP($C381,BASE_CIERRE_MES!$C:$G,5,FALSE)=0,
"Normalización",
IF(
VLOOKUP($C381,BASE_CIERRE_MES!$C:$G,5,FALSE)&lt;$H381,
"Recuperación",
IF(
VLOOKUP($C381,BASE_CIERRE_MES!$C:$G,5,FALSE)=$H381,
"Contención",
"Rodamiento"
)))</f>
        <v>Normalización</v>
      </c>
      <c r="Q381">
        <f t="shared" si="5"/>
        <v>0.32252432480152349</v>
      </c>
    </row>
    <row r="382" spans="1:17" x14ac:dyDescent="0.25">
      <c r="A382">
        <v>8260684</v>
      </c>
      <c r="B382" t="s">
        <v>16</v>
      </c>
      <c r="C382">
        <v>25807487</v>
      </c>
      <c r="D382" t="s">
        <v>11</v>
      </c>
      <c r="E382">
        <v>25632418</v>
      </c>
      <c r="F382" s="2">
        <v>11165793</v>
      </c>
      <c r="G382" s="2">
        <v>620809</v>
      </c>
      <c r="H382">
        <v>57</v>
      </c>
      <c r="I382" s="1">
        <v>42504</v>
      </c>
      <c r="J382" t="s">
        <v>6</v>
      </c>
      <c r="K382">
        <f>COUNTIFS(GESTIONES!$A:$A, BASE_CUENTAS!$A382, GESTIONES!$B:$B, BASE_CUENTAS!$C382)</f>
        <v>3</v>
      </c>
      <c r="L382">
        <f>COUNTIFS(GESTIONES!$A:$A, BASE_CUENTAS!$A382,GESTIONES!$B:$B, BASE_CUENTAS!$C382,GESTIONES!$E:$E, "S")</f>
        <v>1</v>
      </c>
      <c r="M382">
        <f>COUNTIFS(GESTIONES!$A:$A, BASE_CUENTAS!$A382,GESTIONES!$B:$B, BASE_CUENTAS!$C382,GESTIONES!$E:$E, "N")</f>
        <v>2</v>
      </c>
      <c r="N382">
        <f>COUNTIFS(GESTIONES!$A:$A, BASE_CUENTAS!$A382,GESTIONES!$B:$B, BASE_CUENTAS!$C382,GESTIONES!$D:$D, "SMS")</f>
        <v>2</v>
      </c>
      <c r="O382">
        <f>SUMIFS(PAGOS!$D:$D,PAGOS!$A:$A, BASE_CUENTAS!$A382,PAGOS!$B:$B, BASE_CUENTAS!$C382)</f>
        <v>620809</v>
      </c>
      <c r="P382" t="str">
        <f>IF(
VLOOKUP($C382,BASE_CIERRE_MES!$C:$G,5,FALSE)=0,
"Normalización",
IF(
VLOOKUP($C382,BASE_CIERRE_MES!$C:$G,5,FALSE)&lt;$H382,
"Recuperación",
IF(
VLOOKUP($C382,BASE_CIERRE_MES!$C:$G,5,FALSE)=$H382,
"Contención",
"Rodamiento"
)))</f>
        <v>Normalización</v>
      </c>
      <c r="Q382">
        <f t="shared" si="5"/>
        <v>5.5599185834808149E-2</v>
      </c>
    </row>
    <row r="383" spans="1:17" x14ac:dyDescent="0.25">
      <c r="A383">
        <v>8260684</v>
      </c>
      <c r="B383" t="s">
        <v>16</v>
      </c>
      <c r="C383">
        <v>26368969</v>
      </c>
      <c r="D383" t="s">
        <v>7</v>
      </c>
      <c r="E383">
        <v>25632418</v>
      </c>
      <c r="F383" s="2">
        <v>4851055</v>
      </c>
      <c r="G383" s="2">
        <v>659246</v>
      </c>
      <c r="H383">
        <v>60</v>
      </c>
      <c r="I383" s="1">
        <v>42504</v>
      </c>
      <c r="J383" t="s">
        <v>6</v>
      </c>
      <c r="K383">
        <f>COUNTIFS(GESTIONES!$A:$A, BASE_CUENTAS!$A383, GESTIONES!$B:$B, BASE_CUENTAS!$C383)</f>
        <v>3</v>
      </c>
      <c r="L383">
        <f>COUNTIFS(GESTIONES!$A:$A, BASE_CUENTAS!$A383,GESTIONES!$B:$B, BASE_CUENTAS!$C383,GESTIONES!$E:$E, "S")</f>
        <v>1</v>
      </c>
      <c r="M383">
        <f>COUNTIFS(GESTIONES!$A:$A, BASE_CUENTAS!$A383,GESTIONES!$B:$B, BASE_CUENTAS!$C383,GESTIONES!$E:$E, "N")</f>
        <v>2</v>
      </c>
      <c r="N383">
        <f>COUNTIFS(GESTIONES!$A:$A, BASE_CUENTAS!$A383,GESTIONES!$B:$B, BASE_CUENTAS!$C383,GESTIONES!$D:$D, "SMS")</f>
        <v>0</v>
      </c>
      <c r="O383">
        <f>SUMIFS(PAGOS!$D:$D,PAGOS!$A:$A, BASE_CUENTAS!$A383,PAGOS!$B:$B, BASE_CUENTAS!$C383)</f>
        <v>329623</v>
      </c>
      <c r="P383" t="str">
        <f>IF(
VLOOKUP($C383,BASE_CIERRE_MES!$C:$G,5,FALSE)=0,
"Normalización",
IF(
VLOOKUP($C383,BASE_CIERRE_MES!$C:$G,5,FALSE)&lt;$H383,
"Recuperación",
IF(
VLOOKUP($C383,BASE_CIERRE_MES!$C:$G,5,FALSE)=$H383,
"Contención",
"Rodamiento"
)))</f>
        <v>Recuperación</v>
      </c>
      <c r="Q383">
        <f t="shared" si="5"/>
        <v>6.7948724555792497E-2</v>
      </c>
    </row>
    <row r="384" spans="1:17" x14ac:dyDescent="0.25">
      <c r="A384">
        <v>8260684</v>
      </c>
      <c r="B384" t="s">
        <v>16</v>
      </c>
      <c r="C384">
        <v>26369715</v>
      </c>
      <c r="D384" t="s">
        <v>7</v>
      </c>
      <c r="E384">
        <v>25632418</v>
      </c>
      <c r="F384" s="2">
        <v>4832117</v>
      </c>
      <c r="G384" s="2">
        <v>1149668</v>
      </c>
      <c r="H384">
        <v>60</v>
      </c>
      <c r="I384" s="1">
        <v>42504</v>
      </c>
      <c r="J384" t="s">
        <v>6</v>
      </c>
      <c r="K384">
        <f>COUNTIFS(GESTIONES!$A:$A, BASE_CUENTAS!$A384, GESTIONES!$B:$B, BASE_CUENTAS!$C384)</f>
        <v>3</v>
      </c>
      <c r="L384">
        <f>COUNTIFS(GESTIONES!$A:$A, BASE_CUENTAS!$A384,GESTIONES!$B:$B, BASE_CUENTAS!$C384,GESTIONES!$E:$E, "S")</f>
        <v>1</v>
      </c>
      <c r="M384">
        <f>COUNTIFS(GESTIONES!$A:$A, BASE_CUENTAS!$A384,GESTIONES!$B:$B, BASE_CUENTAS!$C384,GESTIONES!$E:$E, "N")</f>
        <v>2</v>
      </c>
      <c r="N384">
        <f>COUNTIFS(GESTIONES!$A:$A, BASE_CUENTAS!$A384,GESTIONES!$B:$B, BASE_CUENTAS!$C384,GESTIONES!$D:$D, "SMS")</f>
        <v>1</v>
      </c>
      <c r="O384">
        <f>SUMIFS(PAGOS!$D:$D,PAGOS!$A:$A, BASE_CUENTAS!$A384,PAGOS!$B:$B, BASE_CUENTAS!$C384)</f>
        <v>0</v>
      </c>
      <c r="P384" t="str">
        <f>IF(
VLOOKUP($C384,BASE_CIERRE_MES!$C:$G,5,FALSE)=0,
"Normalización",
IF(
VLOOKUP($C384,BASE_CIERRE_MES!$C:$G,5,FALSE)&lt;$H384,
"Recuperación",
IF(
VLOOKUP($C384,BASE_CIERRE_MES!$C:$G,5,FALSE)=$H384,
"Contención",
"Rodamiento"
)))</f>
        <v>Rodamiento</v>
      </c>
      <c r="Q384">
        <f t="shared" si="5"/>
        <v>0</v>
      </c>
    </row>
    <row r="385" spans="1:17" x14ac:dyDescent="0.25">
      <c r="A385">
        <v>8260684</v>
      </c>
      <c r="B385" t="s">
        <v>16</v>
      </c>
      <c r="C385">
        <v>27853647</v>
      </c>
      <c r="D385" t="s">
        <v>12</v>
      </c>
      <c r="E385">
        <v>25632418</v>
      </c>
      <c r="F385" s="2">
        <v>4783453</v>
      </c>
      <c r="G385" s="2">
        <v>551701</v>
      </c>
      <c r="H385">
        <v>85</v>
      </c>
      <c r="I385" s="1">
        <v>42504</v>
      </c>
      <c r="J385" t="s">
        <v>6</v>
      </c>
      <c r="K385">
        <f>COUNTIFS(GESTIONES!$A:$A, BASE_CUENTAS!$A385, GESTIONES!$B:$B, BASE_CUENTAS!$C385)</f>
        <v>3</v>
      </c>
      <c r="L385">
        <f>COUNTIFS(GESTIONES!$A:$A, BASE_CUENTAS!$A385,GESTIONES!$B:$B, BASE_CUENTAS!$C385,GESTIONES!$E:$E, "S")</f>
        <v>2</v>
      </c>
      <c r="M385">
        <f>COUNTIFS(GESTIONES!$A:$A, BASE_CUENTAS!$A385,GESTIONES!$B:$B, BASE_CUENTAS!$C385,GESTIONES!$E:$E, "N")</f>
        <v>1</v>
      </c>
      <c r="N385">
        <f>COUNTIFS(GESTIONES!$A:$A, BASE_CUENTAS!$A385,GESTIONES!$B:$B, BASE_CUENTAS!$C385,GESTIONES!$D:$D, "SMS")</f>
        <v>0</v>
      </c>
      <c r="O385">
        <f>SUMIFS(PAGOS!$D:$D,PAGOS!$A:$A, BASE_CUENTAS!$A385,PAGOS!$B:$B, BASE_CUENTAS!$C385)</f>
        <v>0</v>
      </c>
      <c r="P385" t="str">
        <f>IF(
VLOOKUP($C385,BASE_CIERRE_MES!$C:$G,5,FALSE)=0,
"Normalización",
IF(
VLOOKUP($C385,BASE_CIERRE_MES!$C:$G,5,FALSE)&lt;$H385,
"Recuperación",
IF(
VLOOKUP($C385,BASE_CIERRE_MES!$C:$G,5,FALSE)=$H385,
"Contención",
"Rodamiento"
)))</f>
        <v>Recuperación</v>
      </c>
      <c r="Q385">
        <f t="shared" si="5"/>
        <v>0</v>
      </c>
    </row>
    <row r="386" spans="1:17" x14ac:dyDescent="0.25">
      <c r="A386">
        <v>8260719</v>
      </c>
      <c r="B386" t="s">
        <v>18</v>
      </c>
      <c r="C386">
        <v>20150113</v>
      </c>
      <c r="D386" t="s">
        <v>7</v>
      </c>
      <c r="E386">
        <v>540083</v>
      </c>
      <c r="F386" s="2">
        <v>540083</v>
      </c>
      <c r="G386" s="2">
        <v>37180</v>
      </c>
      <c r="H386">
        <v>30</v>
      </c>
      <c r="I386" s="1">
        <v>42521</v>
      </c>
      <c r="J386" t="s">
        <v>4</v>
      </c>
      <c r="K386">
        <f>COUNTIFS(GESTIONES!$A:$A, BASE_CUENTAS!$A386, GESTIONES!$B:$B, BASE_CUENTAS!$C386)</f>
        <v>3</v>
      </c>
      <c r="L386">
        <f>COUNTIFS(GESTIONES!$A:$A, BASE_CUENTAS!$A386,GESTIONES!$B:$B, BASE_CUENTAS!$C386,GESTIONES!$E:$E, "S")</f>
        <v>1</v>
      </c>
      <c r="M386">
        <f>COUNTIFS(GESTIONES!$A:$A, BASE_CUENTAS!$A386,GESTIONES!$B:$B, BASE_CUENTAS!$C386,GESTIONES!$E:$E, "N")</f>
        <v>2</v>
      </c>
      <c r="N386">
        <f>COUNTIFS(GESTIONES!$A:$A, BASE_CUENTAS!$A386,GESTIONES!$B:$B, BASE_CUENTAS!$C386,GESTIONES!$D:$D, "SMS")</f>
        <v>0</v>
      </c>
      <c r="O386">
        <f>SUMIFS(PAGOS!$D:$D,PAGOS!$A:$A, BASE_CUENTAS!$A386,PAGOS!$B:$B, BASE_CUENTAS!$C386)</f>
        <v>540083</v>
      </c>
      <c r="P386" t="str">
        <f>IF(
VLOOKUP($C386,BASE_CIERRE_MES!$C:$G,5,FALSE)=0,
"Normalización",
IF(
VLOOKUP($C386,BASE_CIERRE_MES!$C:$G,5,FALSE)&lt;$H386,
"Recuperación",
IF(
VLOOKUP($C386,BASE_CIERRE_MES!$C:$G,5,FALSE)=$H386,
"Contención",
"Rodamiento"
)))</f>
        <v>Normalización</v>
      </c>
      <c r="Q386">
        <f t="shared" si="5"/>
        <v>1</v>
      </c>
    </row>
    <row r="387" spans="1:17" x14ac:dyDescent="0.25">
      <c r="A387">
        <v>8260923</v>
      </c>
      <c r="B387" t="s">
        <v>18</v>
      </c>
      <c r="C387">
        <v>23139966</v>
      </c>
      <c r="D387" t="s">
        <v>7</v>
      </c>
      <c r="E387">
        <v>1462673</v>
      </c>
      <c r="F387" s="2">
        <v>925865</v>
      </c>
      <c r="G387" s="2">
        <v>208919</v>
      </c>
      <c r="H387">
        <v>90</v>
      </c>
      <c r="I387" s="1">
        <v>42487</v>
      </c>
      <c r="J387" t="s">
        <v>5</v>
      </c>
      <c r="K387">
        <f>COUNTIFS(GESTIONES!$A:$A, BASE_CUENTAS!$A387, GESTIONES!$B:$B, BASE_CUENTAS!$C387)</f>
        <v>3</v>
      </c>
      <c r="L387">
        <f>COUNTIFS(GESTIONES!$A:$A, BASE_CUENTAS!$A387,GESTIONES!$B:$B, BASE_CUENTAS!$C387,GESTIONES!$E:$E, "S")</f>
        <v>0</v>
      </c>
      <c r="M387">
        <f>COUNTIFS(GESTIONES!$A:$A, BASE_CUENTAS!$A387,GESTIONES!$B:$B, BASE_CUENTAS!$C387,GESTIONES!$E:$E, "N")</f>
        <v>3</v>
      </c>
      <c r="N387">
        <f>COUNTIFS(GESTIONES!$A:$A, BASE_CUENTAS!$A387,GESTIONES!$B:$B, BASE_CUENTAS!$C387,GESTIONES!$D:$D, "SMS")</f>
        <v>2</v>
      </c>
      <c r="O387">
        <f>SUMIFS(PAGOS!$D:$D,PAGOS!$A:$A, BASE_CUENTAS!$A387,PAGOS!$B:$B, BASE_CUENTAS!$C387)</f>
        <v>104460</v>
      </c>
      <c r="P387" t="str">
        <f>IF(
VLOOKUP($C387,BASE_CIERRE_MES!$C:$G,5,FALSE)=0,
"Normalización",
IF(
VLOOKUP($C387,BASE_CIERRE_MES!$C:$G,5,FALSE)&lt;$H387,
"Recuperación",
IF(
VLOOKUP($C387,BASE_CIERRE_MES!$C:$G,5,FALSE)=$H387,
"Contención",
"Rodamiento"
)))</f>
        <v>Recuperación</v>
      </c>
      <c r="Q387">
        <f t="shared" ref="Q387:Q450" si="6">IF(F387=0,0,VALUE(O387)/VALUE(F387))</f>
        <v>0.11282422383392827</v>
      </c>
    </row>
    <row r="388" spans="1:17" x14ac:dyDescent="0.25">
      <c r="A388">
        <v>8260923</v>
      </c>
      <c r="B388" t="s">
        <v>18</v>
      </c>
      <c r="C388">
        <v>23216432</v>
      </c>
      <c r="D388" t="s">
        <v>9</v>
      </c>
      <c r="E388">
        <v>1462673</v>
      </c>
      <c r="F388" s="2">
        <v>536809</v>
      </c>
      <c r="G388" s="2">
        <v>71830</v>
      </c>
      <c r="H388">
        <v>19</v>
      </c>
      <c r="I388" s="1">
        <v>42511</v>
      </c>
      <c r="J388" t="s">
        <v>5</v>
      </c>
      <c r="K388">
        <f>COUNTIFS(GESTIONES!$A:$A, BASE_CUENTAS!$A388, GESTIONES!$B:$B, BASE_CUENTAS!$C388)</f>
        <v>3</v>
      </c>
      <c r="L388">
        <f>COUNTIFS(GESTIONES!$A:$A, BASE_CUENTAS!$A388,GESTIONES!$B:$B, BASE_CUENTAS!$C388,GESTIONES!$E:$E, "S")</f>
        <v>1</v>
      </c>
      <c r="M388">
        <f>COUNTIFS(GESTIONES!$A:$A, BASE_CUENTAS!$A388,GESTIONES!$B:$B, BASE_CUENTAS!$C388,GESTIONES!$E:$E, "N")</f>
        <v>2</v>
      </c>
      <c r="N388">
        <f>COUNTIFS(GESTIONES!$A:$A, BASE_CUENTAS!$A388,GESTIONES!$B:$B, BASE_CUENTAS!$C388,GESTIONES!$D:$D, "SMS")</f>
        <v>1</v>
      </c>
      <c r="O388">
        <f>SUMIFS(PAGOS!$D:$D,PAGOS!$A:$A, BASE_CUENTAS!$A388,PAGOS!$B:$B, BASE_CUENTAS!$C388)</f>
        <v>0</v>
      </c>
      <c r="P388" t="str">
        <f>IF(
VLOOKUP($C388,BASE_CIERRE_MES!$C:$G,5,FALSE)=0,
"Normalización",
IF(
VLOOKUP($C388,BASE_CIERRE_MES!$C:$G,5,FALSE)&lt;$H388,
"Recuperación",
IF(
VLOOKUP($C388,BASE_CIERRE_MES!$C:$G,5,FALSE)=$H388,
"Contención",
"Rodamiento"
)))</f>
        <v>Rodamiento</v>
      </c>
      <c r="Q388">
        <f t="shared" si="6"/>
        <v>0</v>
      </c>
    </row>
    <row r="389" spans="1:17" x14ac:dyDescent="0.25">
      <c r="A389">
        <v>8261115</v>
      </c>
      <c r="B389" t="s">
        <v>17</v>
      </c>
      <c r="C389">
        <v>21710750</v>
      </c>
      <c r="D389" t="s">
        <v>7</v>
      </c>
      <c r="E389">
        <v>6088213</v>
      </c>
      <c r="F389" s="2">
        <v>4767348</v>
      </c>
      <c r="G389" s="2">
        <v>4767348</v>
      </c>
      <c r="H389">
        <v>150</v>
      </c>
      <c r="I389" s="1">
        <v>42519</v>
      </c>
      <c r="J389" t="s">
        <v>5</v>
      </c>
      <c r="K389">
        <f>COUNTIFS(GESTIONES!$A:$A, BASE_CUENTAS!$A389, GESTIONES!$B:$B, BASE_CUENTAS!$C389)</f>
        <v>3</v>
      </c>
      <c r="L389">
        <f>COUNTIFS(GESTIONES!$A:$A, BASE_CUENTAS!$A389,GESTIONES!$B:$B, BASE_CUENTAS!$C389,GESTIONES!$E:$E, "S")</f>
        <v>1</v>
      </c>
      <c r="M389">
        <f>COUNTIFS(GESTIONES!$A:$A, BASE_CUENTAS!$A389,GESTIONES!$B:$B, BASE_CUENTAS!$C389,GESTIONES!$E:$E, "N")</f>
        <v>2</v>
      </c>
      <c r="N389">
        <f>COUNTIFS(GESTIONES!$A:$A, BASE_CUENTAS!$A389,GESTIONES!$B:$B, BASE_CUENTAS!$C389,GESTIONES!$D:$D, "SMS")</f>
        <v>1</v>
      </c>
      <c r="O389">
        <f>SUMIFS(PAGOS!$D:$D,PAGOS!$A:$A, BASE_CUENTAS!$A389,PAGOS!$B:$B, BASE_CUENTAS!$C389)</f>
        <v>4767348</v>
      </c>
      <c r="P389" t="str">
        <f>IF(
VLOOKUP($C389,BASE_CIERRE_MES!$C:$G,5,FALSE)=0,
"Normalización",
IF(
VLOOKUP($C389,BASE_CIERRE_MES!$C:$G,5,FALSE)&lt;$H389,
"Recuperación",
IF(
VLOOKUP($C389,BASE_CIERRE_MES!$C:$G,5,FALSE)=$H389,
"Contención",
"Rodamiento"
)))</f>
        <v>Normalización</v>
      </c>
      <c r="Q389">
        <f t="shared" si="6"/>
        <v>1</v>
      </c>
    </row>
    <row r="390" spans="1:17" x14ac:dyDescent="0.25">
      <c r="A390">
        <v>8261115</v>
      </c>
      <c r="B390" t="s">
        <v>17</v>
      </c>
      <c r="C390">
        <v>25119832</v>
      </c>
      <c r="D390" t="s">
        <v>7</v>
      </c>
      <c r="E390">
        <v>6088213</v>
      </c>
      <c r="F390" s="2">
        <v>1320865</v>
      </c>
      <c r="G390" s="2">
        <v>317546</v>
      </c>
      <c r="H390">
        <v>90</v>
      </c>
      <c r="I390" s="1">
        <v>42490</v>
      </c>
      <c r="J390" t="s">
        <v>5</v>
      </c>
      <c r="K390">
        <f>COUNTIFS(GESTIONES!$A:$A, BASE_CUENTAS!$A390, GESTIONES!$B:$B, BASE_CUENTAS!$C390)</f>
        <v>3</v>
      </c>
      <c r="L390">
        <f>COUNTIFS(GESTIONES!$A:$A, BASE_CUENTAS!$A390,GESTIONES!$B:$B, BASE_CUENTAS!$C390,GESTIONES!$E:$E, "S")</f>
        <v>1</v>
      </c>
      <c r="M390">
        <f>COUNTIFS(GESTIONES!$A:$A, BASE_CUENTAS!$A390,GESTIONES!$B:$B, BASE_CUENTAS!$C390,GESTIONES!$E:$E, "N")</f>
        <v>2</v>
      </c>
      <c r="N390">
        <f>COUNTIFS(GESTIONES!$A:$A, BASE_CUENTAS!$A390,GESTIONES!$B:$B, BASE_CUENTAS!$C390,GESTIONES!$D:$D, "SMS")</f>
        <v>0</v>
      </c>
      <c r="O390">
        <f>SUMIFS(PAGOS!$D:$D,PAGOS!$A:$A, BASE_CUENTAS!$A390,PAGOS!$B:$B, BASE_CUENTAS!$C390)</f>
        <v>0</v>
      </c>
      <c r="P390" t="str">
        <f>IF(
VLOOKUP($C390,BASE_CIERRE_MES!$C:$G,5,FALSE)=0,
"Normalización",
IF(
VLOOKUP($C390,BASE_CIERRE_MES!$C:$G,5,FALSE)&lt;$H390,
"Recuperación",
IF(
VLOOKUP($C390,BASE_CIERRE_MES!$C:$G,5,FALSE)=$H390,
"Contención",
"Rodamiento"
)))</f>
        <v>Rodamiento</v>
      </c>
      <c r="Q390">
        <f t="shared" si="6"/>
        <v>0</v>
      </c>
    </row>
    <row r="391" spans="1:17" x14ac:dyDescent="0.25">
      <c r="A391">
        <v>8261154</v>
      </c>
      <c r="B391" t="s">
        <v>16</v>
      </c>
      <c r="C391">
        <v>14966446</v>
      </c>
      <c r="D391" t="s">
        <v>7</v>
      </c>
      <c r="E391">
        <v>29198608</v>
      </c>
      <c r="F391" s="2">
        <v>1661588</v>
      </c>
      <c r="G391" s="2">
        <v>95288</v>
      </c>
      <c r="H391">
        <v>30</v>
      </c>
      <c r="I391" s="1">
        <v>42508</v>
      </c>
      <c r="J391" t="s">
        <v>6</v>
      </c>
      <c r="K391">
        <f>COUNTIFS(GESTIONES!$A:$A, BASE_CUENTAS!$A391, GESTIONES!$B:$B, BASE_CUENTAS!$C391)</f>
        <v>3</v>
      </c>
      <c r="L391">
        <f>COUNTIFS(GESTIONES!$A:$A, BASE_CUENTAS!$A391,GESTIONES!$B:$B, BASE_CUENTAS!$C391,GESTIONES!$E:$E, "S")</f>
        <v>1</v>
      </c>
      <c r="M391">
        <f>COUNTIFS(GESTIONES!$A:$A, BASE_CUENTAS!$A391,GESTIONES!$B:$B, BASE_CUENTAS!$C391,GESTIONES!$E:$E, "N")</f>
        <v>2</v>
      </c>
      <c r="N391">
        <f>COUNTIFS(GESTIONES!$A:$A, BASE_CUENTAS!$A391,GESTIONES!$B:$B, BASE_CUENTAS!$C391,GESTIONES!$D:$D, "SMS")</f>
        <v>0</v>
      </c>
      <c r="O391">
        <f>SUMIFS(PAGOS!$D:$D,PAGOS!$A:$A, BASE_CUENTAS!$A391,PAGOS!$B:$B, BASE_CUENTAS!$C391)</f>
        <v>0</v>
      </c>
      <c r="P391" t="str">
        <f>IF(
VLOOKUP($C391,BASE_CIERRE_MES!$C:$G,5,FALSE)=0,
"Normalización",
IF(
VLOOKUP($C391,BASE_CIERRE_MES!$C:$G,5,FALSE)&lt;$H391,
"Recuperación",
IF(
VLOOKUP($C391,BASE_CIERRE_MES!$C:$G,5,FALSE)=$H391,
"Contención",
"Rodamiento"
)))</f>
        <v>Rodamiento</v>
      </c>
      <c r="Q391">
        <f t="shared" si="6"/>
        <v>0</v>
      </c>
    </row>
    <row r="392" spans="1:17" x14ac:dyDescent="0.25">
      <c r="A392">
        <v>8261154</v>
      </c>
      <c r="B392" t="s">
        <v>16</v>
      </c>
      <c r="C392">
        <v>27689534</v>
      </c>
      <c r="D392" t="s">
        <v>9</v>
      </c>
      <c r="E392">
        <v>29198608</v>
      </c>
      <c r="F392" s="2">
        <v>27537020</v>
      </c>
      <c r="G392" s="2">
        <v>1828818</v>
      </c>
      <c r="H392">
        <v>33</v>
      </c>
      <c r="I392" s="1">
        <v>42508</v>
      </c>
      <c r="J392" t="s">
        <v>6</v>
      </c>
      <c r="K392">
        <f>COUNTIFS(GESTIONES!$A:$A, BASE_CUENTAS!$A392, GESTIONES!$B:$B, BASE_CUENTAS!$C392)</f>
        <v>3</v>
      </c>
      <c r="L392">
        <f>COUNTIFS(GESTIONES!$A:$A, BASE_CUENTAS!$A392,GESTIONES!$B:$B, BASE_CUENTAS!$C392,GESTIONES!$E:$E, "S")</f>
        <v>0</v>
      </c>
      <c r="M392">
        <f>COUNTIFS(GESTIONES!$A:$A, BASE_CUENTAS!$A392,GESTIONES!$B:$B, BASE_CUENTAS!$C392,GESTIONES!$E:$E, "N")</f>
        <v>3</v>
      </c>
      <c r="N392">
        <f>COUNTIFS(GESTIONES!$A:$A, BASE_CUENTAS!$A392,GESTIONES!$B:$B, BASE_CUENTAS!$C392,GESTIONES!$D:$D, "SMS")</f>
        <v>2</v>
      </c>
      <c r="O392">
        <f>SUMIFS(PAGOS!$D:$D,PAGOS!$A:$A, BASE_CUENTAS!$A392,PAGOS!$B:$B, BASE_CUENTAS!$C392)</f>
        <v>1828818</v>
      </c>
      <c r="P392" t="str">
        <f>IF(
VLOOKUP($C392,BASE_CIERRE_MES!$C:$G,5,FALSE)=0,
"Normalización",
IF(
VLOOKUP($C392,BASE_CIERRE_MES!$C:$G,5,FALSE)&lt;$H392,
"Recuperación",
IF(
VLOOKUP($C392,BASE_CIERRE_MES!$C:$G,5,FALSE)=$H392,
"Contención",
"Rodamiento"
)))</f>
        <v>Normalización</v>
      </c>
      <c r="Q392">
        <f t="shared" si="6"/>
        <v>6.6413068661750618E-2</v>
      </c>
    </row>
    <row r="393" spans="1:17" x14ac:dyDescent="0.25">
      <c r="A393">
        <v>8261236</v>
      </c>
      <c r="B393" t="s">
        <v>17</v>
      </c>
      <c r="C393">
        <v>9671809</v>
      </c>
      <c r="D393" t="s">
        <v>10</v>
      </c>
      <c r="E393">
        <v>10449011</v>
      </c>
      <c r="F393" s="2">
        <v>694334</v>
      </c>
      <c r="G393" s="2">
        <v>694334</v>
      </c>
      <c r="H393">
        <v>18</v>
      </c>
      <c r="I393" s="1">
        <v>42506</v>
      </c>
      <c r="J393" t="s">
        <v>5</v>
      </c>
      <c r="K393">
        <f>COUNTIFS(GESTIONES!$A:$A, BASE_CUENTAS!$A393, GESTIONES!$B:$B, BASE_CUENTAS!$C393)</f>
        <v>3</v>
      </c>
      <c r="L393">
        <f>COUNTIFS(GESTIONES!$A:$A, BASE_CUENTAS!$A393,GESTIONES!$B:$B, BASE_CUENTAS!$C393,GESTIONES!$E:$E, "S")</f>
        <v>1</v>
      </c>
      <c r="M393">
        <f>COUNTIFS(GESTIONES!$A:$A, BASE_CUENTAS!$A393,GESTIONES!$B:$B, BASE_CUENTAS!$C393,GESTIONES!$E:$E, "N")</f>
        <v>2</v>
      </c>
      <c r="N393">
        <f>COUNTIFS(GESTIONES!$A:$A, BASE_CUENTAS!$A393,GESTIONES!$B:$B, BASE_CUENTAS!$C393,GESTIONES!$D:$D, "SMS")</f>
        <v>1</v>
      </c>
      <c r="O393">
        <f>SUMIFS(PAGOS!$D:$D,PAGOS!$A:$A, BASE_CUENTAS!$A393,PAGOS!$B:$B, BASE_CUENTAS!$C393)</f>
        <v>0</v>
      </c>
      <c r="P393" t="str">
        <f>IF(
VLOOKUP($C393,BASE_CIERRE_MES!$C:$G,5,FALSE)=0,
"Normalización",
IF(
VLOOKUP($C393,BASE_CIERRE_MES!$C:$G,5,FALSE)&lt;$H393,
"Recuperación",
IF(
VLOOKUP($C393,BASE_CIERRE_MES!$C:$G,5,FALSE)=$H393,
"Contención",
"Rodamiento"
)))</f>
        <v>Rodamiento</v>
      </c>
      <c r="Q393">
        <f t="shared" si="6"/>
        <v>0</v>
      </c>
    </row>
    <row r="394" spans="1:17" x14ac:dyDescent="0.25">
      <c r="A394">
        <v>8261236</v>
      </c>
      <c r="B394" t="s">
        <v>17</v>
      </c>
      <c r="C394">
        <v>9845561</v>
      </c>
      <c r="D394" t="s">
        <v>7</v>
      </c>
      <c r="E394">
        <v>10449011</v>
      </c>
      <c r="F394" s="2">
        <v>4775170</v>
      </c>
      <c r="G394" s="2">
        <v>539427</v>
      </c>
      <c r="H394">
        <v>30</v>
      </c>
      <c r="I394" s="1">
        <v>42519</v>
      </c>
      <c r="J394" t="s">
        <v>5</v>
      </c>
      <c r="K394">
        <f>COUNTIFS(GESTIONES!$A:$A, BASE_CUENTAS!$A394, GESTIONES!$B:$B, BASE_CUENTAS!$C394)</f>
        <v>3</v>
      </c>
      <c r="L394">
        <f>COUNTIFS(GESTIONES!$A:$A, BASE_CUENTAS!$A394,GESTIONES!$B:$B, BASE_CUENTAS!$C394,GESTIONES!$E:$E, "S")</f>
        <v>1</v>
      </c>
      <c r="M394">
        <f>COUNTIFS(GESTIONES!$A:$A, BASE_CUENTAS!$A394,GESTIONES!$B:$B, BASE_CUENTAS!$C394,GESTIONES!$E:$E, "N")</f>
        <v>2</v>
      </c>
      <c r="N394">
        <f>COUNTIFS(GESTIONES!$A:$A, BASE_CUENTAS!$A394,GESTIONES!$B:$B, BASE_CUENTAS!$C394,GESTIONES!$D:$D, "SMS")</f>
        <v>1</v>
      </c>
      <c r="O394">
        <f>SUMIFS(PAGOS!$D:$D,PAGOS!$A:$A, BASE_CUENTAS!$A394,PAGOS!$B:$B, BASE_CUENTAS!$C394)</f>
        <v>0</v>
      </c>
      <c r="P394" t="str">
        <f>IF(
VLOOKUP($C394,BASE_CIERRE_MES!$C:$G,5,FALSE)=0,
"Normalización",
IF(
VLOOKUP($C394,BASE_CIERRE_MES!$C:$G,5,FALSE)&lt;$H394,
"Recuperación",
IF(
VLOOKUP($C394,BASE_CIERRE_MES!$C:$G,5,FALSE)=$H394,
"Contención",
"Rodamiento"
)))</f>
        <v>Rodamiento</v>
      </c>
      <c r="Q394">
        <f t="shared" si="6"/>
        <v>0</v>
      </c>
    </row>
    <row r="395" spans="1:17" x14ac:dyDescent="0.25">
      <c r="A395">
        <v>8261363</v>
      </c>
      <c r="B395" t="s">
        <v>18</v>
      </c>
      <c r="C395">
        <v>26328981</v>
      </c>
      <c r="D395" t="s">
        <v>7</v>
      </c>
      <c r="E395">
        <v>2288724</v>
      </c>
      <c r="F395" s="2">
        <v>1116964</v>
      </c>
      <c r="G395" s="2">
        <v>1116964</v>
      </c>
      <c r="H395">
        <v>210</v>
      </c>
      <c r="I395" s="1">
        <v>42460</v>
      </c>
      <c r="J395" t="s">
        <v>5</v>
      </c>
      <c r="K395">
        <f>COUNTIFS(GESTIONES!$A:$A, BASE_CUENTAS!$A395, GESTIONES!$B:$B, BASE_CUENTAS!$C395)</f>
        <v>3</v>
      </c>
      <c r="L395">
        <f>COUNTIFS(GESTIONES!$A:$A, BASE_CUENTAS!$A395,GESTIONES!$B:$B, BASE_CUENTAS!$C395,GESTIONES!$E:$E, "S")</f>
        <v>1</v>
      </c>
      <c r="M395">
        <f>COUNTIFS(GESTIONES!$A:$A, BASE_CUENTAS!$A395,GESTIONES!$B:$B, BASE_CUENTAS!$C395,GESTIONES!$E:$E, "N")</f>
        <v>2</v>
      </c>
      <c r="N395">
        <f>COUNTIFS(GESTIONES!$A:$A, BASE_CUENTAS!$A395,GESTIONES!$B:$B, BASE_CUENTAS!$C395,GESTIONES!$D:$D, "SMS")</f>
        <v>0</v>
      </c>
      <c r="O395">
        <f>SUMIFS(PAGOS!$D:$D,PAGOS!$A:$A, BASE_CUENTAS!$A395,PAGOS!$B:$B, BASE_CUENTAS!$C395)</f>
        <v>0</v>
      </c>
      <c r="P395" t="str">
        <f>IF(
VLOOKUP($C395,BASE_CIERRE_MES!$C:$G,5,FALSE)=0,
"Normalización",
IF(
VLOOKUP($C395,BASE_CIERRE_MES!$C:$G,5,FALSE)&lt;$H395,
"Recuperación",
IF(
VLOOKUP($C395,BASE_CIERRE_MES!$C:$G,5,FALSE)=$H395,
"Contención",
"Rodamiento"
)))</f>
        <v>Recuperación</v>
      </c>
      <c r="Q395">
        <f t="shared" si="6"/>
        <v>0</v>
      </c>
    </row>
    <row r="396" spans="1:17" x14ac:dyDescent="0.25">
      <c r="A396">
        <v>8261363</v>
      </c>
      <c r="B396" t="s">
        <v>18</v>
      </c>
      <c r="C396">
        <v>26330652</v>
      </c>
      <c r="D396" t="s">
        <v>7</v>
      </c>
      <c r="E396">
        <v>2288724</v>
      </c>
      <c r="F396" s="2">
        <v>1171761</v>
      </c>
      <c r="G396" s="2">
        <v>1171761</v>
      </c>
      <c r="H396">
        <v>240</v>
      </c>
      <c r="I396" s="1">
        <v>42418</v>
      </c>
      <c r="J396" t="s">
        <v>5</v>
      </c>
      <c r="K396">
        <f>COUNTIFS(GESTIONES!$A:$A, BASE_CUENTAS!$A396, GESTIONES!$B:$B, BASE_CUENTAS!$C396)</f>
        <v>3</v>
      </c>
      <c r="L396">
        <f>COUNTIFS(GESTIONES!$A:$A, BASE_CUENTAS!$A396,GESTIONES!$B:$B, BASE_CUENTAS!$C396,GESTIONES!$E:$E, "S")</f>
        <v>1</v>
      </c>
      <c r="M396">
        <f>COUNTIFS(GESTIONES!$A:$A, BASE_CUENTAS!$A396,GESTIONES!$B:$B, BASE_CUENTAS!$C396,GESTIONES!$E:$E, "N")</f>
        <v>2</v>
      </c>
      <c r="N396">
        <f>COUNTIFS(GESTIONES!$A:$A, BASE_CUENTAS!$A396,GESTIONES!$B:$B, BASE_CUENTAS!$C396,GESTIONES!$D:$D, "SMS")</f>
        <v>0</v>
      </c>
      <c r="O396">
        <f>SUMIFS(PAGOS!$D:$D,PAGOS!$A:$A, BASE_CUENTAS!$A396,PAGOS!$B:$B, BASE_CUENTAS!$C396)</f>
        <v>0</v>
      </c>
      <c r="P396" t="str">
        <f>IF(
VLOOKUP($C396,BASE_CIERRE_MES!$C:$G,5,FALSE)=0,
"Normalización",
IF(
VLOOKUP($C396,BASE_CIERRE_MES!$C:$G,5,FALSE)&lt;$H396,
"Recuperación",
IF(
VLOOKUP($C396,BASE_CIERRE_MES!$C:$G,5,FALSE)=$H396,
"Contención",
"Rodamiento"
)))</f>
        <v>Recuperación</v>
      </c>
      <c r="Q396">
        <f t="shared" si="6"/>
        <v>0</v>
      </c>
    </row>
    <row r="397" spans="1:17" x14ac:dyDescent="0.25">
      <c r="A397">
        <v>8261433</v>
      </c>
      <c r="B397" t="s">
        <v>16</v>
      </c>
      <c r="C397">
        <v>23671002</v>
      </c>
      <c r="D397" t="s">
        <v>7</v>
      </c>
      <c r="E397">
        <v>9198150</v>
      </c>
      <c r="F397" s="2">
        <v>2656363</v>
      </c>
      <c r="G397" s="2">
        <v>155480</v>
      </c>
      <c r="H397">
        <v>30</v>
      </c>
      <c r="I397" s="1">
        <v>42509</v>
      </c>
      <c r="J397" t="s">
        <v>6</v>
      </c>
      <c r="K397">
        <f>COUNTIFS(GESTIONES!$A:$A, BASE_CUENTAS!$A397, GESTIONES!$B:$B, BASE_CUENTAS!$C397)</f>
        <v>3</v>
      </c>
      <c r="L397">
        <f>COUNTIFS(GESTIONES!$A:$A, BASE_CUENTAS!$A397,GESTIONES!$B:$B, BASE_CUENTAS!$C397,GESTIONES!$E:$E, "S")</f>
        <v>0</v>
      </c>
      <c r="M397">
        <f>COUNTIFS(GESTIONES!$A:$A, BASE_CUENTAS!$A397,GESTIONES!$B:$B, BASE_CUENTAS!$C397,GESTIONES!$E:$E, "N")</f>
        <v>3</v>
      </c>
      <c r="N397">
        <f>COUNTIFS(GESTIONES!$A:$A, BASE_CUENTAS!$A397,GESTIONES!$B:$B, BASE_CUENTAS!$C397,GESTIONES!$D:$D, "SMS")</f>
        <v>2</v>
      </c>
      <c r="O397">
        <f>SUMIFS(PAGOS!$D:$D,PAGOS!$A:$A, BASE_CUENTAS!$A397,PAGOS!$B:$B, BASE_CUENTAS!$C397)</f>
        <v>51827</v>
      </c>
      <c r="P397" t="str">
        <f>IF(
VLOOKUP($C397,BASE_CIERRE_MES!$C:$G,5,FALSE)=0,
"Normalización",
IF(
VLOOKUP($C397,BASE_CIERRE_MES!$C:$G,5,FALSE)&lt;$H397,
"Recuperación",
IF(
VLOOKUP($C397,BASE_CIERRE_MES!$C:$G,5,FALSE)=$H397,
"Contención",
"Rodamiento"
)))</f>
        <v>Contención</v>
      </c>
      <c r="Q397">
        <f t="shared" si="6"/>
        <v>1.9510511176371603E-2</v>
      </c>
    </row>
    <row r="398" spans="1:17" x14ac:dyDescent="0.25">
      <c r="A398">
        <v>8261433</v>
      </c>
      <c r="B398" t="s">
        <v>16</v>
      </c>
      <c r="C398">
        <v>23672387</v>
      </c>
      <c r="D398" t="s">
        <v>7</v>
      </c>
      <c r="E398">
        <v>9198150</v>
      </c>
      <c r="F398" s="2">
        <v>2613151</v>
      </c>
      <c r="G398" s="2">
        <v>143276</v>
      </c>
      <c r="H398">
        <v>30</v>
      </c>
      <c r="I398" s="1">
        <v>42480</v>
      </c>
      <c r="J398" t="s">
        <v>6</v>
      </c>
      <c r="K398">
        <f>COUNTIFS(GESTIONES!$A:$A, BASE_CUENTAS!$A398, GESTIONES!$B:$B, BASE_CUENTAS!$C398)</f>
        <v>3</v>
      </c>
      <c r="L398">
        <f>COUNTIFS(GESTIONES!$A:$A, BASE_CUENTAS!$A398,GESTIONES!$B:$B, BASE_CUENTAS!$C398,GESTIONES!$E:$E, "S")</f>
        <v>1</v>
      </c>
      <c r="M398">
        <f>COUNTIFS(GESTIONES!$A:$A, BASE_CUENTAS!$A398,GESTIONES!$B:$B, BASE_CUENTAS!$C398,GESTIONES!$E:$E, "N")</f>
        <v>2</v>
      </c>
      <c r="N398">
        <f>COUNTIFS(GESTIONES!$A:$A, BASE_CUENTAS!$A398,GESTIONES!$B:$B, BASE_CUENTAS!$C398,GESTIONES!$D:$D, "SMS")</f>
        <v>1</v>
      </c>
      <c r="O398">
        <f>SUMIFS(PAGOS!$D:$D,PAGOS!$A:$A, BASE_CUENTAS!$A398,PAGOS!$B:$B, BASE_CUENTAS!$C398)</f>
        <v>0</v>
      </c>
      <c r="P398" t="str">
        <f>IF(
VLOOKUP($C398,BASE_CIERRE_MES!$C:$G,5,FALSE)=0,
"Normalización",
IF(
VLOOKUP($C398,BASE_CIERRE_MES!$C:$G,5,FALSE)&lt;$H398,
"Recuperación",
IF(
VLOOKUP($C398,BASE_CIERRE_MES!$C:$G,5,FALSE)=$H398,
"Contención",
"Rodamiento"
)))</f>
        <v>Rodamiento</v>
      </c>
      <c r="Q398">
        <f t="shared" si="6"/>
        <v>0</v>
      </c>
    </row>
    <row r="399" spans="1:17" x14ac:dyDescent="0.25">
      <c r="A399">
        <v>8261433</v>
      </c>
      <c r="B399" t="s">
        <v>16</v>
      </c>
      <c r="C399">
        <v>25964110</v>
      </c>
      <c r="D399" t="s">
        <v>7</v>
      </c>
      <c r="E399">
        <v>9198150</v>
      </c>
      <c r="F399" s="2">
        <v>3928636</v>
      </c>
      <c r="G399" s="2">
        <v>383736</v>
      </c>
      <c r="H399">
        <v>30</v>
      </c>
      <c r="I399" s="1">
        <v>42508</v>
      </c>
      <c r="J399" t="s">
        <v>6</v>
      </c>
      <c r="K399">
        <f>COUNTIFS(GESTIONES!$A:$A, BASE_CUENTAS!$A399, GESTIONES!$B:$B, BASE_CUENTAS!$C399)</f>
        <v>3</v>
      </c>
      <c r="L399">
        <f>COUNTIFS(GESTIONES!$A:$A, BASE_CUENTAS!$A399,GESTIONES!$B:$B, BASE_CUENTAS!$C399,GESTIONES!$E:$E, "S")</f>
        <v>1</v>
      </c>
      <c r="M399">
        <f>COUNTIFS(GESTIONES!$A:$A, BASE_CUENTAS!$A399,GESTIONES!$B:$B, BASE_CUENTAS!$C399,GESTIONES!$E:$E, "N")</f>
        <v>2</v>
      </c>
      <c r="N399">
        <f>COUNTIFS(GESTIONES!$A:$A, BASE_CUENTAS!$A399,GESTIONES!$B:$B, BASE_CUENTAS!$C399,GESTIONES!$D:$D, "SMS")</f>
        <v>1</v>
      </c>
      <c r="O399">
        <f>SUMIFS(PAGOS!$D:$D,PAGOS!$A:$A, BASE_CUENTAS!$A399,PAGOS!$B:$B, BASE_CUENTAS!$C399)</f>
        <v>191868</v>
      </c>
      <c r="P399" t="str">
        <f>IF(
VLOOKUP($C399,BASE_CIERRE_MES!$C:$G,5,FALSE)=0,
"Normalización",
IF(
VLOOKUP($C399,BASE_CIERRE_MES!$C:$G,5,FALSE)&lt;$H399,
"Recuperación",
IF(
VLOOKUP($C399,BASE_CIERRE_MES!$C:$G,5,FALSE)=$H399,
"Contención",
"Rodamiento"
)))</f>
        <v>Recuperación</v>
      </c>
      <c r="Q399">
        <f t="shared" si="6"/>
        <v>4.8838324548265609E-2</v>
      </c>
    </row>
    <row r="400" spans="1:17" x14ac:dyDescent="0.25">
      <c r="A400">
        <v>8261458</v>
      </c>
      <c r="B400" t="s">
        <v>18</v>
      </c>
      <c r="C400">
        <v>28570206</v>
      </c>
      <c r="D400" t="s">
        <v>7</v>
      </c>
      <c r="E400">
        <v>929764</v>
      </c>
      <c r="F400" s="2">
        <v>585365</v>
      </c>
      <c r="G400" s="2">
        <v>25138</v>
      </c>
      <c r="H400">
        <v>30</v>
      </c>
      <c r="I400" s="1">
        <v>42524</v>
      </c>
      <c r="J400" t="s">
        <v>6</v>
      </c>
      <c r="K400">
        <f>COUNTIFS(GESTIONES!$A:$A, BASE_CUENTAS!$A400, GESTIONES!$B:$B, BASE_CUENTAS!$C400)</f>
        <v>3</v>
      </c>
      <c r="L400">
        <f>COUNTIFS(GESTIONES!$A:$A, BASE_CUENTAS!$A400,GESTIONES!$B:$B, BASE_CUENTAS!$C400,GESTIONES!$E:$E, "S")</f>
        <v>1</v>
      </c>
      <c r="M400">
        <f>COUNTIFS(GESTIONES!$A:$A, BASE_CUENTAS!$A400,GESTIONES!$B:$B, BASE_CUENTAS!$C400,GESTIONES!$E:$E, "N")</f>
        <v>2</v>
      </c>
      <c r="N400">
        <f>COUNTIFS(GESTIONES!$A:$A, BASE_CUENTAS!$A400,GESTIONES!$B:$B, BASE_CUENTAS!$C400,GESTIONES!$D:$D, "SMS")</f>
        <v>0</v>
      </c>
      <c r="O400">
        <f>SUMIFS(PAGOS!$D:$D,PAGOS!$A:$A, BASE_CUENTAS!$A400,PAGOS!$B:$B, BASE_CUENTAS!$C400)</f>
        <v>0</v>
      </c>
      <c r="P400" t="str">
        <f>IF(
VLOOKUP($C400,BASE_CIERRE_MES!$C:$G,5,FALSE)=0,
"Normalización",
IF(
VLOOKUP($C400,BASE_CIERRE_MES!$C:$G,5,FALSE)&lt;$H400,
"Recuperación",
IF(
VLOOKUP($C400,BASE_CIERRE_MES!$C:$G,5,FALSE)=$H400,
"Contención",
"Rodamiento"
)))</f>
        <v>Rodamiento</v>
      </c>
      <c r="Q400">
        <f t="shared" si="6"/>
        <v>0</v>
      </c>
    </row>
    <row r="401" spans="1:17" x14ac:dyDescent="0.25">
      <c r="A401">
        <v>8261475</v>
      </c>
      <c r="B401" t="s">
        <v>17</v>
      </c>
      <c r="C401">
        <v>26270252</v>
      </c>
      <c r="D401" t="s">
        <v>7</v>
      </c>
      <c r="E401">
        <v>5164426</v>
      </c>
      <c r="F401" s="2">
        <v>2086216</v>
      </c>
      <c r="G401" s="2">
        <v>2086216</v>
      </c>
      <c r="H401">
        <v>210</v>
      </c>
      <c r="I401" s="1">
        <v>42447</v>
      </c>
      <c r="J401" t="s">
        <v>5</v>
      </c>
      <c r="K401">
        <f>COUNTIFS(GESTIONES!$A:$A, BASE_CUENTAS!$A401, GESTIONES!$B:$B, BASE_CUENTAS!$C401)</f>
        <v>3</v>
      </c>
      <c r="L401">
        <f>COUNTIFS(GESTIONES!$A:$A, BASE_CUENTAS!$A401,GESTIONES!$B:$B, BASE_CUENTAS!$C401,GESTIONES!$E:$E, "S")</f>
        <v>2</v>
      </c>
      <c r="M401">
        <f>COUNTIFS(GESTIONES!$A:$A, BASE_CUENTAS!$A401,GESTIONES!$B:$B, BASE_CUENTAS!$C401,GESTIONES!$E:$E, "N")</f>
        <v>1</v>
      </c>
      <c r="N401">
        <f>COUNTIFS(GESTIONES!$A:$A, BASE_CUENTAS!$A401,GESTIONES!$B:$B, BASE_CUENTAS!$C401,GESTIONES!$D:$D, "SMS")</f>
        <v>0</v>
      </c>
      <c r="O401">
        <f>SUMIFS(PAGOS!$D:$D,PAGOS!$A:$A, BASE_CUENTAS!$A401,PAGOS!$B:$B, BASE_CUENTAS!$C401)</f>
        <v>1043109</v>
      </c>
      <c r="P401" t="str">
        <f>IF(
VLOOKUP($C401,BASE_CIERRE_MES!$C:$G,5,FALSE)=0,
"Normalización",
IF(
VLOOKUP($C401,BASE_CIERRE_MES!$C:$G,5,FALSE)&lt;$H401,
"Recuperación",
IF(
VLOOKUP($C401,BASE_CIERRE_MES!$C:$G,5,FALSE)=$H401,
"Contención",
"Rodamiento"
)))</f>
        <v>Recuperación</v>
      </c>
      <c r="Q401">
        <f t="shared" si="6"/>
        <v>0.50000047933675129</v>
      </c>
    </row>
    <row r="402" spans="1:17" x14ac:dyDescent="0.25">
      <c r="A402">
        <v>8261475</v>
      </c>
      <c r="B402" t="s">
        <v>17</v>
      </c>
      <c r="C402">
        <v>26272747</v>
      </c>
      <c r="D402" t="s">
        <v>7</v>
      </c>
      <c r="E402">
        <v>5164426</v>
      </c>
      <c r="F402" s="2">
        <v>3078210</v>
      </c>
      <c r="G402" s="2">
        <v>3078210</v>
      </c>
      <c r="H402">
        <v>210</v>
      </c>
      <c r="I402" s="1">
        <v>42448</v>
      </c>
      <c r="J402" t="s">
        <v>5</v>
      </c>
      <c r="K402">
        <f>COUNTIFS(GESTIONES!$A:$A, BASE_CUENTAS!$A402, GESTIONES!$B:$B, BASE_CUENTAS!$C402)</f>
        <v>3</v>
      </c>
      <c r="L402">
        <f>COUNTIFS(GESTIONES!$A:$A, BASE_CUENTAS!$A402,GESTIONES!$B:$B, BASE_CUENTAS!$C402,GESTIONES!$E:$E, "S")</f>
        <v>1</v>
      </c>
      <c r="M402">
        <f>COUNTIFS(GESTIONES!$A:$A, BASE_CUENTAS!$A402,GESTIONES!$B:$B, BASE_CUENTAS!$C402,GESTIONES!$E:$E, "N")</f>
        <v>2</v>
      </c>
      <c r="N402">
        <f>COUNTIFS(GESTIONES!$A:$A, BASE_CUENTAS!$A402,GESTIONES!$B:$B, BASE_CUENTAS!$C402,GESTIONES!$D:$D, "SMS")</f>
        <v>1</v>
      </c>
      <c r="O402">
        <f>SUMIFS(PAGOS!$D:$D,PAGOS!$A:$A, BASE_CUENTAS!$A402,PAGOS!$B:$B, BASE_CUENTAS!$C402)</f>
        <v>1026070</v>
      </c>
      <c r="P402" t="str">
        <f>IF(
VLOOKUP($C402,BASE_CIERRE_MES!$C:$G,5,FALSE)=0,
"Normalización",
IF(
VLOOKUP($C402,BASE_CIERRE_MES!$C:$G,5,FALSE)&lt;$H402,
"Recuperación",
IF(
VLOOKUP($C402,BASE_CIERRE_MES!$C:$G,5,FALSE)=$H402,
"Contención",
"Rodamiento"
)))</f>
        <v>Contención</v>
      </c>
      <c r="Q402">
        <f t="shared" si="6"/>
        <v>0.33333333333333331</v>
      </c>
    </row>
    <row r="403" spans="1:17" x14ac:dyDescent="0.25">
      <c r="A403">
        <v>8261570</v>
      </c>
      <c r="B403" t="s">
        <v>16</v>
      </c>
      <c r="C403">
        <v>25379962</v>
      </c>
      <c r="D403" t="s">
        <v>9</v>
      </c>
      <c r="E403">
        <v>35696317</v>
      </c>
      <c r="F403" s="2">
        <v>17452863</v>
      </c>
      <c r="G403" s="2">
        <v>313538</v>
      </c>
      <c r="H403">
        <v>7</v>
      </c>
      <c r="I403" s="1">
        <v>42523</v>
      </c>
      <c r="J403" t="s">
        <v>4</v>
      </c>
      <c r="K403">
        <f>COUNTIFS(GESTIONES!$A:$A, BASE_CUENTAS!$A403, GESTIONES!$B:$B, BASE_CUENTAS!$C403)</f>
        <v>3</v>
      </c>
      <c r="L403">
        <f>COUNTIFS(GESTIONES!$A:$A, BASE_CUENTAS!$A403,GESTIONES!$B:$B, BASE_CUENTAS!$C403,GESTIONES!$E:$E, "S")</f>
        <v>0</v>
      </c>
      <c r="M403">
        <f>COUNTIFS(GESTIONES!$A:$A, BASE_CUENTAS!$A403,GESTIONES!$B:$B, BASE_CUENTAS!$C403,GESTIONES!$E:$E, "N")</f>
        <v>3</v>
      </c>
      <c r="N403">
        <f>COUNTIFS(GESTIONES!$A:$A, BASE_CUENTAS!$A403,GESTIONES!$B:$B, BASE_CUENTAS!$C403,GESTIONES!$D:$D, "SMS")</f>
        <v>1</v>
      </c>
      <c r="O403">
        <f>SUMIFS(PAGOS!$D:$D,PAGOS!$A:$A, BASE_CUENTAS!$A403,PAGOS!$B:$B, BASE_CUENTAS!$C403)</f>
        <v>0</v>
      </c>
      <c r="P403" t="str">
        <f>IF(
VLOOKUP($C403,BASE_CIERRE_MES!$C:$G,5,FALSE)=0,
"Normalización",
IF(
VLOOKUP($C403,BASE_CIERRE_MES!$C:$G,5,FALSE)&lt;$H403,
"Recuperación",
IF(
VLOOKUP($C403,BASE_CIERRE_MES!$C:$G,5,FALSE)=$H403,
"Contención",
"Rodamiento"
)))</f>
        <v>Rodamiento</v>
      </c>
      <c r="Q403">
        <f t="shared" si="6"/>
        <v>0</v>
      </c>
    </row>
    <row r="404" spans="1:17" x14ac:dyDescent="0.25">
      <c r="A404">
        <v>8261570</v>
      </c>
      <c r="B404" t="s">
        <v>16</v>
      </c>
      <c r="C404">
        <v>27224146</v>
      </c>
      <c r="D404" t="s">
        <v>7</v>
      </c>
      <c r="E404">
        <v>35696317</v>
      </c>
      <c r="F404" s="2">
        <v>12300316</v>
      </c>
      <c r="G404" s="2">
        <v>305942</v>
      </c>
      <c r="H404">
        <v>30</v>
      </c>
      <c r="I404" s="1">
        <v>42521</v>
      </c>
      <c r="J404" t="s">
        <v>4</v>
      </c>
      <c r="K404">
        <f>COUNTIFS(GESTIONES!$A:$A, BASE_CUENTAS!$A404, GESTIONES!$B:$B, BASE_CUENTAS!$C404)</f>
        <v>3</v>
      </c>
      <c r="L404">
        <f>COUNTIFS(GESTIONES!$A:$A, BASE_CUENTAS!$A404,GESTIONES!$B:$B, BASE_CUENTAS!$C404,GESTIONES!$E:$E, "S")</f>
        <v>1</v>
      </c>
      <c r="M404">
        <f>COUNTIFS(GESTIONES!$A:$A, BASE_CUENTAS!$A404,GESTIONES!$B:$B, BASE_CUENTAS!$C404,GESTIONES!$E:$E, "N")</f>
        <v>2</v>
      </c>
      <c r="N404">
        <f>COUNTIFS(GESTIONES!$A:$A, BASE_CUENTAS!$A404,GESTIONES!$B:$B, BASE_CUENTAS!$C404,GESTIONES!$D:$D, "SMS")</f>
        <v>2</v>
      </c>
      <c r="O404">
        <f>SUMIFS(PAGOS!$D:$D,PAGOS!$A:$A, BASE_CUENTAS!$A404,PAGOS!$B:$B, BASE_CUENTAS!$C404)</f>
        <v>101981</v>
      </c>
      <c r="P404" t="str">
        <f>IF(
VLOOKUP($C404,BASE_CIERRE_MES!$C:$G,5,FALSE)=0,
"Normalización",
IF(
VLOOKUP($C404,BASE_CIERRE_MES!$C:$G,5,FALSE)&lt;$H404,
"Recuperación",
IF(
VLOOKUP($C404,BASE_CIERRE_MES!$C:$G,5,FALSE)=$H404,
"Contención",
"Rodamiento"
)))</f>
        <v>Contención</v>
      </c>
      <c r="Q404">
        <f t="shared" si="6"/>
        <v>8.2909252087507348E-3</v>
      </c>
    </row>
    <row r="405" spans="1:17" x14ac:dyDescent="0.25">
      <c r="A405">
        <v>8261611</v>
      </c>
      <c r="B405" t="s">
        <v>18</v>
      </c>
      <c r="C405">
        <v>26389240</v>
      </c>
      <c r="D405" t="s">
        <v>7</v>
      </c>
      <c r="E405">
        <v>1823094</v>
      </c>
      <c r="F405" s="2">
        <v>1823094</v>
      </c>
      <c r="G405" s="2">
        <v>133727</v>
      </c>
      <c r="H405">
        <v>30</v>
      </c>
      <c r="I405" s="1">
        <v>42522</v>
      </c>
      <c r="J405" t="s">
        <v>6</v>
      </c>
      <c r="K405">
        <f>COUNTIFS(GESTIONES!$A:$A, BASE_CUENTAS!$A405, GESTIONES!$B:$B, BASE_CUENTAS!$C405)</f>
        <v>3</v>
      </c>
      <c r="L405">
        <f>COUNTIFS(GESTIONES!$A:$A, BASE_CUENTAS!$A405,GESTIONES!$B:$B, BASE_CUENTAS!$C405,GESTIONES!$E:$E, "S")</f>
        <v>1</v>
      </c>
      <c r="M405">
        <f>COUNTIFS(GESTIONES!$A:$A, BASE_CUENTAS!$A405,GESTIONES!$B:$B, BASE_CUENTAS!$C405,GESTIONES!$E:$E, "N")</f>
        <v>2</v>
      </c>
      <c r="N405">
        <f>COUNTIFS(GESTIONES!$A:$A, BASE_CUENTAS!$A405,GESTIONES!$B:$B, BASE_CUENTAS!$C405,GESTIONES!$D:$D, "SMS")</f>
        <v>0</v>
      </c>
      <c r="O405">
        <f>SUMIFS(PAGOS!$D:$D,PAGOS!$A:$A, BASE_CUENTAS!$A405,PAGOS!$B:$B, BASE_CUENTAS!$C405)</f>
        <v>133727</v>
      </c>
      <c r="P405" t="str">
        <f>IF(
VLOOKUP($C405,BASE_CIERRE_MES!$C:$G,5,FALSE)=0,
"Normalización",
IF(
VLOOKUP($C405,BASE_CIERRE_MES!$C:$G,5,FALSE)&lt;$H405,
"Recuperación",
IF(
VLOOKUP($C405,BASE_CIERRE_MES!$C:$G,5,FALSE)=$H405,
"Contención",
"Rodamiento"
)))</f>
        <v>Normalización</v>
      </c>
      <c r="Q405">
        <f t="shared" si="6"/>
        <v>7.3351675777551792E-2</v>
      </c>
    </row>
    <row r="406" spans="1:17" x14ac:dyDescent="0.25">
      <c r="A406">
        <v>8261866</v>
      </c>
      <c r="B406" t="s">
        <v>18</v>
      </c>
      <c r="C406">
        <v>25129407</v>
      </c>
      <c r="D406" t="s">
        <v>7</v>
      </c>
      <c r="E406">
        <v>719486</v>
      </c>
      <c r="F406" s="2">
        <v>719486</v>
      </c>
      <c r="G406" s="2">
        <v>232136</v>
      </c>
      <c r="H406">
        <v>60</v>
      </c>
      <c r="I406" s="1">
        <v>42480</v>
      </c>
      <c r="J406" t="s">
        <v>6</v>
      </c>
      <c r="K406">
        <f>COUNTIFS(GESTIONES!$A:$A, BASE_CUENTAS!$A406, GESTIONES!$B:$B, BASE_CUENTAS!$C406)</f>
        <v>3</v>
      </c>
      <c r="L406">
        <f>COUNTIFS(GESTIONES!$A:$A, BASE_CUENTAS!$A406,GESTIONES!$B:$B, BASE_CUENTAS!$C406,GESTIONES!$E:$E, "S")</f>
        <v>1</v>
      </c>
      <c r="M406">
        <f>COUNTIFS(GESTIONES!$A:$A, BASE_CUENTAS!$A406,GESTIONES!$B:$B, BASE_CUENTAS!$C406,GESTIONES!$E:$E, "N")</f>
        <v>2</v>
      </c>
      <c r="N406">
        <f>COUNTIFS(GESTIONES!$A:$A, BASE_CUENTAS!$A406,GESTIONES!$B:$B, BASE_CUENTAS!$C406,GESTIONES!$D:$D, "SMS")</f>
        <v>0</v>
      </c>
      <c r="O406">
        <f>SUMIFS(PAGOS!$D:$D,PAGOS!$A:$A, BASE_CUENTAS!$A406,PAGOS!$B:$B, BASE_CUENTAS!$C406)</f>
        <v>0</v>
      </c>
      <c r="P406" t="str">
        <f>IF(
VLOOKUP($C406,BASE_CIERRE_MES!$C:$G,5,FALSE)=0,
"Normalización",
IF(
VLOOKUP($C406,BASE_CIERRE_MES!$C:$G,5,FALSE)&lt;$H406,
"Recuperación",
IF(
VLOOKUP($C406,BASE_CIERRE_MES!$C:$G,5,FALSE)=$H406,
"Contención",
"Rodamiento"
)))</f>
        <v>Rodamiento</v>
      </c>
      <c r="Q406">
        <f t="shared" si="6"/>
        <v>0</v>
      </c>
    </row>
    <row r="407" spans="1:17" x14ac:dyDescent="0.25">
      <c r="A407">
        <v>8261875</v>
      </c>
      <c r="B407" t="s">
        <v>17</v>
      </c>
      <c r="C407">
        <v>25550442</v>
      </c>
      <c r="D407" t="s">
        <v>7</v>
      </c>
      <c r="E407">
        <v>3706603</v>
      </c>
      <c r="F407" s="2">
        <v>1761381</v>
      </c>
      <c r="G407" s="2">
        <v>178361</v>
      </c>
      <c r="H407">
        <v>30</v>
      </c>
      <c r="I407" s="1">
        <v>42521</v>
      </c>
      <c r="J407" t="s">
        <v>4</v>
      </c>
      <c r="K407">
        <f>COUNTIFS(GESTIONES!$A:$A, BASE_CUENTAS!$A407, GESTIONES!$B:$B, BASE_CUENTAS!$C407)</f>
        <v>3</v>
      </c>
      <c r="L407">
        <f>COUNTIFS(GESTIONES!$A:$A, BASE_CUENTAS!$A407,GESTIONES!$B:$B, BASE_CUENTAS!$C407,GESTIONES!$E:$E, "S")</f>
        <v>1</v>
      </c>
      <c r="M407">
        <f>COUNTIFS(GESTIONES!$A:$A, BASE_CUENTAS!$A407,GESTIONES!$B:$B, BASE_CUENTAS!$C407,GESTIONES!$E:$E, "N")</f>
        <v>2</v>
      </c>
      <c r="N407">
        <f>COUNTIFS(GESTIONES!$A:$A, BASE_CUENTAS!$A407,GESTIONES!$B:$B, BASE_CUENTAS!$C407,GESTIONES!$D:$D, "SMS")</f>
        <v>1</v>
      </c>
      <c r="O407">
        <f>SUMIFS(PAGOS!$D:$D,PAGOS!$A:$A, BASE_CUENTAS!$A407,PAGOS!$B:$B, BASE_CUENTAS!$C407)</f>
        <v>0</v>
      </c>
      <c r="P407" t="str">
        <f>IF(
VLOOKUP($C407,BASE_CIERRE_MES!$C:$G,5,FALSE)=0,
"Normalización",
IF(
VLOOKUP($C407,BASE_CIERRE_MES!$C:$G,5,FALSE)&lt;$H407,
"Recuperación",
IF(
VLOOKUP($C407,BASE_CIERRE_MES!$C:$G,5,FALSE)=$H407,
"Contención",
"Rodamiento"
)))</f>
        <v>Rodamiento</v>
      </c>
      <c r="Q407">
        <f t="shared" si="6"/>
        <v>0</v>
      </c>
    </row>
    <row r="408" spans="1:17" x14ac:dyDescent="0.25">
      <c r="A408">
        <v>8261875</v>
      </c>
      <c r="B408" t="s">
        <v>17</v>
      </c>
      <c r="C408">
        <v>25550928</v>
      </c>
      <c r="D408" t="s">
        <v>7</v>
      </c>
      <c r="E408">
        <v>3706603</v>
      </c>
      <c r="F408" s="2">
        <v>1945222</v>
      </c>
      <c r="G408" s="2">
        <v>433848</v>
      </c>
      <c r="H408">
        <v>30</v>
      </c>
      <c r="I408" s="1">
        <v>42521</v>
      </c>
      <c r="J408" t="s">
        <v>4</v>
      </c>
      <c r="K408">
        <f>COUNTIFS(GESTIONES!$A:$A, BASE_CUENTAS!$A408, GESTIONES!$B:$B, BASE_CUENTAS!$C408)</f>
        <v>3</v>
      </c>
      <c r="L408">
        <f>COUNTIFS(GESTIONES!$A:$A, BASE_CUENTAS!$A408,GESTIONES!$B:$B, BASE_CUENTAS!$C408,GESTIONES!$E:$E, "S")</f>
        <v>0</v>
      </c>
      <c r="M408">
        <f>COUNTIFS(GESTIONES!$A:$A, BASE_CUENTAS!$A408,GESTIONES!$B:$B, BASE_CUENTAS!$C408,GESTIONES!$E:$E, "N")</f>
        <v>3</v>
      </c>
      <c r="N408">
        <f>COUNTIFS(GESTIONES!$A:$A, BASE_CUENTAS!$A408,GESTIONES!$B:$B, BASE_CUENTAS!$C408,GESTIONES!$D:$D, "SMS")</f>
        <v>1</v>
      </c>
      <c r="O408">
        <f>SUMIFS(PAGOS!$D:$D,PAGOS!$A:$A, BASE_CUENTAS!$A408,PAGOS!$B:$B, BASE_CUENTAS!$C408)</f>
        <v>0</v>
      </c>
      <c r="P408" t="str">
        <f>IF(
VLOOKUP($C408,BASE_CIERRE_MES!$C:$G,5,FALSE)=0,
"Normalización",
IF(
VLOOKUP($C408,BASE_CIERRE_MES!$C:$G,5,FALSE)&lt;$H408,
"Recuperación",
IF(
VLOOKUP($C408,BASE_CIERRE_MES!$C:$G,5,FALSE)=$H408,
"Contención",
"Rodamiento"
)))</f>
        <v>Rodamiento</v>
      </c>
      <c r="Q408">
        <f t="shared" si="6"/>
        <v>0</v>
      </c>
    </row>
    <row r="409" spans="1:17" x14ac:dyDescent="0.25">
      <c r="A409">
        <v>8262049</v>
      </c>
      <c r="B409" t="s">
        <v>18</v>
      </c>
      <c r="C409">
        <v>25202484</v>
      </c>
      <c r="D409" t="s">
        <v>7</v>
      </c>
      <c r="E409">
        <v>239186</v>
      </c>
      <c r="F409" s="2">
        <v>239186</v>
      </c>
      <c r="G409" s="2">
        <v>119528</v>
      </c>
      <c r="H409">
        <v>30</v>
      </c>
      <c r="I409" s="1">
        <v>42508</v>
      </c>
      <c r="J409" t="s">
        <v>6</v>
      </c>
      <c r="K409">
        <f>COUNTIFS(GESTIONES!$A:$A, BASE_CUENTAS!$A409, GESTIONES!$B:$B, BASE_CUENTAS!$C409)</f>
        <v>3</v>
      </c>
      <c r="L409">
        <f>COUNTIFS(GESTIONES!$A:$A, BASE_CUENTAS!$A409,GESTIONES!$B:$B, BASE_CUENTAS!$C409,GESTIONES!$E:$E, "S")</f>
        <v>1</v>
      </c>
      <c r="M409">
        <f>COUNTIFS(GESTIONES!$A:$A, BASE_CUENTAS!$A409,GESTIONES!$B:$B, BASE_CUENTAS!$C409,GESTIONES!$E:$E, "N")</f>
        <v>2</v>
      </c>
      <c r="N409">
        <f>COUNTIFS(GESTIONES!$A:$A, BASE_CUENTAS!$A409,GESTIONES!$B:$B, BASE_CUENTAS!$C409,GESTIONES!$D:$D, "SMS")</f>
        <v>2</v>
      </c>
      <c r="O409">
        <f>SUMIFS(PAGOS!$D:$D,PAGOS!$A:$A, BASE_CUENTAS!$A409,PAGOS!$B:$B, BASE_CUENTAS!$C409)</f>
        <v>0</v>
      </c>
      <c r="P409" t="str">
        <f>IF(
VLOOKUP($C409,BASE_CIERRE_MES!$C:$G,5,FALSE)=0,
"Normalización",
IF(
VLOOKUP($C409,BASE_CIERRE_MES!$C:$G,5,FALSE)&lt;$H409,
"Recuperación",
IF(
VLOOKUP($C409,BASE_CIERRE_MES!$C:$G,5,FALSE)=$H409,
"Contención",
"Rodamiento"
)))</f>
        <v>Rodamiento</v>
      </c>
      <c r="Q409">
        <f t="shared" si="6"/>
        <v>0</v>
      </c>
    </row>
    <row r="410" spans="1:17" x14ac:dyDescent="0.25">
      <c r="A410">
        <v>8262517</v>
      </c>
      <c r="B410" t="s">
        <v>17</v>
      </c>
      <c r="C410">
        <v>2978036</v>
      </c>
      <c r="D410" t="s">
        <v>7</v>
      </c>
      <c r="E410">
        <v>7386162</v>
      </c>
      <c r="F410" s="2">
        <v>1153827</v>
      </c>
      <c r="G410" s="2">
        <v>35412</v>
      </c>
      <c r="H410">
        <v>30</v>
      </c>
      <c r="I410" s="1">
        <v>42509</v>
      </c>
      <c r="J410" t="s">
        <v>5</v>
      </c>
      <c r="K410">
        <f>COUNTIFS(GESTIONES!$A:$A, BASE_CUENTAS!$A410, GESTIONES!$B:$B, BASE_CUENTAS!$C410)</f>
        <v>3</v>
      </c>
      <c r="L410">
        <f>COUNTIFS(GESTIONES!$A:$A, BASE_CUENTAS!$A410,GESTIONES!$B:$B, BASE_CUENTAS!$C410,GESTIONES!$E:$E, "S")</f>
        <v>1</v>
      </c>
      <c r="M410">
        <f>COUNTIFS(GESTIONES!$A:$A, BASE_CUENTAS!$A410,GESTIONES!$B:$B, BASE_CUENTAS!$C410,GESTIONES!$E:$E, "N")</f>
        <v>2</v>
      </c>
      <c r="N410">
        <f>COUNTIFS(GESTIONES!$A:$A, BASE_CUENTAS!$A410,GESTIONES!$B:$B, BASE_CUENTAS!$C410,GESTIONES!$D:$D, "SMS")</f>
        <v>0</v>
      </c>
      <c r="O410">
        <f>SUMIFS(PAGOS!$D:$D,PAGOS!$A:$A, BASE_CUENTAS!$A410,PAGOS!$B:$B, BASE_CUENTAS!$C410)</f>
        <v>35412</v>
      </c>
      <c r="P410" t="str">
        <f>IF(
VLOOKUP($C410,BASE_CIERRE_MES!$C:$G,5,FALSE)=0,
"Normalización",
IF(
VLOOKUP($C410,BASE_CIERRE_MES!$C:$G,5,FALSE)&lt;$H410,
"Recuperación",
IF(
VLOOKUP($C410,BASE_CIERRE_MES!$C:$G,5,FALSE)=$H410,
"Contención",
"Rodamiento"
)))</f>
        <v>Normalización</v>
      </c>
      <c r="Q410">
        <f t="shared" si="6"/>
        <v>3.0690909469097187E-2</v>
      </c>
    </row>
    <row r="411" spans="1:17" x14ac:dyDescent="0.25">
      <c r="A411">
        <v>8262593</v>
      </c>
      <c r="B411" t="s">
        <v>17</v>
      </c>
      <c r="C411">
        <v>27011869</v>
      </c>
      <c r="D411" t="s">
        <v>7</v>
      </c>
      <c r="E411">
        <v>5761212</v>
      </c>
      <c r="F411" s="2">
        <v>2859159</v>
      </c>
      <c r="G411" s="2">
        <v>221796</v>
      </c>
      <c r="H411">
        <v>30</v>
      </c>
      <c r="I411" s="1">
        <v>42508</v>
      </c>
      <c r="J411" t="s">
        <v>6</v>
      </c>
      <c r="K411">
        <f>COUNTIFS(GESTIONES!$A:$A, BASE_CUENTAS!$A411, GESTIONES!$B:$B, BASE_CUENTAS!$C411)</f>
        <v>3</v>
      </c>
      <c r="L411">
        <f>COUNTIFS(GESTIONES!$A:$A, BASE_CUENTAS!$A411,GESTIONES!$B:$B, BASE_CUENTAS!$C411,GESTIONES!$E:$E, "S")</f>
        <v>1</v>
      </c>
      <c r="M411">
        <f>COUNTIFS(GESTIONES!$A:$A, BASE_CUENTAS!$A411,GESTIONES!$B:$B, BASE_CUENTAS!$C411,GESTIONES!$E:$E, "N")</f>
        <v>2</v>
      </c>
      <c r="N411">
        <f>COUNTIFS(GESTIONES!$A:$A, BASE_CUENTAS!$A411,GESTIONES!$B:$B, BASE_CUENTAS!$C411,GESTIONES!$D:$D, "SMS")</f>
        <v>0</v>
      </c>
      <c r="O411">
        <f>SUMIFS(PAGOS!$D:$D,PAGOS!$A:$A, BASE_CUENTAS!$A411,PAGOS!$B:$B, BASE_CUENTAS!$C411)</f>
        <v>0</v>
      </c>
      <c r="P411" t="str">
        <f>IF(
VLOOKUP($C411,BASE_CIERRE_MES!$C:$G,5,FALSE)=0,
"Normalización",
IF(
VLOOKUP($C411,BASE_CIERRE_MES!$C:$G,5,FALSE)&lt;$H411,
"Recuperación",
IF(
VLOOKUP($C411,BASE_CIERRE_MES!$C:$G,5,FALSE)=$H411,
"Contención",
"Rodamiento"
)))</f>
        <v>Rodamiento</v>
      </c>
      <c r="Q411">
        <f t="shared" si="6"/>
        <v>0</v>
      </c>
    </row>
    <row r="412" spans="1:17" x14ac:dyDescent="0.25">
      <c r="A412">
        <v>8262593</v>
      </c>
      <c r="B412" t="s">
        <v>17</v>
      </c>
      <c r="C412">
        <v>27012894</v>
      </c>
      <c r="D412" t="s">
        <v>7</v>
      </c>
      <c r="E412">
        <v>5761212</v>
      </c>
      <c r="F412" s="2">
        <v>2902054</v>
      </c>
      <c r="G412" s="2">
        <v>264691</v>
      </c>
      <c r="H412">
        <v>30</v>
      </c>
      <c r="I412" s="1">
        <v>42509</v>
      </c>
      <c r="J412" t="s">
        <v>6</v>
      </c>
      <c r="K412">
        <f>COUNTIFS(GESTIONES!$A:$A, BASE_CUENTAS!$A412, GESTIONES!$B:$B, BASE_CUENTAS!$C412)</f>
        <v>3</v>
      </c>
      <c r="L412">
        <f>COUNTIFS(GESTIONES!$A:$A, BASE_CUENTAS!$A412,GESTIONES!$B:$B, BASE_CUENTAS!$C412,GESTIONES!$E:$E, "S")</f>
        <v>1</v>
      </c>
      <c r="M412">
        <f>COUNTIFS(GESTIONES!$A:$A, BASE_CUENTAS!$A412,GESTIONES!$B:$B, BASE_CUENTAS!$C412,GESTIONES!$E:$E, "N")</f>
        <v>2</v>
      </c>
      <c r="N412">
        <f>COUNTIFS(GESTIONES!$A:$A, BASE_CUENTAS!$A412,GESTIONES!$B:$B, BASE_CUENTAS!$C412,GESTIONES!$D:$D, "SMS")</f>
        <v>1</v>
      </c>
      <c r="O412">
        <f>SUMIFS(PAGOS!$D:$D,PAGOS!$A:$A, BASE_CUENTAS!$A412,PAGOS!$B:$B, BASE_CUENTAS!$C412)</f>
        <v>0</v>
      </c>
      <c r="P412" t="str">
        <f>IF(
VLOOKUP($C412,BASE_CIERRE_MES!$C:$G,5,FALSE)=0,
"Normalización",
IF(
VLOOKUP($C412,BASE_CIERRE_MES!$C:$G,5,FALSE)&lt;$H412,
"Recuperación",
IF(
VLOOKUP($C412,BASE_CIERRE_MES!$C:$G,5,FALSE)=$H412,
"Contención",
"Rodamiento"
)))</f>
        <v>Rodamiento</v>
      </c>
      <c r="Q412">
        <f t="shared" si="6"/>
        <v>0</v>
      </c>
    </row>
    <row r="413" spans="1:17" x14ac:dyDescent="0.25">
      <c r="A413">
        <v>8262993</v>
      </c>
      <c r="B413" t="s">
        <v>18</v>
      </c>
      <c r="C413">
        <v>21194113</v>
      </c>
      <c r="D413" t="s">
        <v>7</v>
      </c>
      <c r="E413">
        <v>4286716</v>
      </c>
      <c r="F413" s="2">
        <v>3009366</v>
      </c>
      <c r="G413" s="2">
        <v>154613</v>
      </c>
      <c r="H413">
        <v>30</v>
      </c>
      <c r="I413" s="1">
        <v>42521</v>
      </c>
      <c r="J413" t="s">
        <v>4</v>
      </c>
      <c r="K413">
        <f>COUNTIFS(GESTIONES!$A:$A, BASE_CUENTAS!$A413, GESTIONES!$B:$B, BASE_CUENTAS!$C413)</f>
        <v>3</v>
      </c>
      <c r="L413">
        <f>COUNTIFS(GESTIONES!$A:$A, BASE_CUENTAS!$A413,GESTIONES!$B:$B, BASE_CUENTAS!$C413,GESTIONES!$E:$E, "S")</f>
        <v>0</v>
      </c>
      <c r="M413">
        <f>COUNTIFS(GESTIONES!$A:$A, BASE_CUENTAS!$A413,GESTIONES!$B:$B, BASE_CUENTAS!$C413,GESTIONES!$E:$E, "N")</f>
        <v>3</v>
      </c>
      <c r="N413">
        <f>COUNTIFS(GESTIONES!$A:$A, BASE_CUENTAS!$A413,GESTIONES!$B:$B, BASE_CUENTAS!$C413,GESTIONES!$D:$D, "SMS")</f>
        <v>1</v>
      </c>
      <c r="O413">
        <f>SUMIFS(PAGOS!$D:$D,PAGOS!$A:$A, BASE_CUENTAS!$A413,PAGOS!$B:$B, BASE_CUENTAS!$C413)</f>
        <v>0</v>
      </c>
      <c r="P413" t="str">
        <f>IF(
VLOOKUP($C413,BASE_CIERRE_MES!$C:$G,5,FALSE)=0,
"Normalización",
IF(
VLOOKUP($C413,BASE_CIERRE_MES!$C:$G,5,FALSE)&lt;$H413,
"Recuperación",
IF(
VLOOKUP($C413,BASE_CIERRE_MES!$C:$G,5,FALSE)=$H413,
"Contención",
"Rodamiento"
)))</f>
        <v>Rodamiento</v>
      </c>
      <c r="Q413">
        <f t="shared" si="6"/>
        <v>0</v>
      </c>
    </row>
    <row r="414" spans="1:17" x14ac:dyDescent="0.25">
      <c r="A414">
        <v>8263081</v>
      </c>
      <c r="B414" t="s">
        <v>18</v>
      </c>
      <c r="C414">
        <v>25950581</v>
      </c>
      <c r="D414" t="s">
        <v>7</v>
      </c>
      <c r="E414">
        <v>666612</v>
      </c>
      <c r="F414" s="2">
        <v>666612</v>
      </c>
      <c r="G414" s="2">
        <v>666612</v>
      </c>
      <c r="H414">
        <v>150</v>
      </c>
      <c r="I414" s="1">
        <v>42518</v>
      </c>
      <c r="J414" t="s">
        <v>5</v>
      </c>
      <c r="K414">
        <f>COUNTIFS(GESTIONES!$A:$A, BASE_CUENTAS!$A414, GESTIONES!$B:$B, BASE_CUENTAS!$C414)</f>
        <v>3</v>
      </c>
      <c r="L414">
        <f>COUNTIFS(GESTIONES!$A:$A, BASE_CUENTAS!$A414,GESTIONES!$B:$B, BASE_CUENTAS!$C414,GESTIONES!$E:$E, "S")</f>
        <v>1</v>
      </c>
      <c r="M414">
        <f>COUNTIFS(GESTIONES!$A:$A, BASE_CUENTAS!$A414,GESTIONES!$B:$B, BASE_CUENTAS!$C414,GESTIONES!$E:$E, "N")</f>
        <v>2</v>
      </c>
      <c r="N414">
        <f>COUNTIFS(GESTIONES!$A:$A, BASE_CUENTAS!$A414,GESTIONES!$B:$B, BASE_CUENTAS!$C414,GESTIONES!$D:$D, "SMS")</f>
        <v>2</v>
      </c>
      <c r="O414">
        <f>SUMIFS(PAGOS!$D:$D,PAGOS!$A:$A, BASE_CUENTAS!$A414,PAGOS!$B:$B, BASE_CUENTAS!$C414)</f>
        <v>666612</v>
      </c>
      <c r="P414" t="str">
        <f>IF(
VLOOKUP($C414,BASE_CIERRE_MES!$C:$G,5,FALSE)=0,
"Normalización",
IF(
VLOOKUP($C414,BASE_CIERRE_MES!$C:$G,5,FALSE)&lt;$H414,
"Recuperación",
IF(
VLOOKUP($C414,BASE_CIERRE_MES!$C:$G,5,FALSE)=$H414,
"Contención",
"Rodamiento"
)))</f>
        <v>Normalización</v>
      </c>
      <c r="Q414">
        <f t="shared" si="6"/>
        <v>1</v>
      </c>
    </row>
    <row r="415" spans="1:17" x14ac:dyDescent="0.25">
      <c r="A415">
        <v>8263349</v>
      </c>
      <c r="B415" t="s">
        <v>16</v>
      </c>
      <c r="C415">
        <v>21676069</v>
      </c>
      <c r="D415" t="s">
        <v>7</v>
      </c>
      <c r="E415">
        <v>42608151</v>
      </c>
      <c r="F415" s="2">
        <v>2157291</v>
      </c>
      <c r="G415" s="2">
        <v>913479</v>
      </c>
      <c r="H415">
        <v>90</v>
      </c>
      <c r="I415" s="1">
        <v>42508</v>
      </c>
      <c r="J415" t="s">
        <v>6</v>
      </c>
      <c r="K415">
        <f>COUNTIFS(GESTIONES!$A:$A, BASE_CUENTAS!$A415, GESTIONES!$B:$B, BASE_CUENTAS!$C415)</f>
        <v>3</v>
      </c>
      <c r="L415">
        <f>COUNTIFS(GESTIONES!$A:$A, BASE_CUENTAS!$A415,GESTIONES!$B:$B, BASE_CUENTAS!$C415,GESTIONES!$E:$E, "S")</f>
        <v>1</v>
      </c>
      <c r="M415">
        <f>COUNTIFS(GESTIONES!$A:$A, BASE_CUENTAS!$A415,GESTIONES!$B:$B, BASE_CUENTAS!$C415,GESTIONES!$E:$E, "N")</f>
        <v>2</v>
      </c>
      <c r="N415">
        <f>COUNTIFS(GESTIONES!$A:$A, BASE_CUENTAS!$A415,GESTIONES!$B:$B, BASE_CUENTAS!$C415,GESTIONES!$D:$D, "SMS")</f>
        <v>0</v>
      </c>
      <c r="O415">
        <f>SUMIFS(PAGOS!$D:$D,PAGOS!$A:$A, BASE_CUENTAS!$A415,PAGOS!$B:$B, BASE_CUENTAS!$C415)</f>
        <v>913479</v>
      </c>
      <c r="P415" t="str">
        <f>IF(
VLOOKUP($C415,BASE_CIERRE_MES!$C:$G,5,FALSE)=0,
"Normalización",
IF(
VLOOKUP($C415,BASE_CIERRE_MES!$C:$G,5,FALSE)&lt;$H415,
"Recuperación",
IF(
VLOOKUP($C415,BASE_CIERRE_MES!$C:$G,5,FALSE)=$H415,
"Contención",
"Rodamiento"
)))</f>
        <v>Normalización</v>
      </c>
      <c r="Q415">
        <f t="shared" si="6"/>
        <v>0.42343800627731726</v>
      </c>
    </row>
    <row r="416" spans="1:17" x14ac:dyDescent="0.25">
      <c r="A416">
        <v>8263349</v>
      </c>
      <c r="B416" t="s">
        <v>16</v>
      </c>
      <c r="C416">
        <v>21676178</v>
      </c>
      <c r="D416" t="s">
        <v>7</v>
      </c>
      <c r="E416">
        <v>42608151</v>
      </c>
      <c r="F416" s="2">
        <v>2237914</v>
      </c>
      <c r="G416" s="2">
        <v>873000</v>
      </c>
      <c r="H416">
        <v>90</v>
      </c>
      <c r="I416" s="1">
        <v>42508</v>
      </c>
      <c r="J416" t="s">
        <v>6</v>
      </c>
      <c r="K416">
        <f>COUNTIFS(GESTIONES!$A:$A, BASE_CUENTAS!$A416, GESTIONES!$B:$B, BASE_CUENTAS!$C416)</f>
        <v>3</v>
      </c>
      <c r="L416">
        <f>COUNTIFS(GESTIONES!$A:$A, BASE_CUENTAS!$A416,GESTIONES!$B:$B, BASE_CUENTAS!$C416,GESTIONES!$E:$E, "S")</f>
        <v>1</v>
      </c>
      <c r="M416">
        <f>COUNTIFS(GESTIONES!$A:$A, BASE_CUENTAS!$A416,GESTIONES!$B:$B, BASE_CUENTAS!$C416,GESTIONES!$E:$E, "N")</f>
        <v>2</v>
      </c>
      <c r="N416">
        <f>COUNTIFS(GESTIONES!$A:$A, BASE_CUENTAS!$A416,GESTIONES!$B:$B, BASE_CUENTAS!$C416,GESTIONES!$D:$D, "SMS")</f>
        <v>0</v>
      </c>
      <c r="O416">
        <f>SUMIFS(PAGOS!$D:$D,PAGOS!$A:$A, BASE_CUENTAS!$A416,PAGOS!$B:$B, BASE_CUENTAS!$C416)</f>
        <v>2237914</v>
      </c>
      <c r="P416" t="str">
        <f>IF(
VLOOKUP($C416,BASE_CIERRE_MES!$C:$G,5,FALSE)=0,
"Normalización",
IF(
VLOOKUP($C416,BASE_CIERRE_MES!$C:$G,5,FALSE)&lt;$H416,
"Recuperación",
IF(
VLOOKUP($C416,BASE_CIERRE_MES!$C:$G,5,FALSE)=$H416,
"Contención",
"Rodamiento"
)))</f>
        <v>Normalización</v>
      </c>
      <c r="Q416">
        <f t="shared" si="6"/>
        <v>1</v>
      </c>
    </row>
    <row r="417" spans="1:17" x14ac:dyDescent="0.25">
      <c r="A417">
        <v>8263349</v>
      </c>
      <c r="B417" t="s">
        <v>16</v>
      </c>
      <c r="C417">
        <v>21676329</v>
      </c>
      <c r="D417" t="s">
        <v>7</v>
      </c>
      <c r="E417">
        <v>42608151</v>
      </c>
      <c r="F417" s="2">
        <v>6435756</v>
      </c>
      <c r="G417" s="2">
        <v>877425</v>
      </c>
      <c r="H417">
        <v>60</v>
      </c>
      <c r="I417" s="1">
        <v>42508</v>
      </c>
      <c r="J417" t="s">
        <v>6</v>
      </c>
      <c r="K417">
        <f>COUNTIFS(GESTIONES!$A:$A, BASE_CUENTAS!$A417, GESTIONES!$B:$B, BASE_CUENTAS!$C417)</f>
        <v>3</v>
      </c>
      <c r="L417">
        <f>COUNTIFS(GESTIONES!$A:$A, BASE_CUENTAS!$A417,GESTIONES!$B:$B, BASE_CUENTAS!$C417,GESTIONES!$E:$E, "S")</f>
        <v>2</v>
      </c>
      <c r="M417">
        <f>COUNTIFS(GESTIONES!$A:$A, BASE_CUENTAS!$A417,GESTIONES!$B:$B, BASE_CUENTAS!$C417,GESTIONES!$E:$E, "N")</f>
        <v>1</v>
      </c>
      <c r="N417">
        <f>COUNTIFS(GESTIONES!$A:$A, BASE_CUENTAS!$A417,GESTIONES!$B:$B, BASE_CUENTAS!$C417,GESTIONES!$D:$D, "SMS")</f>
        <v>1</v>
      </c>
      <c r="O417">
        <f>SUMIFS(PAGOS!$D:$D,PAGOS!$A:$A, BASE_CUENTAS!$A417,PAGOS!$B:$B, BASE_CUENTAS!$C417)</f>
        <v>292475</v>
      </c>
      <c r="P417" t="str">
        <f>IF(
VLOOKUP($C417,BASE_CIERRE_MES!$C:$G,5,FALSE)=0,
"Normalización",
IF(
VLOOKUP($C417,BASE_CIERRE_MES!$C:$G,5,FALSE)&lt;$H417,
"Recuperación",
IF(
VLOOKUP($C417,BASE_CIERRE_MES!$C:$G,5,FALSE)=$H417,
"Contención",
"Rodamiento"
)))</f>
        <v>Contención</v>
      </c>
      <c r="Q417">
        <f t="shared" si="6"/>
        <v>4.5445321419892243E-2</v>
      </c>
    </row>
    <row r="418" spans="1:17" x14ac:dyDescent="0.25">
      <c r="A418">
        <v>8263436</v>
      </c>
      <c r="B418" t="s">
        <v>18</v>
      </c>
      <c r="C418">
        <v>27653166</v>
      </c>
      <c r="D418" t="s">
        <v>7</v>
      </c>
      <c r="E418">
        <v>1392266</v>
      </c>
      <c r="F418" s="2">
        <v>1392266</v>
      </c>
      <c r="G418" s="2">
        <v>314855</v>
      </c>
      <c r="H418">
        <v>60</v>
      </c>
      <c r="I418" s="1">
        <v>42481</v>
      </c>
      <c r="J418" t="s">
        <v>6</v>
      </c>
      <c r="K418">
        <f>COUNTIFS(GESTIONES!$A:$A, BASE_CUENTAS!$A418, GESTIONES!$B:$B, BASE_CUENTAS!$C418)</f>
        <v>3</v>
      </c>
      <c r="L418">
        <f>COUNTIFS(GESTIONES!$A:$A, BASE_CUENTAS!$A418,GESTIONES!$B:$B, BASE_CUENTAS!$C418,GESTIONES!$E:$E, "S")</f>
        <v>1</v>
      </c>
      <c r="M418">
        <f>COUNTIFS(GESTIONES!$A:$A, BASE_CUENTAS!$A418,GESTIONES!$B:$B, BASE_CUENTAS!$C418,GESTIONES!$E:$E, "N")</f>
        <v>2</v>
      </c>
      <c r="N418">
        <f>COUNTIFS(GESTIONES!$A:$A, BASE_CUENTAS!$A418,GESTIONES!$B:$B, BASE_CUENTAS!$C418,GESTIONES!$D:$D, "SMS")</f>
        <v>0</v>
      </c>
      <c r="O418">
        <f>SUMIFS(PAGOS!$D:$D,PAGOS!$A:$A, BASE_CUENTAS!$A418,PAGOS!$B:$B, BASE_CUENTAS!$C418)</f>
        <v>157428</v>
      </c>
      <c r="P418" t="str">
        <f>IF(
VLOOKUP($C418,BASE_CIERRE_MES!$C:$G,5,FALSE)=0,
"Normalización",
IF(
VLOOKUP($C418,BASE_CIERRE_MES!$C:$G,5,FALSE)&lt;$H418,
"Recuperación",
IF(
VLOOKUP($C418,BASE_CIERRE_MES!$C:$G,5,FALSE)=$H418,
"Contención",
"Rodamiento"
)))</f>
        <v>Recuperación</v>
      </c>
      <c r="Q418">
        <f t="shared" si="6"/>
        <v>0.11307322020361052</v>
      </c>
    </row>
    <row r="419" spans="1:17" x14ac:dyDescent="0.25">
      <c r="A419">
        <v>8263516</v>
      </c>
      <c r="B419" t="s">
        <v>18</v>
      </c>
      <c r="C419">
        <v>15578869</v>
      </c>
      <c r="D419" t="s">
        <v>7</v>
      </c>
      <c r="E419">
        <v>2397372</v>
      </c>
      <c r="F419" s="2">
        <v>999255</v>
      </c>
      <c r="G419" s="2">
        <v>193225</v>
      </c>
      <c r="H419">
        <v>60</v>
      </c>
      <c r="I419" s="1">
        <v>42487</v>
      </c>
      <c r="J419" t="s">
        <v>6</v>
      </c>
      <c r="K419">
        <f>COUNTIFS(GESTIONES!$A:$A, BASE_CUENTAS!$A419, GESTIONES!$B:$B, BASE_CUENTAS!$C419)</f>
        <v>3</v>
      </c>
      <c r="L419">
        <f>COUNTIFS(GESTIONES!$A:$A, BASE_CUENTAS!$A419,GESTIONES!$B:$B, BASE_CUENTAS!$C419,GESTIONES!$E:$E, "S")</f>
        <v>0</v>
      </c>
      <c r="M419">
        <f>COUNTIFS(GESTIONES!$A:$A, BASE_CUENTAS!$A419,GESTIONES!$B:$B, BASE_CUENTAS!$C419,GESTIONES!$E:$E, "N")</f>
        <v>3</v>
      </c>
      <c r="N419">
        <f>COUNTIFS(GESTIONES!$A:$A, BASE_CUENTAS!$A419,GESTIONES!$B:$B, BASE_CUENTAS!$C419,GESTIONES!$D:$D, "SMS")</f>
        <v>2</v>
      </c>
      <c r="O419">
        <f>SUMIFS(PAGOS!$D:$D,PAGOS!$A:$A, BASE_CUENTAS!$A419,PAGOS!$B:$B, BASE_CUENTAS!$C419)</f>
        <v>0</v>
      </c>
      <c r="P419" t="str">
        <f>IF(
VLOOKUP($C419,BASE_CIERRE_MES!$C:$G,5,FALSE)=0,
"Normalización",
IF(
VLOOKUP($C419,BASE_CIERRE_MES!$C:$G,5,FALSE)&lt;$H419,
"Recuperación",
IF(
VLOOKUP($C419,BASE_CIERRE_MES!$C:$G,5,FALSE)=$H419,
"Contención",
"Rodamiento"
)))</f>
        <v>Rodamiento</v>
      </c>
      <c r="Q419">
        <f t="shared" si="6"/>
        <v>0</v>
      </c>
    </row>
    <row r="420" spans="1:17" x14ac:dyDescent="0.25">
      <c r="A420">
        <v>8263672</v>
      </c>
      <c r="B420" t="s">
        <v>17</v>
      </c>
      <c r="C420">
        <v>15202553</v>
      </c>
      <c r="D420" t="s">
        <v>7</v>
      </c>
      <c r="E420">
        <v>6072945</v>
      </c>
      <c r="F420" s="2">
        <v>602803</v>
      </c>
      <c r="G420" s="2">
        <v>8120</v>
      </c>
      <c r="H420">
        <v>30</v>
      </c>
      <c r="I420" s="1">
        <v>42508</v>
      </c>
      <c r="J420" t="s">
        <v>6</v>
      </c>
      <c r="K420">
        <f>COUNTIFS(GESTIONES!$A:$A, BASE_CUENTAS!$A420, GESTIONES!$B:$B, BASE_CUENTAS!$C420)</f>
        <v>3</v>
      </c>
      <c r="L420">
        <f>COUNTIFS(GESTIONES!$A:$A, BASE_CUENTAS!$A420,GESTIONES!$B:$B, BASE_CUENTAS!$C420,GESTIONES!$E:$E, "S")</f>
        <v>1</v>
      </c>
      <c r="M420">
        <f>COUNTIFS(GESTIONES!$A:$A, BASE_CUENTAS!$A420,GESTIONES!$B:$B, BASE_CUENTAS!$C420,GESTIONES!$E:$E, "N")</f>
        <v>2</v>
      </c>
      <c r="N420">
        <f>COUNTIFS(GESTIONES!$A:$A, BASE_CUENTAS!$A420,GESTIONES!$B:$B, BASE_CUENTAS!$C420,GESTIONES!$D:$D, "SMS")</f>
        <v>1</v>
      </c>
      <c r="O420">
        <f>SUMIFS(PAGOS!$D:$D,PAGOS!$A:$A, BASE_CUENTAS!$A420,PAGOS!$B:$B, BASE_CUENTAS!$C420)</f>
        <v>0</v>
      </c>
      <c r="P420" t="str">
        <f>IF(
VLOOKUP($C420,BASE_CIERRE_MES!$C:$G,5,FALSE)=0,
"Normalización",
IF(
VLOOKUP($C420,BASE_CIERRE_MES!$C:$G,5,FALSE)&lt;$H420,
"Recuperación",
IF(
VLOOKUP($C420,BASE_CIERRE_MES!$C:$G,5,FALSE)=$H420,
"Contención",
"Rodamiento"
)))</f>
        <v>Rodamiento</v>
      </c>
      <c r="Q420">
        <f t="shared" si="6"/>
        <v>0</v>
      </c>
    </row>
    <row r="421" spans="1:17" x14ac:dyDescent="0.25">
      <c r="A421">
        <v>8263672</v>
      </c>
      <c r="B421" t="s">
        <v>17</v>
      </c>
      <c r="C421">
        <v>20692962</v>
      </c>
      <c r="D421" t="s">
        <v>9</v>
      </c>
      <c r="E421">
        <v>6072945</v>
      </c>
      <c r="F421" s="2">
        <v>5470142</v>
      </c>
      <c r="G421" s="2">
        <v>377457</v>
      </c>
      <c r="H421">
        <v>11</v>
      </c>
      <c r="I421" s="1">
        <v>42522</v>
      </c>
      <c r="J421" t="s">
        <v>6</v>
      </c>
      <c r="K421">
        <f>COUNTIFS(GESTIONES!$A:$A, BASE_CUENTAS!$A421, GESTIONES!$B:$B, BASE_CUENTAS!$C421)</f>
        <v>3</v>
      </c>
      <c r="L421">
        <f>COUNTIFS(GESTIONES!$A:$A, BASE_CUENTAS!$A421,GESTIONES!$B:$B, BASE_CUENTAS!$C421,GESTIONES!$E:$E, "S")</f>
        <v>1</v>
      </c>
      <c r="M421">
        <f>COUNTIFS(GESTIONES!$A:$A, BASE_CUENTAS!$A421,GESTIONES!$B:$B, BASE_CUENTAS!$C421,GESTIONES!$E:$E, "N")</f>
        <v>2</v>
      </c>
      <c r="N421">
        <f>COUNTIFS(GESTIONES!$A:$A, BASE_CUENTAS!$A421,GESTIONES!$B:$B, BASE_CUENTAS!$C421,GESTIONES!$D:$D, "SMS")</f>
        <v>0</v>
      </c>
      <c r="O421">
        <f>SUMIFS(PAGOS!$D:$D,PAGOS!$A:$A, BASE_CUENTAS!$A421,PAGOS!$B:$B, BASE_CUENTAS!$C421)</f>
        <v>125819</v>
      </c>
      <c r="P421" t="str">
        <f>IF(
VLOOKUP($C421,BASE_CIERRE_MES!$C:$G,5,FALSE)=0,
"Normalización",
IF(
VLOOKUP($C421,BASE_CIERRE_MES!$C:$G,5,FALSE)&lt;$H421,
"Recuperación",
IF(
VLOOKUP($C421,BASE_CIERRE_MES!$C:$G,5,FALSE)=$H421,
"Contención",
"Rodamiento"
)))</f>
        <v>Rodamiento</v>
      </c>
      <c r="Q421">
        <f t="shared" si="6"/>
        <v>2.3001048236042137E-2</v>
      </c>
    </row>
    <row r="422" spans="1:17" x14ac:dyDescent="0.25">
      <c r="A422">
        <v>8263683</v>
      </c>
      <c r="B422" t="s">
        <v>17</v>
      </c>
      <c r="C422">
        <v>25096884</v>
      </c>
      <c r="D422" t="s">
        <v>7</v>
      </c>
      <c r="E422">
        <v>9475753</v>
      </c>
      <c r="F422" s="2">
        <v>3200657</v>
      </c>
      <c r="G422" s="2">
        <v>120258</v>
      </c>
      <c r="H422">
        <v>30</v>
      </c>
      <c r="I422" s="1">
        <v>42509</v>
      </c>
      <c r="J422" t="s">
        <v>6</v>
      </c>
      <c r="K422">
        <f>COUNTIFS(GESTIONES!$A:$A, BASE_CUENTAS!$A422, GESTIONES!$B:$B, BASE_CUENTAS!$C422)</f>
        <v>3</v>
      </c>
      <c r="L422">
        <f>COUNTIFS(GESTIONES!$A:$A, BASE_CUENTAS!$A422,GESTIONES!$B:$B, BASE_CUENTAS!$C422,GESTIONES!$E:$E, "S")</f>
        <v>1</v>
      </c>
      <c r="M422">
        <f>COUNTIFS(GESTIONES!$A:$A, BASE_CUENTAS!$A422,GESTIONES!$B:$B, BASE_CUENTAS!$C422,GESTIONES!$E:$E, "N")</f>
        <v>2</v>
      </c>
      <c r="N422">
        <f>COUNTIFS(GESTIONES!$A:$A, BASE_CUENTAS!$A422,GESTIONES!$B:$B, BASE_CUENTAS!$C422,GESTIONES!$D:$D, "SMS")</f>
        <v>1</v>
      </c>
      <c r="O422">
        <f>SUMIFS(PAGOS!$D:$D,PAGOS!$A:$A, BASE_CUENTAS!$A422,PAGOS!$B:$B, BASE_CUENTAS!$C422)</f>
        <v>0</v>
      </c>
      <c r="P422" t="str">
        <f>IF(
VLOOKUP($C422,BASE_CIERRE_MES!$C:$G,5,FALSE)=0,
"Normalización",
IF(
VLOOKUP($C422,BASE_CIERRE_MES!$C:$G,5,FALSE)&lt;$H422,
"Recuperación",
IF(
VLOOKUP($C422,BASE_CIERRE_MES!$C:$G,5,FALSE)=$H422,
"Contención",
"Rodamiento"
)))</f>
        <v>Rodamiento</v>
      </c>
      <c r="Q422">
        <f t="shared" si="6"/>
        <v>0</v>
      </c>
    </row>
    <row r="423" spans="1:17" x14ac:dyDescent="0.25">
      <c r="A423">
        <v>8263683</v>
      </c>
      <c r="B423" t="s">
        <v>17</v>
      </c>
      <c r="C423">
        <v>25097831</v>
      </c>
      <c r="D423" t="s">
        <v>7</v>
      </c>
      <c r="E423">
        <v>9475753</v>
      </c>
      <c r="F423" s="2">
        <v>3793078</v>
      </c>
      <c r="G423" s="2">
        <v>132763</v>
      </c>
      <c r="H423">
        <v>30</v>
      </c>
      <c r="I423" s="1">
        <v>42508</v>
      </c>
      <c r="J423" t="s">
        <v>6</v>
      </c>
      <c r="K423">
        <f>COUNTIFS(GESTIONES!$A:$A, BASE_CUENTAS!$A423, GESTIONES!$B:$B, BASE_CUENTAS!$C423)</f>
        <v>3</v>
      </c>
      <c r="L423">
        <f>COUNTIFS(GESTIONES!$A:$A, BASE_CUENTAS!$A423,GESTIONES!$B:$B, BASE_CUENTAS!$C423,GESTIONES!$E:$E, "S")</f>
        <v>1</v>
      </c>
      <c r="M423">
        <f>COUNTIFS(GESTIONES!$A:$A, BASE_CUENTAS!$A423,GESTIONES!$B:$B, BASE_CUENTAS!$C423,GESTIONES!$E:$E, "N")</f>
        <v>2</v>
      </c>
      <c r="N423">
        <f>COUNTIFS(GESTIONES!$A:$A, BASE_CUENTAS!$A423,GESTIONES!$B:$B, BASE_CUENTAS!$C423,GESTIONES!$D:$D, "SMS")</f>
        <v>0</v>
      </c>
      <c r="O423">
        <f>SUMIFS(PAGOS!$D:$D,PAGOS!$A:$A, BASE_CUENTAS!$A423,PAGOS!$B:$B, BASE_CUENTAS!$C423)</f>
        <v>0</v>
      </c>
      <c r="P423" t="str">
        <f>IF(
VLOOKUP($C423,BASE_CIERRE_MES!$C:$G,5,FALSE)=0,
"Normalización",
IF(
VLOOKUP($C423,BASE_CIERRE_MES!$C:$G,5,FALSE)&lt;$H423,
"Recuperación",
IF(
VLOOKUP($C423,BASE_CIERRE_MES!$C:$G,5,FALSE)=$H423,
"Contención",
"Rodamiento"
)))</f>
        <v>Rodamiento</v>
      </c>
      <c r="Q423">
        <f t="shared" si="6"/>
        <v>0</v>
      </c>
    </row>
    <row r="424" spans="1:17" x14ac:dyDescent="0.25">
      <c r="A424">
        <v>8290112</v>
      </c>
      <c r="B424" t="s">
        <v>18</v>
      </c>
      <c r="C424">
        <v>25098094</v>
      </c>
      <c r="D424" t="s">
        <v>7</v>
      </c>
      <c r="E424">
        <v>1725871</v>
      </c>
      <c r="F424" s="2">
        <v>1725871</v>
      </c>
      <c r="G424" s="2">
        <v>464745</v>
      </c>
      <c r="H424">
        <v>60</v>
      </c>
      <c r="I424" s="1">
        <v>42490</v>
      </c>
      <c r="J424" t="s">
        <v>6</v>
      </c>
      <c r="K424">
        <f>COUNTIFS(GESTIONES!$A:$A, BASE_CUENTAS!$A424, GESTIONES!$B:$B, BASE_CUENTAS!$C424)</f>
        <v>3</v>
      </c>
      <c r="L424">
        <f>COUNTIFS(GESTIONES!$A:$A, BASE_CUENTAS!$A424,GESTIONES!$B:$B, BASE_CUENTAS!$C424,GESTIONES!$E:$E, "S")</f>
        <v>0</v>
      </c>
      <c r="M424">
        <f>COUNTIFS(GESTIONES!$A:$A, BASE_CUENTAS!$A424,GESTIONES!$B:$B, BASE_CUENTAS!$C424,GESTIONES!$E:$E, "N")</f>
        <v>3</v>
      </c>
      <c r="N424">
        <f>COUNTIFS(GESTIONES!$A:$A, BASE_CUENTAS!$A424,GESTIONES!$B:$B, BASE_CUENTAS!$C424,GESTIONES!$D:$D, "SMS")</f>
        <v>2</v>
      </c>
      <c r="O424">
        <f>SUMIFS(PAGOS!$D:$D,PAGOS!$A:$A, BASE_CUENTAS!$A424,PAGOS!$B:$B, BASE_CUENTAS!$C424)</f>
        <v>464745</v>
      </c>
      <c r="P424" t="str">
        <f>IF(
VLOOKUP($C424,BASE_CIERRE_MES!$C:$G,5,FALSE)=0,
"Normalización",
IF(
VLOOKUP($C424,BASE_CIERRE_MES!$C:$G,5,FALSE)&lt;$H424,
"Recuperación",
IF(
VLOOKUP($C424,BASE_CIERRE_MES!$C:$G,5,FALSE)=$H424,
"Contención",
"Rodamiento"
)))</f>
        <v>Normalización</v>
      </c>
      <c r="Q424">
        <f t="shared" si="6"/>
        <v>0.2692814236985267</v>
      </c>
    </row>
    <row r="425" spans="1:17" x14ac:dyDescent="0.25">
      <c r="A425">
        <v>8290119</v>
      </c>
      <c r="B425" t="s">
        <v>16</v>
      </c>
      <c r="C425">
        <v>25238974</v>
      </c>
      <c r="D425" t="s">
        <v>7</v>
      </c>
      <c r="E425">
        <v>22469195</v>
      </c>
      <c r="F425" s="2">
        <v>516117</v>
      </c>
      <c r="G425" s="2">
        <v>516117</v>
      </c>
      <c r="H425">
        <v>60</v>
      </c>
      <c r="I425" s="1">
        <v>42522</v>
      </c>
      <c r="J425" t="s">
        <v>6</v>
      </c>
      <c r="K425">
        <f>COUNTIFS(GESTIONES!$A:$A, BASE_CUENTAS!$A425, GESTIONES!$B:$B, BASE_CUENTAS!$C425)</f>
        <v>3</v>
      </c>
      <c r="L425">
        <f>COUNTIFS(GESTIONES!$A:$A, BASE_CUENTAS!$A425,GESTIONES!$B:$B, BASE_CUENTAS!$C425,GESTIONES!$E:$E, "S")</f>
        <v>1</v>
      </c>
      <c r="M425">
        <f>COUNTIFS(GESTIONES!$A:$A, BASE_CUENTAS!$A425,GESTIONES!$B:$B, BASE_CUENTAS!$C425,GESTIONES!$E:$E, "N")</f>
        <v>2</v>
      </c>
      <c r="N425">
        <f>COUNTIFS(GESTIONES!$A:$A, BASE_CUENTAS!$A425,GESTIONES!$B:$B, BASE_CUENTAS!$C425,GESTIONES!$D:$D, "SMS")</f>
        <v>1</v>
      </c>
      <c r="O425">
        <f>SUMIFS(PAGOS!$D:$D,PAGOS!$A:$A, BASE_CUENTAS!$A425,PAGOS!$B:$B, BASE_CUENTAS!$C425)</f>
        <v>0</v>
      </c>
      <c r="P425" t="str">
        <f>IF(
VLOOKUP($C425,BASE_CIERRE_MES!$C:$G,5,FALSE)=0,
"Normalización",
IF(
VLOOKUP($C425,BASE_CIERRE_MES!$C:$G,5,FALSE)&lt;$H425,
"Recuperación",
IF(
VLOOKUP($C425,BASE_CIERRE_MES!$C:$G,5,FALSE)=$H425,
"Contención",
"Rodamiento"
)))</f>
        <v>Rodamiento</v>
      </c>
      <c r="Q425">
        <f t="shared" si="6"/>
        <v>0</v>
      </c>
    </row>
    <row r="426" spans="1:17" x14ac:dyDescent="0.25">
      <c r="A426">
        <v>8290119</v>
      </c>
      <c r="B426" t="s">
        <v>16</v>
      </c>
      <c r="C426">
        <v>26623589</v>
      </c>
      <c r="D426" t="s">
        <v>9</v>
      </c>
      <c r="E426">
        <v>22469195</v>
      </c>
      <c r="F426" s="2">
        <v>9138030</v>
      </c>
      <c r="G426" s="2">
        <v>658260</v>
      </c>
      <c r="H426">
        <v>54</v>
      </c>
      <c r="I426" s="1">
        <v>42522</v>
      </c>
      <c r="J426" t="s">
        <v>6</v>
      </c>
      <c r="K426">
        <f>COUNTIFS(GESTIONES!$A:$A, BASE_CUENTAS!$A426, GESTIONES!$B:$B, BASE_CUENTAS!$C426)</f>
        <v>3</v>
      </c>
      <c r="L426">
        <f>COUNTIFS(GESTIONES!$A:$A, BASE_CUENTAS!$A426,GESTIONES!$B:$B, BASE_CUENTAS!$C426,GESTIONES!$E:$E, "S")</f>
        <v>1</v>
      </c>
      <c r="M426">
        <f>COUNTIFS(GESTIONES!$A:$A, BASE_CUENTAS!$A426,GESTIONES!$B:$B, BASE_CUENTAS!$C426,GESTIONES!$E:$E, "N")</f>
        <v>2</v>
      </c>
      <c r="N426">
        <f>COUNTIFS(GESTIONES!$A:$A, BASE_CUENTAS!$A426,GESTIONES!$B:$B, BASE_CUENTAS!$C426,GESTIONES!$D:$D, "SMS")</f>
        <v>0</v>
      </c>
      <c r="O426">
        <f>SUMIFS(PAGOS!$D:$D,PAGOS!$A:$A, BASE_CUENTAS!$A426,PAGOS!$B:$B, BASE_CUENTAS!$C426)</f>
        <v>0</v>
      </c>
      <c r="P426" t="str">
        <f>IF(
VLOOKUP($C426,BASE_CIERRE_MES!$C:$G,5,FALSE)=0,
"Normalización",
IF(
VLOOKUP($C426,BASE_CIERRE_MES!$C:$G,5,FALSE)&lt;$H426,
"Recuperación",
IF(
VLOOKUP($C426,BASE_CIERRE_MES!$C:$G,5,FALSE)=$H426,
"Contención",
"Rodamiento"
)))</f>
        <v>Rodamiento</v>
      </c>
      <c r="Q426">
        <f t="shared" si="6"/>
        <v>0</v>
      </c>
    </row>
    <row r="427" spans="1:17" x14ac:dyDescent="0.25">
      <c r="A427">
        <v>8290119</v>
      </c>
      <c r="B427" t="s">
        <v>16</v>
      </c>
      <c r="C427">
        <v>27571222</v>
      </c>
      <c r="D427" t="s">
        <v>9</v>
      </c>
      <c r="E427">
        <v>22469195</v>
      </c>
      <c r="F427" s="2">
        <v>3608054</v>
      </c>
      <c r="G427" s="2">
        <v>868343</v>
      </c>
      <c r="H427">
        <v>53</v>
      </c>
      <c r="I427" s="1">
        <v>42522</v>
      </c>
      <c r="J427" t="s">
        <v>6</v>
      </c>
      <c r="K427">
        <f>COUNTIFS(GESTIONES!$A:$A, BASE_CUENTAS!$A427, GESTIONES!$B:$B, BASE_CUENTAS!$C427)</f>
        <v>3</v>
      </c>
      <c r="L427">
        <f>COUNTIFS(GESTIONES!$A:$A, BASE_CUENTAS!$A427,GESTIONES!$B:$B, BASE_CUENTAS!$C427,GESTIONES!$E:$E, "S")</f>
        <v>1</v>
      </c>
      <c r="M427">
        <f>COUNTIFS(GESTIONES!$A:$A, BASE_CUENTAS!$A427,GESTIONES!$B:$B, BASE_CUENTAS!$C427,GESTIONES!$E:$E, "N")</f>
        <v>2</v>
      </c>
      <c r="N427">
        <f>COUNTIFS(GESTIONES!$A:$A, BASE_CUENTAS!$A427,GESTIONES!$B:$B, BASE_CUENTAS!$C427,GESTIONES!$D:$D, "SMS")</f>
        <v>1</v>
      </c>
      <c r="O427">
        <f>SUMIFS(PAGOS!$D:$D,PAGOS!$A:$A, BASE_CUENTAS!$A427,PAGOS!$B:$B, BASE_CUENTAS!$C427)</f>
        <v>868343</v>
      </c>
      <c r="P427" t="str">
        <f>IF(
VLOOKUP($C427,BASE_CIERRE_MES!$C:$G,5,FALSE)=0,
"Normalización",
IF(
VLOOKUP($C427,BASE_CIERRE_MES!$C:$G,5,FALSE)&lt;$H427,
"Recuperación",
IF(
VLOOKUP($C427,BASE_CIERRE_MES!$C:$G,5,FALSE)=$H427,
"Contención",
"Rodamiento"
)))</f>
        <v>Normalización</v>
      </c>
      <c r="Q427">
        <f t="shared" si="6"/>
        <v>0.24066796117796463</v>
      </c>
    </row>
    <row r="428" spans="1:17" x14ac:dyDescent="0.25">
      <c r="A428">
        <v>8290119</v>
      </c>
      <c r="B428" t="s">
        <v>16</v>
      </c>
      <c r="C428">
        <v>27817138</v>
      </c>
      <c r="D428" t="s">
        <v>9</v>
      </c>
      <c r="E428">
        <v>22469195</v>
      </c>
      <c r="F428" s="2">
        <v>9206994</v>
      </c>
      <c r="G428" s="2">
        <v>1084524</v>
      </c>
      <c r="H428">
        <v>68</v>
      </c>
      <c r="I428" s="1">
        <v>42522</v>
      </c>
      <c r="J428" t="s">
        <v>6</v>
      </c>
      <c r="K428">
        <f>COUNTIFS(GESTIONES!$A:$A, BASE_CUENTAS!$A428, GESTIONES!$B:$B, BASE_CUENTAS!$C428)</f>
        <v>3</v>
      </c>
      <c r="L428">
        <f>COUNTIFS(GESTIONES!$A:$A, BASE_CUENTAS!$A428,GESTIONES!$B:$B, BASE_CUENTAS!$C428,GESTIONES!$E:$E, "S")</f>
        <v>1</v>
      </c>
      <c r="M428">
        <f>COUNTIFS(GESTIONES!$A:$A, BASE_CUENTAS!$A428,GESTIONES!$B:$B, BASE_CUENTAS!$C428,GESTIONES!$E:$E, "N")</f>
        <v>2</v>
      </c>
      <c r="N428">
        <f>COUNTIFS(GESTIONES!$A:$A, BASE_CUENTAS!$A428,GESTIONES!$B:$B, BASE_CUENTAS!$C428,GESTIONES!$D:$D, "SMS")</f>
        <v>0</v>
      </c>
      <c r="O428">
        <f>SUMIFS(PAGOS!$D:$D,PAGOS!$A:$A, BASE_CUENTAS!$A428,PAGOS!$B:$B, BASE_CUENTAS!$C428)</f>
        <v>9206994</v>
      </c>
      <c r="P428" t="str">
        <f>IF(
VLOOKUP($C428,BASE_CIERRE_MES!$C:$G,5,FALSE)=0,
"Normalización",
IF(
VLOOKUP($C428,BASE_CIERRE_MES!$C:$G,5,FALSE)&lt;$H428,
"Recuperación",
IF(
VLOOKUP($C428,BASE_CIERRE_MES!$C:$G,5,FALSE)=$H428,
"Contención",
"Rodamiento"
)))</f>
        <v>Normalización</v>
      </c>
      <c r="Q428">
        <f t="shared" si="6"/>
        <v>1</v>
      </c>
    </row>
    <row r="429" spans="1:17" x14ac:dyDescent="0.25">
      <c r="A429">
        <v>8290233</v>
      </c>
      <c r="B429" t="s">
        <v>18</v>
      </c>
      <c r="C429">
        <v>4571968</v>
      </c>
      <c r="D429" t="s">
        <v>7</v>
      </c>
      <c r="E429">
        <v>1083171</v>
      </c>
      <c r="F429" s="2">
        <v>1083171</v>
      </c>
      <c r="G429" s="2">
        <v>1083171</v>
      </c>
      <c r="H429">
        <v>150</v>
      </c>
      <c r="I429" s="1">
        <v>42519</v>
      </c>
      <c r="J429" t="s">
        <v>5</v>
      </c>
      <c r="K429">
        <f>COUNTIFS(GESTIONES!$A:$A, BASE_CUENTAS!$A429, GESTIONES!$B:$B, BASE_CUENTAS!$C429)</f>
        <v>3</v>
      </c>
      <c r="L429">
        <f>COUNTIFS(GESTIONES!$A:$A, BASE_CUENTAS!$A429,GESTIONES!$B:$B, BASE_CUENTAS!$C429,GESTIONES!$E:$E, "S")</f>
        <v>0</v>
      </c>
      <c r="M429">
        <f>COUNTIFS(GESTIONES!$A:$A, BASE_CUENTAS!$A429,GESTIONES!$B:$B, BASE_CUENTAS!$C429,GESTIONES!$E:$E, "N")</f>
        <v>3</v>
      </c>
      <c r="N429">
        <f>COUNTIFS(GESTIONES!$A:$A, BASE_CUENTAS!$A429,GESTIONES!$B:$B, BASE_CUENTAS!$C429,GESTIONES!$D:$D, "SMS")</f>
        <v>2</v>
      </c>
      <c r="O429">
        <f>SUMIFS(PAGOS!$D:$D,PAGOS!$A:$A, BASE_CUENTAS!$A429,PAGOS!$B:$B, BASE_CUENTAS!$C429)</f>
        <v>0</v>
      </c>
      <c r="P429" t="str">
        <f>IF(
VLOOKUP($C429,BASE_CIERRE_MES!$C:$G,5,FALSE)=0,
"Normalización",
IF(
VLOOKUP($C429,BASE_CIERRE_MES!$C:$G,5,FALSE)&lt;$H429,
"Recuperación",
IF(
VLOOKUP($C429,BASE_CIERRE_MES!$C:$G,5,FALSE)=$H429,
"Contención",
"Rodamiento"
)))</f>
        <v>Recuperación</v>
      </c>
      <c r="Q429">
        <f t="shared" si="6"/>
        <v>0</v>
      </c>
    </row>
    <row r="430" spans="1:17" x14ac:dyDescent="0.25">
      <c r="A430">
        <v>8290480</v>
      </c>
      <c r="B430" t="s">
        <v>17</v>
      </c>
      <c r="C430">
        <v>25411228</v>
      </c>
      <c r="D430" t="s">
        <v>7</v>
      </c>
      <c r="E430">
        <v>9508685</v>
      </c>
      <c r="F430" s="2">
        <v>89470</v>
      </c>
      <c r="G430" s="2">
        <v>88795</v>
      </c>
      <c r="H430">
        <v>30</v>
      </c>
      <c r="I430" s="1">
        <v>42519</v>
      </c>
      <c r="J430" t="s">
        <v>6</v>
      </c>
      <c r="K430">
        <f>COUNTIFS(GESTIONES!$A:$A, BASE_CUENTAS!$A430, GESTIONES!$B:$B, BASE_CUENTAS!$C430)</f>
        <v>3</v>
      </c>
      <c r="L430">
        <f>COUNTIFS(GESTIONES!$A:$A, BASE_CUENTAS!$A430,GESTIONES!$B:$B, BASE_CUENTAS!$C430,GESTIONES!$E:$E, "S")</f>
        <v>1</v>
      </c>
      <c r="M430">
        <f>COUNTIFS(GESTIONES!$A:$A, BASE_CUENTAS!$A430,GESTIONES!$B:$B, BASE_CUENTAS!$C430,GESTIONES!$E:$E, "N")</f>
        <v>2</v>
      </c>
      <c r="N430">
        <f>COUNTIFS(GESTIONES!$A:$A, BASE_CUENTAS!$A430,GESTIONES!$B:$B, BASE_CUENTAS!$C430,GESTIONES!$D:$D, "SMS")</f>
        <v>1</v>
      </c>
      <c r="O430">
        <f>SUMIFS(PAGOS!$D:$D,PAGOS!$A:$A, BASE_CUENTAS!$A430,PAGOS!$B:$B, BASE_CUENTAS!$C430)</f>
        <v>88795</v>
      </c>
      <c r="P430" t="str">
        <f>IF(
VLOOKUP($C430,BASE_CIERRE_MES!$C:$G,5,FALSE)=0,
"Normalización",
IF(
VLOOKUP($C430,BASE_CIERRE_MES!$C:$G,5,FALSE)&lt;$H430,
"Recuperación",
IF(
VLOOKUP($C430,BASE_CIERRE_MES!$C:$G,5,FALSE)=$H430,
"Contención",
"Rodamiento"
)))</f>
        <v>Normalización</v>
      </c>
      <c r="Q430">
        <f t="shared" si="6"/>
        <v>0.9924555717000112</v>
      </c>
    </row>
    <row r="431" spans="1:17" x14ac:dyDescent="0.25">
      <c r="A431">
        <v>8290480</v>
      </c>
      <c r="B431" t="s">
        <v>17</v>
      </c>
      <c r="C431">
        <v>28310909</v>
      </c>
      <c r="D431" t="s">
        <v>13</v>
      </c>
      <c r="E431">
        <v>9508685</v>
      </c>
      <c r="F431" s="2">
        <v>9419215</v>
      </c>
      <c r="G431" s="2">
        <v>221115</v>
      </c>
      <c r="H431">
        <v>19</v>
      </c>
      <c r="I431" s="1">
        <v>42511</v>
      </c>
      <c r="J431" t="s">
        <v>6</v>
      </c>
      <c r="K431">
        <f>COUNTIFS(GESTIONES!$A:$A, BASE_CUENTAS!$A431, GESTIONES!$B:$B, BASE_CUENTAS!$C431)</f>
        <v>3</v>
      </c>
      <c r="L431">
        <f>COUNTIFS(GESTIONES!$A:$A, BASE_CUENTAS!$A431,GESTIONES!$B:$B, BASE_CUENTAS!$C431,GESTIONES!$E:$E, "S")</f>
        <v>1</v>
      </c>
      <c r="M431">
        <f>COUNTIFS(GESTIONES!$A:$A, BASE_CUENTAS!$A431,GESTIONES!$B:$B, BASE_CUENTAS!$C431,GESTIONES!$E:$E, "N")</f>
        <v>2</v>
      </c>
      <c r="N431">
        <f>COUNTIFS(GESTIONES!$A:$A, BASE_CUENTAS!$A431,GESTIONES!$B:$B, BASE_CUENTAS!$C431,GESTIONES!$D:$D, "SMS")</f>
        <v>0</v>
      </c>
      <c r="O431">
        <f>SUMIFS(PAGOS!$D:$D,PAGOS!$A:$A, BASE_CUENTAS!$A431,PAGOS!$B:$B, BASE_CUENTAS!$C431)</f>
        <v>0</v>
      </c>
      <c r="P431" t="str">
        <f>IF(
VLOOKUP($C431,BASE_CIERRE_MES!$C:$G,5,FALSE)=0,
"Normalización",
IF(
VLOOKUP($C431,BASE_CIERRE_MES!$C:$G,5,FALSE)&lt;$H431,
"Recuperación",
IF(
VLOOKUP($C431,BASE_CIERRE_MES!$C:$G,5,FALSE)=$H431,
"Contención",
"Rodamiento"
)))</f>
        <v>Rodamiento</v>
      </c>
      <c r="Q431">
        <f t="shared" si="6"/>
        <v>0</v>
      </c>
    </row>
    <row r="432" spans="1:17" x14ac:dyDescent="0.25">
      <c r="A432">
        <v>8290528</v>
      </c>
      <c r="B432" t="s">
        <v>16</v>
      </c>
      <c r="C432">
        <v>24781042</v>
      </c>
      <c r="D432" t="s">
        <v>7</v>
      </c>
      <c r="E432">
        <v>17691983</v>
      </c>
      <c r="F432" s="2">
        <v>1014862</v>
      </c>
      <c r="G432" s="2">
        <v>306681</v>
      </c>
      <c r="H432">
        <v>60</v>
      </c>
      <c r="I432" s="1">
        <v>42490</v>
      </c>
      <c r="J432" t="s">
        <v>6</v>
      </c>
      <c r="K432">
        <f>COUNTIFS(GESTIONES!$A:$A, BASE_CUENTAS!$A432, GESTIONES!$B:$B, BASE_CUENTAS!$C432)</f>
        <v>3</v>
      </c>
      <c r="L432">
        <f>COUNTIFS(GESTIONES!$A:$A, BASE_CUENTAS!$A432,GESTIONES!$B:$B, BASE_CUENTAS!$C432,GESTIONES!$E:$E, "S")</f>
        <v>1</v>
      </c>
      <c r="M432">
        <f>COUNTIFS(GESTIONES!$A:$A, BASE_CUENTAS!$A432,GESTIONES!$B:$B, BASE_CUENTAS!$C432,GESTIONES!$E:$E, "N")</f>
        <v>2</v>
      </c>
      <c r="N432">
        <f>COUNTIFS(GESTIONES!$A:$A, BASE_CUENTAS!$A432,GESTIONES!$B:$B, BASE_CUENTAS!$C432,GESTIONES!$D:$D, "SMS")</f>
        <v>1</v>
      </c>
      <c r="O432">
        <f>SUMIFS(PAGOS!$D:$D,PAGOS!$A:$A, BASE_CUENTAS!$A432,PAGOS!$B:$B, BASE_CUENTAS!$C432)</f>
        <v>153341</v>
      </c>
      <c r="P432" t="str">
        <f>IF(
VLOOKUP($C432,BASE_CIERRE_MES!$C:$G,5,FALSE)=0,
"Normalización",
IF(
VLOOKUP($C432,BASE_CIERRE_MES!$C:$G,5,FALSE)&lt;$H432,
"Recuperación",
IF(
VLOOKUP($C432,BASE_CIERRE_MES!$C:$G,5,FALSE)=$H432,
"Contención",
"Rodamiento"
)))</f>
        <v>Recuperación</v>
      </c>
      <c r="Q432">
        <f t="shared" si="6"/>
        <v>0.15109541986989364</v>
      </c>
    </row>
    <row r="433" spans="1:17" x14ac:dyDescent="0.25">
      <c r="A433">
        <v>8290528</v>
      </c>
      <c r="B433" t="s">
        <v>16</v>
      </c>
      <c r="C433">
        <v>24951190</v>
      </c>
      <c r="D433" t="s">
        <v>7</v>
      </c>
      <c r="E433">
        <v>17691983</v>
      </c>
      <c r="F433" s="2">
        <v>551382</v>
      </c>
      <c r="G433" s="2">
        <v>162116</v>
      </c>
      <c r="H433">
        <v>60</v>
      </c>
      <c r="I433" s="1">
        <v>42491</v>
      </c>
      <c r="J433" t="s">
        <v>6</v>
      </c>
      <c r="K433">
        <f>COUNTIFS(GESTIONES!$A:$A, BASE_CUENTAS!$A433, GESTIONES!$B:$B, BASE_CUENTAS!$C433)</f>
        <v>3</v>
      </c>
      <c r="L433">
        <f>COUNTIFS(GESTIONES!$A:$A, BASE_CUENTAS!$A433,GESTIONES!$B:$B, BASE_CUENTAS!$C433,GESTIONES!$E:$E, "S")</f>
        <v>2</v>
      </c>
      <c r="M433">
        <f>COUNTIFS(GESTIONES!$A:$A, BASE_CUENTAS!$A433,GESTIONES!$B:$B, BASE_CUENTAS!$C433,GESTIONES!$E:$E, "N")</f>
        <v>1</v>
      </c>
      <c r="N433">
        <f>COUNTIFS(GESTIONES!$A:$A, BASE_CUENTAS!$A433,GESTIONES!$B:$B, BASE_CUENTAS!$C433,GESTIONES!$D:$D, "SMS")</f>
        <v>0</v>
      </c>
      <c r="O433">
        <f>SUMIFS(PAGOS!$D:$D,PAGOS!$A:$A, BASE_CUENTAS!$A433,PAGOS!$B:$B, BASE_CUENTAS!$C433)</f>
        <v>54039</v>
      </c>
      <c r="P433" t="str">
        <f>IF(
VLOOKUP($C433,BASE_CIERRE_MES!$C:$G,5,FALSE)=0,
"Normalización",
IF(
VLOOKUP($C433,BASE_CIERRE_MES!$C:$G,5,FALSE)&lt;$H433,
"Recuperación",
IF(
VLOOKUP($C433,BASE_CIERRE_MES!$C:$G,5,FALSE)=$H433,
"Contención",
"Rodamiento"
)))</f>
        <v>Contención</v>
      </c>
      <c r="Q433">
        <f t="shared" si="6"/>
        <v>9.8006463758338144E-2</v>
      </c>
    </row>
    <row r="434" spans="1:17" x14ac:dyDescent="0.25">
      <c r="A434">
        <v>8290588</v>
      </c>
      <c r="B434" t="s">
        <v>18</v>
      </c>
      <c r="C434">
        <v>28040498</v>
      </c>
      <c r="D434" t="s">
        <v>7</v>
      </c>
      <c r="E434">
        <v>2249011</v>
      </c>
      <c r="F434" s="2">
        <v>1709371</v>
      </c>
      <c r="G434" s="2">
        <v>67876</v>
      </c>
      <c r="H434">
        <v>30</v>
      </c>
      <c r="I434" s="1">
        <v>42508</v>
      </c>
      <c r="J434" t="s">
        <v>6</v>
      </c>
      <c r="K434">
        <f>COUNTIFS(GESTIONES!$A:$A, BASE_CUENTAS!$A434, GESTIONES!$B:$B, BASE_CUENTAS!$C434)</f>
        <v>3</v>
      </c>
      <c r="L434">
        <f>COUNTIFS(GESTIONES!$A:$A, BASE_CUENTAS!$A434,GESTIONES!$B:$B, BASE_CUENTAS!$C434,GESTIONES!$E:$E, "S")</f>
        <v>1</v>
      </c>
      <c r="M434">
        <f>COUNTIFS(GESTIONES!$A:$A, BASE_CUENTAS!$A434,GESTIONES!$B:$B, BASE_CUENTAS!$C434,GESTIONES!$E:$E, "N")</f>
        <v>2</v>
      </c>
      <c r="N434">
        <f>COUNTIFS(GESTIONES!$A:$A, BASE_CUENTAS!$A434,GESTIONES!$B:$B, BASE_CUENTAS!$C434,GESTIONES!$D:$D, "SMS")</f>
        <v>1</v>
      </c>
      <c r="O434">
        <f>SUMIFS(PAGOS!$D:$D,PAGOS!$A:$A, BASE_CUENTAS!$A434,PAGOS!$B:$B, BASE_CUENTAS!$C434)</f>
        <v>0</v>
      </c>
      <c r="P434" t="str">
        <f>IF(
VLOOKUP($C434,BASE_CIERRE_MES!$C:$G,5,FALSE)=0,
"Normalización",
IF(
VLOOKUP($C434,BASE_CIERRE_MES!$C:$G,5,FALSE)&lt;$H434,
"Recuperación",
IF(
VLOOKUP($C434,BASE_CIERRE_MES!$C:$G,5,FALSE)=$H434,
"Contención",
"Rodamiento"
)))</f>
        <v>Rodamiento</v>
      </c>
      <c r="Q434">
        <f t="shared" si="6"/>
        <v>0</v>
      </c>
    </row>
    <row r="435" spans="1:17" x14ac:dyDescent="0.25">
      <c r="A435">
        <v>8290811</v>
      </c>
      <c r="B435" t="s">
        <v>16</v>
      </c>
      <c r="C435">
        <v>21139953</v>
      </c>
      <c r="D435" t="s">
        <v>7</v>
      </c>
      <c r="E435">
        <v>14369893</v>
      </c>
      <c r="F435" s="2">
        <v>6042161</v>
      </c>
      <c r="G435" s="2">
        <v>509145</v>
      </c>
      <c r="H435">
        <v>30</v>
      </c>
      <c r="I435" s="1">
        <v>42521</v>
      </c>
      <c r="J435" t="s">
        <v>4</v>
      </c>
      <c r="K435">
        <f>COUNTIFS(GESTIONES!$A:$A, BASE_CUENTAS!$A435, GESTIONES!$B:$B, BASE_CUENTAS!$C435)</f>
        <v>3</v>
      </c>
      <c r="L435">
        <f>COUNTIFS(GESTIONES!$A:$A, BASE_CUENTAS!$A435,GESTIONES!$B:$B, BASE_CUENTAS!$C435,GESTIONES!$E:$E, "S")</f>
        <v>0</v>
      </c>
      <c r="M435">
        <f>COUNTIFS(GESTIONES!$A:$A, BASE_CUENTAS!$A435,GESTIONES!$B:$B, BASE_CUENTAS!$C435,GESTIONES!$E:$E, "N")</f>
        <v>3</v>
      </c>
      <c r="N435">
        <f>COUNTIFS(GESTIONES!$A:$A, BASE_CUENTAS!$A435,GESTIONES!$B:$B, BASE_CUENTAS!$C435,GESTIONES!$D:$D, "SMS")</f>
        <v>1</v>
      </c>
      <c r="O435">
        <f>SUMIFS(PAGOS!$D:$D,PAGOS!$A:$A, BASE_CUENTAS!$A435,PAGOS!$B:$B, BASE_CUENTAS!$C435)</f>
        <v>254572</v>
      </c>
      <c r="P435" t="str">
        <f>IF(
VLOOKUP($C435,BASE_CIERRE_MES!$C:$G,5,FALSE)=0,
"Normalización",
IF(
VLOOKUP($C435,BASE_CIERRE_MES!$C:$G,5,FALSE)&lt;$H435,
"Recuperación",
IF(
VLOOKUP($C435,BASE_CIERRE_MES!$C:$G,5,FALSE)=$H435,
"Contención",
"Rodamiento"
)))</f>
        <v>Recuperación</v>
      </c>
      <c r="Q435">
        <f t="shared" si="6"/>
        <v>4.2132607853382256E-2</v>
      </c>
    </row>
    <row r="436" spans="1:17" x14ac:dyDescent="0.25">
      <c r="A436">
        <v>8290811</v>
      </c>
      <c r="B436" t="s">
        <v>16</v>
      </c>
      <c r="C436">
        <v>22295364</v>
      </c>
      <c r="D436" t="s">
        <v>11</v>
      </c>
      <c r="E436">
        <v>14369893</v>
      </c>
      <c r="F436" s="2">
        <v>8327732</v>
      </c>
      <c r="G436" s="2">
        <v>646898</v>
      </c>
      <c r="H436">
        <v>3</v>
      </c>
      <c r="I436" s="1">
        <v>42529</v>
      </c>
      <c r="J436" t="s">
        <v>4</v>
      </c>
      <c r="K436">
        <f>COUNTIFS(GESTIONES!$A:$A, BASE_CUENTAS!$A436, GESTIONES!$B:$B, BASE_CUENTAS!$C436)</f>
        <v>3</v>
      </c>
      <c r="L436">
        <f>COUNTIFS(GESTIONES!$A:$A, BASE_CUENTAS!$A436,GESTIONES!$B:$B, BASE_CUENTAS!$C436,GESTIONES!$E:$E, "S")</f>
        <v>1</v>
      </c>
      <c r="M436">
        <f>COUNTIFS(GESTIONES!$A:$A, BASE_CUENTAS!$A436,GESTIONES!$B:$B, BASE_CUENTAS!$C436,GESTIONES!$E:$E, "N")</f>
        <v>2</v>
      </c>
      <c r="N436">
        <f>COUNTIFS(GESTIONES!$A:$A, BASE_CUENTAS!$A436,GESTIONES!$B:$B, BASE_CUENTAS!$C436,GESTIONES!$D:$D, "SMS")</f>
        <v>1</v>
      </c>
      <c r="O436">
        <f>SUMIFS(PAGOS!$D:$D,PAGOS!$A:$A, BASE_CUENTAS!$A436,PAGOS!$B:$B, BASE_CUENTAS!$C436)</f>
        <v>646898</v>
      </c>
      <c r="P436" t="str">
        <f>IF(
VLOOKUP($C436,BASE_CIERRE_MES!$C:$G,5,FALSE)=0,
"Normalización",
IF(
VLOOKUP($C436,BASE_CIERRE_MES!$C:$G,5,FALSE)&lt;$H436,
"Recuperación",
IF(
VLOOKUP($C436,BASE_CIERRE_MES!$C:$G,5,FALSE)=$H436,
"Contención",
"Rodamiento"
)))</f>
        <v>Normalización</v>
      </c>
      <c r="Q436">
        <f t="shared" si="6"/>
        <v>7.767997337090099E-2</v>
      </c>
    </row>
    <row r="437" spans="1:17" x14ac:dyDescent="0.25">
      <c r="A437">
        <v>8290882</v>
      </c>
      <c r="B437" t="s">
        <v>17</v>
      </c>
      <c r="C437">
        <v>23606029</v>
      </c>
      <c r="D437" t="s">
        <v>7</v>
      </c>
      <c r="E437">
        <v>3305356</v>
      </c>
      <c r="F437" s="2">
        <v>2238793</v>
      </c>
      <c r="G437" s="2">
        <v>239524</v>
      </c>
      <c r="H437">
        <v>30</v>
      </c>
      <c r="I437" s="1">
        <v>42521</v>
      </c>
      <c r="J437" t="s">
        <v>4</v>
      </c>
      <c r="K437">
        <f>COUNTIFS(GESTIONES!$A:$A, BASE_CUENTAS!$A437, GESTIONES!$B:$B, BASE_CUENTAS!$C437)</f>
        <v>3</v>
      </c>
      <c r="L437">
        <f>COUNTIFS(GESTIONES!$A:$A, BASE_CUENTAS!$A437,GESTIONES!$B:$B, BASE_CUENTAS!$C437,GESTIONES!$E:$E, "S")</f>
        <v>1</v>
      </c>
      <c r="M437">
        <f>COUNTIFS(GESTIONES!$A:$A, BASE_CUENTAS!$A437,GESTIONES!$B:$B, BASE_CUENTAS!$C437,GESTIONES!$E:$E, "N")</f>
        <v>2</v>
      </c>
      <c r="N437">
        <f>COUNTIFS(GESTIONES!$A:$A, BASE_CUENTAS!$A437,GESTIONES!$B:$B, BASE_CUENTAS!$C437,GESTIONES!$D:$D, "SMS")</f>
        <v>1</v>
      </c>
      <c r="O437">
        <f>SUMIFS(PAGOS!$D:$D,PAGOS!$A:$A, BASE_CUENTAS!$A437,PAGOS!$B:$B, BASE_CUENTAS!$C437)</f>
        <v>239524</v>
      </c>
      <c r="P437" t="str">
        <f>IF(
VLOOKUP($C437,BASE_CIERRE_MES!$C:$G,5,FALSE)=0,
"Normalización",
IF(
VLOOKUP($C437,BASE_CIERRE_MES!$C:$G,5,FALSE)&lt;$H437,
"Recuperación",
IF(
VLOOKUP($C437,BASE_CIERRE_MES!$C:$G,5,FALSE)=$H437,
"Contención",
"Rodamiento"
)))</f>
        <v>Normalización</v>
      </c>
      <c r="Q437">
        <f t="shared" si="6"/>
        <v>0.1069880064838509</v>
      </c>
    </row>
    <row r="438" spans="1:17" x14ac:dyDescent="0.25">
      <c r="A438">
        <v>8290882</v>
      </c>
      <c r="B438" t="s">
        <v>17</v>
      </c>
      <c r="C438">
        <v>24187730</v>
      </c>
      <c r="D438" t="s">
        <v>7</v>
      </c>
      <c r="E438">
        <v>3305356</v>
      </c>
      <c r="F438" s="2">
        <v>1066564</v>
      </c>
      <c r="G438" s="2">
        <v>106457</v>
      </c>
      <c r="H438">
        <v>30</v>
      </c>
      <c r="I438" s="1">
        <v>42521</v>
      </c>
      <c r="J438" t="s">
        <v>4</v>
      </c>
      <c r="K438">
        <f>COUNTIFS(GESTIONES!$A:$A, BASE_CUENTAS!$A438, GESTIONES!$B:$B, BASE_CUENTAS!$C438)</f>
        <v>3</v>
      </c>
      <c r="L438">
        <f>COUNTIFS(GESTIONES!$A:$A, BASE_CUENTAS!$A438,GESTIONES!$B:$B, BASE_CUENTAS!$C438,GESTIONES!$E:$E, "S")</f>
        <v>1</v>
      </c>
      <c r="M438">
        <f>COUNTIFS(GESTIONES!$A:$A, BASE_CUENTAS!$A438,GESTIONES!$B:$B, BASE_CUENTAS!$C438,GESTIONES!$E:$E, "N")</f>
        <v>2</v>
      </c>
      <c r="N438">
        <f>COUNTIFS(GESTIONES!$A:$A, BASE_CUENTAS!$A438,GESTIONES!$B:$B, BASE_CUENTAS!$C438,GESTIONES!$D:$D, "SMS")</f>
        <v>0</v>
      </c>
      <c r="O438">
        <f>SUMIFS(PAGOS!$D:$D,PAGOS!$A:$A, BASE_CUENTAS!$A438,PAGOS!$B:$B, BASE_CUENTAS!$C438)</f>
        <v>0</v>
      </c>
      <c r="P438" t="str">
        <f>IF(
VLOOKUP($C438,BASE_CIERRE_MES!$C:$G,5,FALSE)=0,
"Normalización",
IF(
VLOOKUP($C438,BASE_CIERRE_MES!$C:$G,5,FALSE)&lt;$H438,
"Recuperación",
IF(
VLOOKUP($C438,BASE_CIERRE_MES!$C:$G,5,FALSE)=$H438,
"Contención",
"Rodamiento"
)))</f>
        <v>Rodamiento</v>
      </c>
      <c r="Q438">
        <f t="shared" si="6"/>
        <v>0</v>
      </c>
    </row>
    <row r="439" spans="1:17" x14ac:dyDescent="0.25">
      <c r="A439">
        <v>8290902</v>
      </c>
      <c r="B439" t="s">
        <v>18</v>
      </c>
      <c r="C439">
        <v>23811559</v>
      </c>
      <c r="D439" t="s">
        <v>7</v>
      </c>
      <c r="E439">
        <v>2454616</v>
      </c>
      <c r="F439" s="2">
        <v>2454616</v>
      </c>
      <c r="G439" s="2">
        <v>439253</v>
      </c>
      <c r="H439">
        <v>30</v>
      </c>
      <c r="I439" s="1">
        <v>42508</v>
      </c>
      <c r="J439" t="s">
        <v>6</v>
      </c>
      <c r="K439">
        <f>COUNTIFS(GESTIONES!$A:$A, BASE_CUENTAS!$A439, GESTIONES!$B:$B, BASE_CUENTAS!$C439)</f>
        <v>3</v>
      </c>
      <c r="L439">
        <f>COUNTIFS(GESTIONES!$A:$A, BASE_CUENTAS!$A439,GESTIONES!$B:$B, BASE_CUENTAS!$C439,GESTIONES!$E:$E, "S")</f>
        <v>1</v>
      </c>
      <c r="M439">
        <f>COUNTIFS(GESTIONES!$A:$A, BASE_CUENTAS!$A439,GESTIONES!$B:$B, BASE_CUENTAS!$C439,GESTIONES!$E:$E, "N")</f>
        <v>2</v>
      </c>
      <c r="N439">
        <f>COUNTIFS(GESTIONES!$A:$A, BASE_CUENTAS!$A439,GESTIONES!$B:$B, BASE_CUENTAS!$C439,GESTIONES!$D:$D, "SMS")</f>
        <v>1</v>
      </c>
      <c r="O439">
        <f>SUMIFS(PAGOS!$D:$D,PAGOS!$A:$A, BASE_CUENTAS!$A439,PAGOS!$B:$B, BASE_CUENTAS!$C439)</f>
        <v>219626</v>
      </c>
      <c r="P439" t="str">
        <f>IF(
VLOOKUP($C439,BASE_CIERRE_MES!$C:$G,5,FALSE)=0,
"Normalización",
IF(
VLOOKUP($C439,BASE_CIERRE_MES!$C:$G,5,FALSE)&lt;$H439,
"Recuperación",
IF(
VLOOKUP($C439,BASE_CIERRE_MES!$C:$G,5,FALSE)=$H439,
"Contención",
"Rodamiento"
)))</f>
        <v>Recuperación</v>
      </c>
      <c r="Q439">
        <f t="shared" si="6"/>
        <v>8.9474687690457494E-2</v>
      </c>
    </row>
    <row r="440" spans="1:17" x14ac:dyDescent="0.25">
      <c r="A440">
        <v>8291182</v>
      </c>
      <c r="B440" t="s">
        <v>18</v>
      </c>
      <c r="C440">
        <v>27917878</v>
      </c>
      <c r="D440" t="s">
        <v>7</v>
      </c>
      <c r="E440">
        <v>3694003</v>
      </c>
      <c r="F440" s="2">
        <v>3694003</v>
      </c>
      <c r="G440" s="2">
        <v>1972390</v>
      </c>
      <c r="H440">
        <v>60</v>
      </c>
      <c r="I440" s="1">
        <v>42491</v>
      </c>
      <c r="J440" t="s">
        <v>6</v>
      </c>
      <c r="K440">
        <f>COUNTIFS(GESTIONES!$A:$A, BASE_CUENTAS!$A440, GESTIONES!$B:$B, BASE_CUENTAS!$C440)</f>
        <v>3</v>
      </c>
      <c r="L440">
        <f>COUNTIFS(GESTIONES!$A:$A, BASE_CUENTAS!$A440,GESTIONES!$B:$B, BASE_CUENTAS!$C440,GESTIONES!$E:$E, "S")</f>
        <v>0</v>
      </c>
      <c r="M440">
        <f>COUNTIFS(GESTIONES!$A:$A, BASE_CUENTAS!$A440,GESTIONES!$B:$B, BASE_CUENTAS!$C440,GESTIONES!$E:$E, "N")</f>
        <v>3</v>
      </c>
      <c r="N440">
        <f>COUNTIFS(GESTIONES!$A:$A, BASE_CUENTAS!$A440,GESTIONES!$B:$B, BASE_CUENTAS!$C440,GESTIONES!$D:$D, "SMS")</f>
        <v>1</v>
      </c>
      <c r="O440">
        <f>SUMIFS(PAGOS!$D:$D,PAGOS!$A:$A, BASE_CUENTAS!$A440,PAGOS!$B:$B, BASE_CUENTAS!$C440)</f>
        <v>0</v>
      </c>
      <c r="P440" t="str">
        <f>IF(
VLOOKUP($C440,BASE_CIERRE_MES!$C:$G,5,FALSE)=0,
"Normalización",
IF(
VLOOKUP($C440,BASE_CIERRE_MES!$C:$G,5,FALSE)&lt;$H440,
"Recuperación",
IF(
VLOOKUP($C440,BASE_CIERRE_MES!$C:$G,5,FALSE)=$H440,
"Contención",
"Rodamiento"
)))</f>
        <v>Rodamiento</v>
      </c>
      <c r="Q440">
        <f t="shared" si="6"/>
        <v>0</v>
      </c>
    </row>
    <row r="441" spans="1:17" x14ac:dyDescent="0.25">
      <c r="A441">
        <v>8291274</v>
      </c>
      <c r="B441" t="s">
        <v>18</v>
      </c>
      <c r="C441">
        <v>22367717</v>
      </c>
      <c r="D441" t="s">
        <v>7</v>
      </c>
      <c r="E441">
        <v>1216364</v>
      </c>
      <c r="F441" s="2">
        <v>1216364</v>
      </c>
      <c r="G441" s="2">
        <v>257893</v>
      </c>
      <c r="H441">
        <v>60</v>
      </c>
      <c r="I441" s="1">
        <v>42487</v>
      </c>
      <c r="J441" t="s">
        <v>6</v>
      </c>
      <c r="K441">
        <f>COUNTIFS(GESTIONES!$A:$A, BASE_CUENTAS!$A441, GESTIONES!$B:$B, BASE_CUENTAS!$C441)</f>
        <v>3</v>
      </c>
      <c r="L441">
        <f>COUNTIFS(GESTIONES!$A:$A, BASE_CUENTAS!$A441,GESTIONES!$B:$B, BASE_CUENTAS!$C441,GESTIONES!$E:$E, "S")</f>
        <v>1</v>
      </c>
      <c r="M441">
        <f>COUNTIFS(GESTIONES!$A:$A, BASE_CUENTAS!$A441,GESTIONES!$B:$B, BASE_CUENTAS!$C441,GESTIONES!$E:$E, "N")</f>
        <v>2</v>
      </c>
      <c r="N441">
        <f>COUNTIFS(GESTIONES!$A:$A, BASE_CUENTAS!$A441,GESTIONES!$B:$B, BASE_CUENTAS!$C441,GESTIONES!$D:$D, "SMS")</f>
        <v>1</v>
      </c>
      <c r="O441">
        <f>SUMIFS(PAGOS!$D:$D,PAGOS!$A:$A, BASE_CUENTAS!$A441,PAGOS!$B:$B, BASE_CUENTAS!$C441)</f>
        <v>0</v>
      </c>
      <c r="P441" t="str">
        <f>IF(
VLOOKUP($C441,BASE_CIERRE_MES!$C:$G,5,FALSE)=0,
"Normalización",
IF(
VLOOKUP($C441,BASE_CIERRE_MES!$C:$G,5,FALSE)&lt;$H441,
"Recuperación",
IF(
VLOOKUP($C441,BASE_CIERRE_MES!$C:$G,5,FALSE)=$H441,
"Contención",
"Rodamiento"
)))</f>
        <v>Rodamiento</v>
      </c>
      <c r="Q441">
        <f t="shared" si="6"/>
        <v>0</v>
      </c>
    </row>
    <row r="442" spans="1:17" x14ac:dyDescent="0.25">
      <c r="A442">
        <v>8291307</v>
      </c>
      <c r="B442" t="s">
        <v>17</v>
      </c>
      <c r="C442">
        <v>19789068</v>
      </c>
      <c r="D442" t="s">
        <v>7</v>
      </c>
      <c r="E442">
        <v>7557438</v>
      </c>
      <c r="F442" s="2">
        <v>7557438</v>
      </c>
      <c r="G442" s="2">
        <v>2294434</v>
      </c>
      <c r="H442">
        <v>60</v>
      </c>
      <c r="I442" s="1">
        <v>42480</v>
      </c>
      <c r="J442" t="s">
        <v>5</v>
      </c>
      <c r="K442">
        <f>COUNTIFS(GESTIONES!$A:$A, BASE_CUENTAS!$A442, GESTIONES!$B:$B, BASE_CUENTAS!$C442)</f>
        <v>3</v>
      </c>
      <c r="L442">
        <f>COUNTIFS(GESTIONES!$A:$A, BASE_CUENTAS!$A442,GESTIONES!$B:$B, BASE_CUENTAS!$C442,GESTIONES!$E:$E, "S")</f>
        <v>1</v>
      </c>
      <c r="M442">
        <f>COUNTIFS(GESTIONES!$A:$A, BASE_CUENTAS!$A442,GESTIONES!$B:$B, BASE_CUENTAS!$C442,GESTIONES!$E:$E, "N")</f>
        <v>2</v>
      </c>
      <c r="N442">
        <f>COUNTIFS(GESTIONES!$A:$A, BASE_CUENTAS!$A442,GESTIONES!$B:$B, BASE_CUENTAS!$C442,GESTIONES!$D:$D, "SMS")</f>
        <v>1</v>
      </c>
      <c r="O442">
        <f>SUMIFS(PAGOS!$D:$D,PAGOS!$A:$A, BASE_CUENTAS!$A442,PAGOS!$B:$B, BASE_CUENTAS!$C442)</f>
        <v>764811</v>
      </c>
      <c r="P442" t="str">
        <f>IF(
VLOOKUP($C442,BASE_CIERRE_MES!$C:$G,5,FALSE)=0,
"Normalización",
IF(
VLOOKUP($C442,BASE_CIERRE_MES!$C:$G,5,FALSE)&lt;$H442,
"Recuperación",
IF(
VLOOKUP($C442,BASE_CIERRE_MES!$C:$G,5,FALSE)=$H442,
"Contención",
"Rodamiento"
)))</f>
        <v>Contención</v>
      </c>
      <c r="Q442">
        <f t="shared" si="6"/>
        <v>0.10119977166865279</v>
      </c>
    </row>
    <row r="443" spans="1:17" x14ac:dyDescent="0.25">
      <c r="A443">
        <v>8291401</v>
      </c>
      <c r="B443" t="s">
        <v>16</v>
      </c>
      <c r="C443">
        <v>26664011</v>
      </c>
      <c r="D443" t="s">
        <v>13</v>
      </c>
      <c r="E443">
        <v>26702217</v>
      </c>
      <c r="F443" s="2">
        <v>20258947</v>
      </c>
      <c r="G443" s="2">
        <v>1203480</v>
      </c>
      <c r="H443">
        <v>68</v>
      </c>
      <c r="I443" s="1">
        <v>42488</v>
      </c>
      <c r="J443" t="s">
        <v>6</v>
      </c>
      <c r="K443">
        <f>COUNTIFS(GESTIONES!$A:$A, BASE_CUENTAS!$A443, GESTIONES!$B:$B, BASE_CUENTAS!$C443)</f>
        <v>3</v>
      </c>
      <c r="L443">
        <f>COUNTIFS(GESTIONES!$A:$A, BASE_CUENTAS!$A443,GESTIONES!$B:$B, BASE_CUENTAS!$C443,GESTIONES!$E:$E, "S")</f>
        <v>1</v>
      </c>
      <c r="M443">
        <f>COUNTIFS(GESTIONES!$A:$A, BASE_CUENTAS!$A443,GESTIONES!$B:$B, BASE_CUENTAS!$C443,GESTIONES!$E:$E, "N")</f>
        <v>2</v>
      </c>
      <c r="N443">
        <f>COUNTIFS(GESTIONES!$A:$A, BASE_CUENTAS!$A443,GESTIONES!$B:$B, BASE_CUENTAS!$C443,GESTIONES!$D:$D, "SMS")</f>
        <v>0</v>
      </c>
      <c r="O443">
        <f>SUMIFS(PAGOS!$D:$D,PAGOS!$A:$A, BASE_CUENTAS!$A443,PAGOS!$B:$B, BASE_CUENTAS!$C443)</f>
        <v>1203480</v>
      </c>
      <c r="P443" t="str">
        <f>IF(
VLOOKUP($C443,BASE_CIERRE_MES!$C:$G,5,FALSE)=0,
"Normalización",
IF(
VLOOKUP($C443,BASE_CIERRE_MES!$C:$G,5,FALSE)&lt;$H443,
"Recuperación",
IF(
VLOOKUP($C443,BASE_CIERRE_MES!$C:$G,5,FALSE)=$H443,
"Contención",
"Rodamiento"
)))</f>
        <v>Normalización</v>
      </c>
      <c r="Q443">
        <f t="shared" si="6"/>
        <v>5.9404864428541128E-2</v>
      </c>
    </row>
    <row r="444" spans="1:17" x14ac:dyDescent="0.25">
      <c r="A444">
        <v>8291401</v>
      </c>
      <c r="B444" t="s">
        <v>16</v>
      </c>
      <c r="C444">
        <v>27049838</v>
      </c>
      <c r="D444" t="s">
        <v>7</v>
      </c>
      <c r="E444">
        <v>26702217</v>
      </c>
      <c r="F444" s="2">
        <v>901276</v>
      </c>
      <c r="G444" s="2">
        <v>112839</v>
      </c>
      <c r="H444">
        <v>30</v>
      </c>
      <c r="I444" s="1">
        <v>42519</v>
      </c>
      <c r="J444" t="s">
        <v>6</v>
      </c>
      <c r="K444">
        <f>COUNTIFS(GESTIONES!$A:$A, BASE_CUENTAS!$A444, GESTIONES!$B:$B, BASE_CUENTAS!$C444)</f>
        <v>3</v>
      </c>
      <c r="L444">
        <f>COUNTIFS(GESTIONES!$A:$A, BASE_CUENTAS!$A444,GESTIONES!$B:$B, BASE_CUENTAS!$C444,GESTIONES!$E:$E, "S")</f>
        <v>1</v>
      </c>
      <c r="M444">
        <f>COUNTIFS(GESTIONES!$A:$A, BASE_CUENTAS!$A444,GESTIONES!$B:$B, BASE_CUENTAS!$C444,GESTIONES!$E:$E, "N")</f>
        <v>2</v>
      </c>
      <c r="N444">
        <f>COUNTIFS(GESTIONES!$A:$A, BASE_CUENTAS!$A444,GESTIONES!$B:$B, BASE_CUENTAS!$C444,GESTIONES!$D:$D, "SMS")</f>
        <v>1</v>
      </c>
      <c r="O444">
        <f>SUMIFS(PAGOS!$D:$D,PAGOS!$A:$A, BASE_CUENTAS!$A444,PAGOS!$B:$B, BASE_CUENTAS!$C444)</f>
        <v>56419</v>
      </c>
      <c r="P444" t="str">
        <f>IF(
VLOOKUP($C444,BASE_CIERRE_MES!$C:$G,5,FALSE)=0,
"Normalización",
IF(
VLOOKUP($C444,BASE_CIERRE_MES!$C:$G,5,FALSE)&lt;$H444,
"Recuperación",
IF(
VLOOKUP($C444,BASE_CIERRE_MES!$C:$G,5,FALSE)=$H444,
"Contención",
"Rodamiento"
)))</f>
        <v>Recuperación</v>
      </c>
      <c r="Q444">
        <f t="shared" si="6"/>
        <v>6.2599026269422459E-2</v>
      </c>
    </row>
    <row r="445" spans="1:17" x14ac:dyDescent="0.25">
      <c r="A445">
        <v>8291401</v>
      </c>
      <c r="B445" t="s">
        <v>16</v>
      </c>
      <c r="C445">
        <v>27785613</v>
      </c>
      <c r="D445" t="s">
        <v>13</v>
      </c>
      <c r="E445">
        <v>26702217</v>
      </c>
      <c r="F445" s="2">
        <v>5541995</v>
      </c>
      <c r="G445" s="2">
        <v>291298</v>
      </c>
      <c r="H445">
        <v>1</v>
      </c>
      <c r="I445" s="1">
        <v>42524</v>
      </c>
      <c r="J445" t="s">
        <v>6</v>
      </c>
      <c r="K445">
        <f>COUNTIFS(GESTIONES!$A:$A, BASE_CUENTAS!$A445, GESTIONES!$B:$B, BASE_CUENTAS!$C445)</f>
        <v>3</v>
      </c>
      <c r="L445">
        <f>COUNTIFS(GESTIONES!$A:$A, BASE_CUENTAS!$A445,GESTIONES!$B:$B, BASE_CUENTAS!$C445,GESTIONES!$E:$E, "S")</f>
        <v>0</v>
      </c>
      <c r="M445">
        <f>COUNTIFS(GESTIONES!$A:$A, BASE_CUENTAS!$A445,GESTIONES!$B:$B, BASE_CUENTAS!$C445,GESTIONES!$E:$E, "N")</f>
        <v>3</v>
      </c>
      <c r="N445">
        <f>COUNTIFS(GESTIONES!$A:$A, BASE_CUENTAS!$A445,GESTIONES!$B:$B, BASE_CUENTAS!$C445,GESTIONES!$D:$D, "SMS")</f>
        <v>1</v>
      </c>
      <c r="O445">
        <f>SUMIFS(PAGOS!$D:$D,PAGOS!$A:$A, BASE_CUENTAS!$A445,PAGOS!$B:$B, BASE_CUENTAS!$C445)</f>
        <v>0</v>
      </c>
      <c r="P445" t="str">
        <f>IF(
VLOOKUP($C445,BASE_CIERRE_MES!$C:$G,5,FALSE)=0,
"Normalización",
IF(
VLOOKUP($C445,BASE_CIERRE_MES!$C:$G,5,FALSE)&lt;$H445,
"Recuperación",
IF(
VLOOKUP($C445,BASE_CIERRE_MES!$C:$G,5,FALSE)=$H445,
"Contención",
"Rodamiento"
)))</f>
        <v>Rodamiento</v>
      </c>
      <c r="Q445">
        <f t="shared" si="6"/>
        <v>0</v>
      </c>
    </row>
    <row r="446" spans="1:17" x14ac:dyDescent="0.25">
      <c r="A446">
        <v>8291427</v>
      </c>
      <c r="B446" t="s">
        <v>18</v>
      </c>
      <c r="C446">
        <v>22621938</v>
      </c>
      <c r="D446" t="s">
        <v>7</v>
      </c>
      <c r="E446">
        <v>1704897</v>
      </c>
      <c r="F446" s="2">
        <v>1704897</v>
      </c>
      <c r="G446" s="2">
        <v>15612</v>
      </c>
      <c r="H446">
        <v>30</v>
      </c>
      <c r="I446" s="1">
        <v>42521</v>
      </c>
      <c r="J446" t="s">
        <v>4</v>
      </c>
      <c r="K446">
        <f>COUNTIFS(GESTIONES!$A:$A, BASE_CUENTAS!$A446, GESTIONES!$B:$B, BASE_CUENTAS!$C446)</f>
        <v>3</v>
      </c>
      <c r="L446">
        <f>COUNTIFS(GESTIONES!$A:$A, BASE_CUENTAS!$A446,GESTIONES!$B:$B, BASE_CUENTAS!$C446,GESTIONES!$E:$E, "S")</f>
        <v>1</v>
      </c>
      <c r="M446">
        <f>COUNTIFS(GESTIONES!$A:$A, BASE_CUENTAS!$A446,GESTIONES!$B:$B, BASE_CUENTAS!$C446,GESTIONES!$E:$E, "N")</f>
        <v>2</v>
      </c>
      <c r="N446">
        <f>COUNTIFS(GESTIONES!$A:$A, BASE_CUENTAS!$A446,GESTIONES!$B:$B, BASE_CUENTAS!$C446,GESTIONES!$D:$D, "SMS")</f>
        <v>1</v>
      </c>
      <c r="O446">
        <f>SUMIFS(PAGOS!$D:$D,PAGOS!$A:$A, BASE_CUENTAS!$A446,PAGOS!$B:$B, BASE_CUENTAS!$C446)</f>
        <v>0</v>
      </c>
      <c r="P446" t="str">
        <f>IF(
VLOOKUP($C446,BASE_CIERRE_MES!$C:$G,5,FALSE)=0,
"Normalización",
IF(
VLOOKUP($C446,BASE_CIERRE_MES!$C:$G,5,FALSE)&lt;$H446,
"Recuperación",
IF(
VLOOKUP($C446,BASE_CIERRE_MES!$C:$G,5,FALSE)=$H446,
"Contención",
"Rodamiento"
)))</f>
        <v>Rodamiento</v>
      </c>
      <c r="Q446">
        <f t="shared" si="6"/>
        <v>0</v>
      </c>
    </row>
    <row r="447" spans="1:17" x14ac:dyDescent="0.25">
      <c r="A447">
        <v>8291467</v>
      </c>
      <c r="B447" t="s">
        <v>18</v>
      </c>
      <c r="C447">
        <v>27243058</v>
      </c>
      <c r="D447" t="s">
        <v>7</v>
      </c>
      <c r="E447">
        <v>3582299</v>
      </c>
      <c r="F447" s="2">
        <v>2035240</v>
      </c>
      <c r="G447" s="2">
        <v>45624</v>
      </c>
      <c r="H447">
        <v>30</v>
      </c>
      <c r="I447" s="1">
        <v>42521</v>
      </c>
      <c r="J447" t="s">
        <v>4</v>
      </c>
      <c r="K447">
        <f>COUNTIFS(GESTIONES!$A:$A, BASE_CUENTAS!$A447, GESTIONES!$B:$B, BASE_CUENTAS!$C447)</f>
        <v>3</v>
      </c>
      <c r="L447">
        <f>COUNTIFS(GESTIONES!$A:$A, BASE_CUENTAS!$A447,GESTIONES!$B:$B, BASE_CUENTAS!$C447,GESTIONES!$E:$E, "S")</f>
        <v>1</v>
      </c>
      <c r="M447">
        <f>COUNTIFS(GESTIONES!$A:$A, BASE_CUENTAS!$A447,GESTIONES!$B:$B, BASE_CUENTAS!$C447,GESTIONES!$E:$E, "N")</f>
        <v>2</v>
      </c>
      <c r="N447">
        <f>COUNTIFS(GESTIONES!$A:$A, BASE_CUENTAS!$A447,GESTIONES!$B:$B, BASE_CUENTAS!$C447,GESTIONES!$D:$D, "SMS")</f>
        <v>1</v>
      </c>
      <c r="O447">
        <f>SUMIFS(PAGOS!$D:$D,PAGOS!$A:$A, BASE_CUENTAS!$A447,PAGOS!$B:$B, BASE_CUENTAS!$C447)</f>
        <v>45624</v>
      </c>
      <c r="P447" t="str">
        <f>IF(
VLOOKUP($C447,BASE_CIERRE_MES!$C:$G,5,FALSE)=0,
"Normalización",
IF(
VLOOKUP($C447,BASE_CIERRE_MES!$C:$G,5,FALSE)&lt;$H447,
"Recuperación",
IF(
VLOOKUP($C447,BASE_CIERRE_MES!$C:$G,5,FALSE)=$H447,
"Contención",
"Rodamiento"
)))</f>
        <v>Normalización</v>
      </c>
      <c r="Q447">
        <f t="shared" si="6"/>
        <v>2.2417012244256206E-2</v>
      </c>
    </row>
    <row r="448" spans="1:17" x14ac:dyDescent="0.25">
      <c r="A448">
        <v>8291545</v>
      </c>
      <c r="B448" t="s">
        <v>18</v>
      </c>
      <c r="C448">
        <v>27047202</v>
      </c>
      <c r="D448" t="s">
        <v>7</v>
      </c>
      <c r="E448">
        <v>2062706</v>
      </c>
      <c r="F448" s="2">
        <v>2062706</v>
      </c>
      <c r="G448" s="2">
        <v>66225</v>
      </c>
      <c r="H448">
        <v>30</v>
      </c>
      <c r="I448" s="1">
        <v>42521</v>
      </c>
      <c r="J448" t="s">
        <v>4</v>
      </c>
      <c r="K448">
        <f>COUNTIFS(GESTIONES!$A:$A, BASE_CUENTAS!$A448, GESTIONES!$B:$B, BASE_CUENTAS!$C448)</f>
        <v>3</v>
      </c>
      <c r="L448">
        <f>COUNTIFS(GESTIONES!$A:$A, BASE_CUENTAS!$A448,GESTIONES!$B:$B, BASE_CUENTAS!$C448,GESTIONES!$E:$E, "S")</f>
        <v>1</v>
      </c>
      <c r="M448">
        <f>COUNTIFS(GESTIONES!$A:$A, BASE_CUENTAS!$A448,GESTIONES!$B:$B, BASE_CUENTAS!$C448,GESTIONES!$E:$E, "N")</f>
        <v>2</v>
      </c>
      <c r="N448">
        <f>COUNTIFS(GESTIONES!$A:$A, BASE_CUENTAS!$A448,GESTIONES!$B:$B, BASE_CUENTAS!$C448,GESTIONES!$D:$D, "SMS")</f>
        <v>0</v>
      </c>
      <c r="O448">
        <f>SUMIFS(PAGOS!$D:$D,PAGOS!$A:$A, BASE_CUENTAS!$A448,PAGOS!$B:$B, BASE_CUENTAS!$C448)</f>
        <v>22075</v>
      </c>
      <c r="P448" t="str">
        <f>IF(
VLOOKUP($C448,BASE_CIERRE_MES!$C:$G,5,FALSE)=0,
"Normalización",
IF(
VLOOKUP($C448,BASE_CIERRE_MES!$C:$G,5,FALSE)&lt;$H448,
"Recuperación",
IF(
VLOOKUP($C448,BASE_CIERRE_MES!$C:$G,5,FALSE)=$H448,
"Contención",
"Rodamiento"
)))</f>
        <v>Contención</v>
      </c>
      <c r="Q448">
        <f t="shared" si="6"/>
        <v>1.0701961404097337E-2</v>
      </c>
    </row>
    <row r="449" spans="1:17" x14ac:dyDescent="0.25">
      <c r="A449">
        <v>8291631</v>
      </c>
      <c r="B449" t="s">
        <v>17</v>
      </c>
      <c r="C449">
        <v>25284857</v>
      </c>
      <c r="D449" t="s">
        <v>7</v>
      </c>
      <c r="E449">
        <v>10428095</v>
      </c>
      <c r="F449" s="2">
        <v>4478644</v>
      </c>
      <c r="G449" s="2">
        <v>7806</v>
      </c>
      <c r="H449">
        <v>30</v>
      </c>
      <c r="I449" s="1">
        <v>42521</v>
      </c>
      <c r="J449" t="s">
        <v>4</v>
      </c>
      <c r="K449">
        <f>COUNTIFS(GESTIONES!$A:$A, BASE_CUENTAS!$A449, GESTIONES!$B:$B, BASE_CUENTAS!$C449)</f>
        <v>3</v>
      </c>
      <c r="L449">
        <f>COUNTIFS(GESTIONES!$A:$A, BASE_CUENTAS!$A449,GESTIONES!$B:$B, BASE_CUENTAS!$C449,GESTIONES!$E:$E, "S")</f>
        <v>2</v>
      </c>
      <c r="M449">
        <f>COUNTIFS(GESTIONES!$A:$A, BASE_CUENTAS!$A449,GESTIONES!$B:$B, BASE_CUENTAS!$C449,GESTIONES!$E:$E, "N")</f>
        <v>1</v>
      </c>
      <c r="N449">
        <f>COUNTIFS(GESTIONES!$A:$A, BASE_CUENTAS!$A449,GESTIONES!$B:$B, BASE_CUENTAS!$C449,GESTIONES!$D:$D, "SMS")</f>
        <v>1</v>
      </c>
      <c r="O449">
        <f>SUMIFS(PAGOS!$D:$D,PAGOS!$A:$A, BASE_CUENTAS!$A449,PAGOS!$B:$B, BASE_CUENTAS!$C449)</f>
        <v>0</v>
      </c>
      <c r="P449" t="str">
        <f>IF(
VLOOKUP($C449,BASE_CIERRE_MES!$C:$G,5,FALSE)=0,
"Normalización",
IF(
VLOOKUP($C449,BASE_CIERRE_MES!$C:$G,5,FALSE)&lt;$H449,
"Recuperación",
IF(
VLOOKUP($C449,BASE_CIERRE_MES!$C:$G,5,FALSE)=$H449,
"Contención",
"Rodamiento"
)))</f>
        <v>Rodamiento</v>
      </c>
      <c r="Q449">
        <f t="shared" si="6"/>
        <v>0</v>
      </c>
    </row>
    <row r="450" spans="1:17" x14ac:dyDescent="0.25">
      <c r="A450">
        <v>8291662</v>
      </c>
      <c r="B450" t="s">
        <v>17</v>
      </c>
      <c r="C450">
        <v>27245072</v>
      </c>
      <c r="D450" t="s">
        <v>7</v>
      </c>
      <c r="E450">
        <v>8108857</v>
      </c>
      <c r="F450" s="2">
        <v>5426233</v>
      </c>
      <c r="G450" s="2">
        <v>176202</v>
      </c>
      <c r="H450">
        <v>30</v>
      </c>
      <c r="I450" s="1">
        <v>42521</v>
      </c>
      <c r="J450" t="s">
        <v>4</v>
      </c>
      <c r="K450">
        <f>COUNTIFS(GESTIONES!$A:$A, BASE_CUENTAS!$A450, GESTIONES!$B:$B, BASE_CUENTAS!$C450)</f>
        <v>3</v>
      </c>
      <c r="L450">
        <f>COUNTIFS(GESTIONES!$A:$A, BASE_CUENTAS!$A450,GESTIONES!$B:$B, BASE_CUENTAS!$C450,GESTIONES!$E:$E, "S")</f>
        <v>1</v>
      </c>
      <c r="M450">
        <f>COUNTIFS(GESTIONES!$A:$A, BASE_CUENTAS!$A450,GESTIONES!$B:$B, BASE_CUENTAS!$C450,GESTIONES!$E:$E, "N")</f>
        <v>2</v>
      </c>
      <c r="N450">
        <f>COUNTIFS(GESTIONES!$A:$A, BASE_CUENTAS!$A450,GESTIONES!$B:$B, BASE_CUENTAS!$C450,GESTIONES!$D:$D, "SMS")</f>
        <v>0</v>
      </c>
      <c r="O450">
        <f>SUMIFS(PAGOS!$D:$D,PAGOS!$A:$A, BASE_CUENTAS!$A450,PAGOS!$B:$B, BASE_CUENTAS!$C450)</f>
        <v>0</v>
      </c>
      <c r="P450" t="str">
        <f>IF(
VLOOKUP($C450,BASE_CIERRE_MES!$C:$G,5,FALSE)=0,
"Normalización",
IF(
VLOOKUP($C450,BASE_CIERRE_MES!$C:$G,5,FALSE)&lt;$H450,
"Recuperación",
IF(
VLOOKUP($C450,BASE_CIERRE_MES!$C:$G,5,FALSE)=$H450,
"Contención",
"Rodamiento"
)))</f>
        <v>Rodamiento</v>
      </c>
      <c r="Q450">
        <f t="shared" si="6"/>
        <v>0</v>
      </c>
    </row>
    <row r="451" spans="1:17" x14ac:dyDescent="0.25">
      <c r="A451">
        <v>8291666</v>
      </c>
      <c r="B451" t="s">
        <v>18</v>
      </c>
      <c r="C451">
        <v>25136314</v>
      </c>
      <c r="D451" t="s">
        <v>7</v>
      </c>
      <c r="E451">
        <v>1470798</v>
      </c>
      <c r="F451" s="2">
        <v>1470798</v>
      </c>
      <c r="G451" s="2">
        <v>152117</v>
      </c>
      <c r="H451">
        <v>30</v>
      </c>
      <c r="I451" s="1">
        <v>42508</v>
      </c>
      <c r="J451" t="s">
        <v>6</v>
      </c>
      <c r="K451">
        <f>COUNTIFS(GESTIONES!$A:$A, BASE_CUENTAS!$A451, GESTIONES!$B:$B, BASE_CUENTAS!$C451)</f>
        <v>3</v>
      </c>
      <c r="L451">
        <f>COUNTIFS(GESTIONES!$A:$A, BASE_CUENTAS!$A451,GESTIONES!$B:$B, BASE_CUENTAS!$C451,GESTIONES!$E:$E, "S")</f>
        <v>0</v>
      </c>
      <c r="M451">
        <f>COUNTIFS(GESTIONES!$A:$A, BASE_CUENTAS!$A451,GESTIONES!$B:$B, BASE_CUENTAS!$C451,GESTIONES!$E:$E, "N")</f>
        <v>3</v>
      </c>
      <c r="N451">
        <f>COUNTIFS(GESTIONES!$A:$A, BASE_CUENTAS!$A451,GESTIONES!$B:$B, BASE_CUENTAS!$C451,GESTIONES!$D:$D, "SMS")</f>
        <v>1</v>
      </c>
      <c r="O451">
        <f>SUMIFS(PAGOS!$D:$D,PAGOS!$A:$A, BASE_CUENTAS!$A451,PAGOS!$B:$B, BASE_CUENTAS!$C451)</f>
        <v>152117</v>
      </c>
      <c r="P451" t="str">
        <f>IF(
VLOOKUP($C451,BASE_CIERRE_MES!$C:$G,5,FALSE)=0,
"Normalización",
IF(
VLOOKUP($C451,BASE_CIERRE_MES!$C:$G,5,FALSE)&lt;$H451,
"Recuperación",
IF(
VLOOKUP($C451,BASE_CIERRE_MES!$C:$G,5,FALSE)=$H451,
"Contención",
"Rodamiento"
)))</f>
        <v>Normalización</v>
      </c>
      <c r="Q451">
        <f t="shared" ref="Q451:Q514" si="7">IF(F451=0,0,VALUE(O451)/VALUE(F451))</f>
        <v>0.10342480748546028</v>
      </c>
    </row>
    <row r="452" spans="1:17" x14ac:dyDescent="0.25">
      <c r="A452">
        <v>8291695</v>
      </c>
      <c r="B452" t="s">
        <v>18</v>
      </c>
      <c r="C452">
        <v>23721045</v>
      </c>
      <c r="D452" t="s">
        <v>7</v>
      </c>
      <c r="E452">
        <v>596946</v>
      </c>
      <c r="F452" s="2">
        <v>516958</v>
      </c>
      <c r="G452" s="2">
        <v>51494</v>
      </c>
      <c r="H452">
        <v>30</v>
      </c>
      <c r="I452" s="1">
        <v>42508</v>
      </c>
      <c r="J452" t="s">
        <v>6</v>
      </c>
      <c r="K452">
        <f>COUNTIFS(GESTIONES!$A:$A, BASE_CUENTAS!$A452, GESTIONES!$B:$B, BASE_CUENTAS!$C452)</f>
        <v>3</v>
      </c>
      <c r="L452">
        <f>COUNTIFS(GESTIONES!$A:$A, BASE_CUENTAS!$A452,GESTIONES!$B:$B, BASE_CUENTAS!$C452,GESTIONES!$E:$E, "S")</f>
        <v>1</v>
      </c>
      <c r="M452">
        <f>COUNTIFS(GESTIONES!$A:$A, BASE_CUENTAS!$A452,GESTIONES!$B:$B, BASE_CUENTAS!$C452,GESTIONES!$E:$E, "N")</f>
        <v>2</v>
      </c>
      <c r="N452">
        <f>COUNTIFS(GESTIONES!$A:$A, BASE_CUENTAS!$A452,GESTIONES!$B:$B, BASE_CUENTAS!$C452,GESTIONES!$D:$D, "SMS")</f>
        <v>2</v>
      </c>
      <c r="O452">
        <f>SUMIFS(PAGOS!$D:$D,PAGOS!$A:$A, BASE_CUENTAS!$A452,PAGOS!$B:$B, BASE_CUENTAS!$C452)</f>
        <v>0</v>
      </c>
      <c r="P452" t="str">
        <f>IF(
VLOOKUP($C452,BASE_CIERRE_MES!$C:$G,5,FALSE)=0,
"Normalización",
IF(
VLOOKUP($C452,BASE_CIERRE_MES!$C:$G,5,FALSE)&lt;$H452,
"Recuperación",
IF(
VLOOKUP($C452,BASE_CIERRE_MES!$C:$G,5,FALSE)=$H452,
"Contención",
"Rodamiento"
)))</f>
        <v>Rodamiento</v>
      </c>
      <c r="Q452">
        <f t="shared" si="7"/>
        <v>0</v>
      </c>
    </row>
    <row r="453" spans="1:17" x14ac:dyDescent="0.25">
      <c r="A453">
        <v>8291734</v>
      </c>
      <c r="B453" t="s">
        <v>18</v>
      </c>
      <c r="C453">
        <v>26115306</v>
      </c>
      <c r="D453" t="s">
        <v>7</v>
      </c>
      <c r="E453">
        <v>5115713</v>
      </c>
      <c r="F453" s="2">
        <v>5115713</v>
      </c>
      <c r="G453" s="2">
        <v>42558</v>
      </c>
      <c r="H453">
        <v>30</v>
      </c>
      <c r="I453" s="1">
        <v>42508</v>
      </c>
      <c r="J453" t="s">
        <v>6</v>
      </c>
      <c r="K453">
        <f>COUNTIFS(GESTIONES!$A:$A, BASE_CUENTAS!$A453, GESTIONES!$B:$B, BASE_CUENTAS!$C453)</f>
        <v>3</v>
      </c>
      <c r="L453">
        <f>COUNTIFS(GESTIONES!$A:$A, BASE_CUENTAS!$A453,GESTIONES!$B:$B, BASE_CUENTAS!$C453,GESTIONES!$E:$E, "S")</f>
        <v>1</v>
      </c>
      <c r="M453">
        <f>COUNTIFS(GESTIONES!$A:$A, BASE_CUENTAS!$A453,GESTIONES!$B:$B, BASE_CUENTAS!$C453,GESTIONES!$E:$E, "N")</f>
        <v>2</v>
      </c>
      <c r="N453">
        <f>COUNTIFS(GESTIONES!$A:$A, BASE_CUENTAS!$A453,GESTIONES!$B:$B, BASE_CUENTAS!$C453,GESTIONES!$D:$D, "SMS")</f>
        <v>0</v>
      </c>
      <c r="O453">
        <f>SUMIFS(PAGOS!$D:$D,PAGOS!$A:$A, BASE_CUENTAS!$A453,PAGOS!$B:$B, BASE_CUENTAS!$C453)</f>
        <v>0</v>
      </c>
      <c r="P453" t="str">
        <f>IF(
VLOOKUP($C453,BASE_CIERRE_MES!$C:$G,5,FALSE)=0,
"Normalización",
IF(
VLOOKUP($C453,BASE_CIERRE_MES!$C:$G,5,FALSE)&lt;$H453,
"Recuperación",
IF(
VLOOKUP($C453,BASE_CIERRE_MES!$C:$G,5,FALSE)=$H453,
"Contención",
"Rodamiento"
)))</f>
        <v>Rodamiento</v>
      </c>
      <c r="Q453">
        <f t="shared" si="7"/>
        <v>0</v>
      </c>
    </row>
    <row r="454" spans="1:17" x14ac:dyDescent="0.25">
      <c r="A454">
        <v>8291748</v>
      </c>
      <c r="B454" t="s">
        <v>18</v>
      </c>
      <c r="C454">
        <v>26162028</v>
      </c>
      <c r="D454" t="s">
        <v>7</v>
      </c>
      <c r="E454">
        <v>2389022</v>
      </c>
      <c r="F454" s="2">
        <v>1136494</v>
      </c>
      <c r="G454" s="2">
        <v>119200</v>
      </c>
      <c r="H454">
        <v>30</v>
      </c>
      <c r="I454" s="1">
        <v>42521</v>
      </c>
      <c r="J454" t="s">
        <v>4</v>
      </c>
      <c r="K454">
        <f>COUNTIFS(GESTIONES!$A:$A, BASE_CUENTAS!$A454, GESTIONES!$B:$B, BASE_CUENTAS!$C454)</f>
        <v>3</v>
      </c>
      <c r="L454">
        <f>COUNTIFS(GESTIONES!$A:$A, BASE_CUENTAS!$A454,GESTIONES!$B:$B, BASE_CUENTAS!$C454,GESTIONES!$E:$E, "S")</f>
        <v>1</v>
      </c>
      <c r="M454">
        <f>COUNTIFS(GESTIONES!$A:$A, BASE_CUENTAS!$A454,GESTIONES!$B:$B, BASE_CUENTAS!$C454,GESTIONES!$E:$E, "N")</f>
        <v>2</v>
      </c>
      <c r="N454">
        <f>COUNTIFS(GESTIONES!$A:$A, BASE_CUENTAS!$A454,GESTIONES!$B:$B, BASE_CUENTAS!$C454,GESTIONES!$D:$D, "SMS")</f>
        <v>1</v>
      </c>
      <c r="O454">
        <f>SUMIFS(PAGOS!$D:$D,PAGOS!$A:$A, BASE_CUENTAS!$A454,PAGOS!$B:$B, BASE_CUENTAS!$C454)</f>
        <v>119200</v>
      </c>
      <c r="P454" t="str">
        <f>IF(
VLOOKUP($C454,BASE_CIERRE_MES!$C:$G,5,FALSE)=0,
"Normalización",
IF(
VLOOKUP($C454,BASE_CIERRE_MES!$C:$G,5,FALSE)&lt;$H454,
"Recuperación",
IF(
VLOOKUP($C454,BASE_CIERRE_MES!$C:$G,5,FALSE)=$H454,
"Contención",
"Rodamiento"
)))</f>
        <v>Normalización</v>
      </c>
      <c r="Q454">
        <f t="shared" si="7"/>
        <v>0.10488396771122417</v>
      </c>
    </row>
    <row r="455" spans="1:17" x14ac:dyDescent="0.25">
      <c r="A455">
        <v>8291785</v>
      </c>
      <c r="B455" t="s">
        <v>18</v>
      </c>
      <c r="C455">
        <v>22084852</v>
      </c>
      <c r="D455" t="s">
        <v>7</v>
      </c>
      <c r="E455">
        <v>874146</v>
      </c>
      <c r="F455" s="2">
        <v>874146</v>
      </c>
      <c r="G455" s="2">
        <v>874146</v>
      </c>
      <c r="H455">
        <v>150</v>
      </c>
      <c r="I455" s="1">
        <v>42487</v>
      </c>
      <c r="J455" t="s">
        <v>5</v>
      </c>
      <c r="K455">
        <f>COUNTIFS(GESTIONES!$A:$A, BASE_CUENTAS!$A455, GESTIONES!$B:$B, BASE_CUENTAS!$C455)</f>
        <v>3</v>
      </c>
      <c r="L455">
        <f>COUNTIFS(GESTIONES!$A:$A, BASE_CUENTAS!$A455,GESTIONES!$B:$B, BASE_CUENTAS!$C455,GESTIONES!$E:$E, "S")</f>
        <v>1</v>
      </c>
      <c r="M455">
        <f>COUNTIFS(GESTIONES!$A:$A, BASE_CUENTAS!$A455,GESTIONES!$B:$B, BASE_CUENTAS!$C455,GESTIONES!$E:$E, "N")</f>
        <v>2</v>
      </c>
      <c r="N455">
        <f>COUNTIFS(GESTIONES!$A:$A, BASE_CUENTAS!$A455,GESTIONES!$B:$B, BASE_CUENTAS!$C455,GESTIONES!$D:$D, "SMS")</f>
        <v>0</v>
      </c>
      <c r="O455">
        <f>SUMIFS(PAGOS!$D:$D,PAGOS!$A:$A, BASE_CUENTAS!$A455,PAGOS!$B:$B, BASE_CUENTAS!$C455)</f>
        <v>0</v>
      </c>
      <c r="P455" t="str">
        <f>IF(
VLOOKUP($C455,BASE_CIERRE_MES!$C:$G,5,FALSE)=0,
"Normalización",
IF(
VLOOKUP($C455,BASE_CIERRE_MES!$C:$G,5,FALSE)&lt;$H455,
"Recuperación",
IF(
VLOOKUP($C455,BASE_CIERRE_MES!$C:$G,5,FALSE)=$H455,
"Contención",
"Rodamiento"
)))</f>
        <v>Recuperación</v>
      </c>
      <c r="Q455">
        <f t="shared" si="7"/>
        <v>0</v>
      </c>
    </row>
    <row r="456" spans="1:17" x14ac:dyDescent="0.25">
      <c r="A456">
        <v>8291961</v>
      </c>
      <c r="B456" t="s">
        <v>17</v>
      </c>
      <c r="C456">
        <v>22494166</v>
      </c>
      <c r="D456" t="s">
        <v>9</v>
      </c>
      <c r="E456">
        <v>6775736</v>
      </c>
      <c r="F456" s="2">
        <v>2382667</v>
      </c>
      <c r="G456" s="2">
        <v>1587469</v>
      </c>
      <c r="H456">
        <v>155</v>
      </c>
      <c r="I456" s="1">
        <v>42495</v>
      </c>
      <c r="J456" t="s">
        <v>5</v>
      </c>
      <c r="K456">
        <f>COUNTIFS(GESTIONES!$A:$A, BASE_CUENTAS!$A456, GESTIONES!$B:$B, BASE_CUENTAS!$C456)</f>
        <v>3</v>
      </c>
      <c r="L456">
        <f>COUNTIFS(GESTIONES!$A:$A, BASE_CUENTAS!$A456,GESTIONES!$B:$B, BASE_CUENTAS!$C456,GESTIONES!$E:$E, "S")</f>
        <v>0</v>
      </c>
      <c r="M456">
        <f>COUNTIFS(GESTIONES!$A:$A, BASE_CUENTAS!$A456,GESTIONES!$B:$B, BASE_CUENTAS!$C456,GESTIONES!$E:$E, "N")</f>
        <v>3</v>
      </c>
      <c r="N456">
        <f>COUNTIFS(GESTIONES!$A:$A, BASE_CUENTAS!$A456,GESTIONES!$B:$B, BASE_CUENTAS!$C456,GESTIONES!$D:$D, "SMS")</f>
        <v>1</v>
      </c>
      <c r="O456">
        <f>SUMIFS(PAGOS!$D:$D,PAGOS!$A:$A, BASE_CUENTAS!$A456,PAGOS!$B:$B, BASE_CUENTAS!$C456)</f>
        <v>793735</v>
      </c>
      <c r="P456" t="str">
        <f>IF(
VLOOKUP($C456,BASE_CIERRE_MES!$C:$G,5,FALSE)=0,
"Normalización",
IF(
VLOOKUP($C456,BASE_CIERRE_MES!$C:$G,5,FALSE)&lt;$H456,
"Recuperación",
IF(
VLOOKUP($C456,BASE_CIERRE_MES!$C:$G,5,FALSE)=$H456,
"Contención",
"Rodamiento"
)))</f>
        <v>Recuperación</v>
      </c>
      <c r="Q456">
        <f t="shared" si="7"/>
        <v>0.33312880062551753</v>
      </c>
    </row>
    <row r="457" spans="1:17" x14ac:dyDescent="0.25">
      <c r="A457">
        <v>8291961</v>
      </c>
      <c r="B457" t="s">
        <v>17</v>
      </c>
      <c r="C457">
        <v>24906889</v>
      </c>
      <c r="D457" t="s">
        <v>7</v>
      </c>
      <c r="E457">
        <v>6775736</v>
      </c>
      <c r="F457" s="2">
        <v>4393069</v>
      </c>
      <c r="G457" s="2">
        <v>4393069</v>
      </c>
      <c r="H457">
        <v>150</v>
      </c>
      <c r="I457" s="1">
        <v>42519</v>
      </c>
      <c r="J457" t="s">
        <v>5</v>
      </c>
      <c r="K457">
        <f>COUNTIFS(GESTIONES!$A:$A, BASE_CUENTAS!$A457, GESTIONES!$B:$B, BASE_CUENTAS!$C457)</f>
        <v>3</v>
      </c>
      <c r="L457">
        <f>COUNTIFS(GESTIONES!$A:$A, BASE_CUENTAS!$A457,GESTIONES!$B:$B, BASE_CUENTAS!$C457,GESTIONES!$E:$E, "S")</f>
        <v>1</v>
      </c>
      <c r="M457">
        <f>COUNTIFS(GESTIONES!$A:$A, BASE_CUENTAS!$A457,GESTIONES!$B:$B, BASE_CUENTAS!$C457,GESTIONES!$E:$E, "N")</f>
        <v>2</v>
      </c>
      <c r="N457">
        <f>COUNTIFS(GESTIONES!$A:$A, BASE_CUENTAS!$A457,GESTIONES!$B:$B, BASE_CUENTAS!$C457,GESTIONES!$D:$D, "SMS")</f>
        <v>2</v>
      </c>
      <c r="O457">
        <f>SUMIFS(PAGOS!$D:$D,PAGOS!$A:$A, BASE_CUENTAS!$A457,PAGOS!$B:$B, BASE_CUENTAS!$C457)</f>
        <v>0</v>
      </c>
      <c r="P457" t="str">
        <f>IF(
VLOOKUP($C457,BASE_CIERRE_MES!$C:$G,5,FALSE)=0,
"Normalización",
IF(
VLOOKUP($C457,BASE_CIERRE_MES!$C:$G,5,FALSE)&lt;$H457,
"Recuperación",
IF(
VLOOKUP($C457,BASE_CIERRE_MES!$C:$G,5,FALSE)=$H457,
"Contención",
"Rodamiento"
)))</f>
        <v>Recuperación</v>
      </c>
      <c r="Q457">
        <f t="shared" si="7"/>
        <v>0</v>
      </c>
    </row>
    <row r="458" spans="1:17" x14ac:dyDescent="0.25">
      <c r="A458">
        <v>8292187</v>
      </c>
      <c r="B458" t="s">
        <v>17</v>
      </c>
      <c r="C458">
        <v>27077731</v>
      </c>
      <c r="D458" t="s">
        <v>7</v>
      </c>
      <c r="E458">
        <v>2721538</v>
      </c>
      <c r="F458" s="2">
        <v>1390243</v>
      </c>
      <c r="G458" s="2">
        <v>537108</v>
      </c>
      <c r="H458">
        <v>90</v>
      </c>
      <c r="I458" s="1">
        <v>42518</v>
      </c>
      <c r="J458" t="s">
        <v>6</v>
      </c>
      <c r="K458">
        <f>COUNTIFS(GESTIONES!$A:$A, BASE_CUENTAS!$A458, GESTIONES!$B:$B, BASE_CUENTAS!$C458)</f>
        <v>3</v>
      </c>
      <c r="L458">
        <f>COUNTIFS(GESTIONES!$A:$A, BASE_CUENTAS!$A458,GESTIONES!$B:$B, BASE_CUENTAS!$C458,GESTIONES!$E:$E, "S")</f>
        <v>1</v>
      </c>
      <c r="M458">
        <f>COUNTIFS(GESTIONES!$A:$A, BASE_CUENTAS!$A458,GESTIONES!$B:$B, BASE_CUENTAS!$C458,GESTIONES!$E:$E, "N")</f>
        <v>2</v>
      </c>
      <c r="N458">
        <f>COUNTIFS(GESTIONES!$A:$A, BASE_CUENTAS!$A458,GESTIONES!$B:$B, BASE_CUENTAS!$C458,GESTIONES!$D:$D, "SMS")</f>
        <v>0</v>
      </c>
      <c r="O458">
        <f>SUMIFS(PAGOS!$D:$D,PAGOS!$A:$A, BASE_CUENTAS!$A458,PAGOS!$B:$B, BASE_CUENTAS!$C458)</f>
        <v>268554</v>
      </c>
      <c r="P458" t="str">
        <f>IF(
VLOOKUP($C458,BASE_CIERRE_MES!$C:$G,5,FALSE)=0,
"Normalización",
IF(
VLOOKUP($C458,BASE_CIERRE_MES!$C:$G,5,FALSE)&lt;$H458,
"Recuperación",
IF(
VLOOKUP($C458,BASE_CIERRE_MES!$C:$G,5,FALSE)=$H458,
"Contención",
"Rodamiento"
)))</f>
        <v>Recuperación</v>
      </c>
      <c r="Q458">
        <f t="shared" si="7"/>
        <v>0.19317054644403892</v>
      </c>
    </row>
    <row r="459" spans="1:17" x14ac:dyDescent="0.25">
      <c r="A459">
        <v>8292187</v>
      </c>
      <c r="B459" t="s">
        <v>17</v>
      </c>
      <c r="C459">
        <v>27136580</v>
      </c>
      <c r="D459" t="s">
        <v>7</v>
      </c>
      <c r="E459">
        <v>2721538</v>
      </c>
      <c r="F459" s="2">
        <v>1331296</v>
      </c>
      <c r="G459" s="2">
        <v>509640</v>
      </c>
      <c r="H459">
        <v>90</v>
      </c>
      <c r="I459" s="1">
        <v>42518</v>
      </c>
      <c r="J459" t="s">
        <v>6</v>
      </c>
      <c r="K459">
        <f>COUNTIFS(GESTIONES!$A:$A, BASE_CUENTAS!$A459, GESTIONES!$B:$B, BASE_CUENTAS!$C459)</f>
        <v>3</v>
      </c>
      <c r="L459">
        <f>COUNTIFS(GESTIONES!$A:$A, BASE_CUENTAS!$A459,GESTIONES!$B:$B, BASE_CUENTAS!$C459,GESTIONES!$E:$E, "S")</f>
        <v>1</v>
      </c>
      <c r="M459">
        <f>COUNTIFS(GESTIONES!$A:$A, BASE_CUENTAS!$A459,GESTIONES!$B:$B, BASE_CUENTAS!$C459,GESTIONES!$E:$E, "N")</f>
        <v>2</v>
      </c>
      <c r="N459">
        <f>COUNTIFS(GESTIONES!$A:$A, BASE_CUENTAS!$A459,GESTIONES!$B:$B, BASE_CUENTAS!$C459,GESTIONES!$D:$D, "SMS")</f>
        <v>1</v>
      </c>
      <c r="O459">
        <f>SUMIFS(PAGOS!$D:$D,PAGOS!$A:$A, BASE_CUENTAS!$A459,PAGOS!$B:$B, BASE_CUENTAS!$C459)</f>
        <v>0</v>
      </c>
      <c r="P459" t="str">
        <f>IF(
VLOOKUP($C459,BASE_CIERRE_MES!$C:$G,5,FALSE)=0,
"Normalización",
IF(
VLOOKUP($C459,BASE_CIERRE_MES!$C:$G,5,FALSE)&lt;$H459,
"Recuperación",
IF(
VLOOKUP($C459,BASE_CIERRE_MES!$C:$G,5,FALSE)=$H459,
"Contención",
"Rodamiento"
)))</f>
        <v>Recuperación</v>
      </c>
      <c r="Q459">
        <f t="shared" si="7"/>
        <v>0</v>
      </c>
    </row>
    <row r="460" spans="1:17" x14ac:dyDescent="0.25">
      <c r="A460">
        <v>8292203</v>
      </c>
      <c r="B460" t="s">
        <v>17</v>
      </c>
      <c r="C460">
        <v>26723896</v>
      </c>
      <c r="D460" t="s">
        <v>7</v>
      </c>
      <c r="E460">
        <v>5031714</v>
      </c>
      <c r="F460" s="2">
        <v>2645465</v>
      </c>
      <c r="G460" s="2">
        <v>2645465</v>
      </c>
      <c r="H460">
        <v>150</v>
      </c>
      <c r="I460" s="1">
        <v>42518</v>
      </c>
      <c r="J460" t="s">
        <v>5</v>
      </c>
      <c r="K460">
        <f>COUNTIFS(GESTIONES!$A:$A, BASE_CUENTAS!$A460, GESTIONES!$B:$B, BASE_CUENTAS!$C460)</f>
        <v>3</v>
      </c>
      <c r="L460">
        <f>COUNTIFS(GESTIONES!$A:$A, BASE_CUENTAS!$A460,GESTIONES!$B:$B, BASE_CUENTAS!$C460,GESTIONES!$E:$E, "S")</f>
        <v>1</v>
      </c>
      <c r="M460">
        <f>COUNTIFS(GESTIONES!$A:$A, BASE_CUENTAS!$A460,GESTIONES!$B:$B, BASE_CUENTAS!$C460,GESTIONES!$E:$E, "N")</f>
        <v>2</v>
      </c>
      <c r="N460">
        <f>COUNTIFS(GESTIONES!$A:$A, BASE_CUENTAS!$A460,GESTIONES!$B:$B, BASE_CUENTAS!$C460,GESTIONES!$D:$D, "SMS")</f>
        <v>0</v>
      </c>
      <c r="O460">
        <f>SUMIFS(PAGOS!$D:$D,PAGOS!$A:$A, BASE_CUENTAS!$A460,PAGOS!$B:$B, BASE_CUENTAS!$C460)</f>
        <v>0</v>
      </c>
      <c r="P460" t="str">
        <f>IF(
VLOOKUP($C460,BASE_CIERRE_MES!$C:$G,5,FALSE)=0,
"Normalización",
IF(
VLOOKUP($C460,BASE_CIERRE_MES!$C:$G,5,FALSE)&lt;$H460,
"Recuperación",
IF(
VLOOKUP($C460,BASE_CIERRE_MES!$C:$G,5,FALSE)=$H460,
"Contención",
"Rodamiento"
)))</f>
        <v>Recuperación</v>
      </c>
      <c r="Q460">
        <f t="shared" si="7"/>
        <v>0</v>
      </c>
    </row>
    <row r="461" spans="1:17" x14ac:dyDescent="0.25">
      <c r="A461">
        <v>8292203</v>
      </c>
      <c r="B461" t="s">
        <v>17</v>
      </c>
      <c r="C461">
        <v>26725887</v>
      </c>
      <c r="D461" t="s">
        <v>7</v>
      </c>
      <c r="E461">
        <v>5031714</v>
      </c>
      <c r="F461" s="2">
        <v>2386250</v>
      </c>
      <c r="G461" s="2">
        <v>2386250</v>
      </c>
      <c r="H461">
        <v>120</v>
      </c>
      <c r="I461" s="1">
        <v>42491</v>
      </c>
      <c r="J461" t="s">
        <v>5</v>
      </c>
      <c r="K461">
        <f>COUNTIFS(GESTIONES!$A:$A, BASE_CUENTAS!$A461, GESTIONES!$B:$B, BASE_CUENTAS!$C461)</f>
        <v>3</v>
      </c>
      <c r="L461">
        <f>COUNTIFS(GESTIONES!$A:$A, BASE_CUENTAS!$A461,GESTIONES!$B:$B, BASE_CUENTAS!$C461,GESTIONES!$E:$E, "S")</f>
        <v>0</v>
      </c>
      <c r="M461">
        <f>COUNTIFS(GESTIONES!$A:$A, BASE_CUENTAS!$A461,GESTIONES!$B:$B, BASE_CUENTAS!$C461,GESTIONES!$E:$E, "N")</f>
        <v>3</v>
      </c>
      <c r="N461">
        <f>COUNTIFS(GESTIONES!$A:$A, BASE_CUENTAS!$A461,GESTIONES!$B:$B, BASE_CUENTAS!$C461,GESTIONES!$D:$D, "SMS")</f>
        <v>1</v>
      </c>
      <c r="O461">
        <f>SUMIFS(PAGOS!$D:$D,PAGOS!$A:$A, BASE_CUENTAS!$A461,PAGOS!$B:$B, BASE_CUENTAS!$C461)</f>
        <v>0</v>
      </c>
      <c r="P461" t="str">
        <f>IF(
VLOOKUP($C461,BASE_CIERRE_MES!$C:$G,5,FALSE)=0,
"Normalización",
IF(
VLOOKUP($C461,BASE_CIERRE_MES!$C:$G,5,FALSE)&lt;$H461,
"Recuperación",
IF(
VLOOKUP($C461,BASE_CIERRE_MES!$C:$G,5,FALSE)=$H461,
"Contención",
"Rodamiento"
)))</f>
        <v>Rodamiento</v>
      </c>
      <c r="Q461">
        <f t="shared" si="7"/>
        <v>0</v>
      </c>
    </row>
    <row r="462" spans="1:17" x14ac:dyDescent="0.25">
      <c r="A462">
        <v>8292243</v>
      </c>
      <c r="B462" t="s">
        <v>18</v>
      </c>
      <c r="C462">
        <v>25479795</v>
      </c>
      <c r="D462" t="s">
        <v>7</v>
      </c>
      <c r="E462">
        <v>947438</v>
      </c>
      <c r="F462" s="2">
        <v>947438</v>
      </c>
      <c r="G462" s="2">
        <v>51918</v>
      </c>
      <c r="H462">
        <v>30</v>
      </c>
      <c r="I462" s="1">
        <v>42508</v>
      </c>
      <c r="J462" t="s">
        <v>6</v>
      </c>
      <c r="K462">
        <f>COUNTIFS(GESTIONES!$A:$A, BASE_CUENTAS!$A462, GESTIONES!$B:$B, BASE_CUENTAS!$C462)</f>
        <v>3</v>
      </c>
      <c r="L462">
        <f>COUNTIFS(GESTIONES!$A:$A, BASE_CUENTAS!$A462,GESTIONES!$B:$B, BASE_CUENTAS!$C462,GESTIONES!$E:$E, "S")</f>
        <v>1</v>
      </c>
      <c r="M462">
        <f>COUNTIFS(GESTIONES!$A:$A, BASE_CUENTAS!$A462,GESTIONES!$B:$B, BASE_CUENTAS!$C462,GESTIONES!$E:$E, "N")</f>
        <v>2</v>
      </c>
      <c r="N462">
        <f>COUNTIFS(GESTIONES!$A:$A, BASE_CUENTAS!$A462,GESTIONES!$B:$B, BASE_CUENTAS!$C462,GESTIONES!$D:$D, "SMS")</f>
        <v>2</v>
      </c>
      <c r="O462">
        <f>SUMIFS(PAGOS!$D:$D,PAGOS!$A:$A, BASE_CUENTAS!$A462,PAGOS!$B:$B, BASE_CUENTAS!$C462)</f>
        <v>51918</v>
      </c>
      <c r="P462" t="str">
        <f>IF(
VLOOKUP($C462,BASE_CIERRE_MES!$C:$G,5,FALSE)=0,
"Normalización",
IF(
VLOOKUP($C462,BASE_CIERRE_MES!$C:$G,5,FALSE)&lt;$H462,
"Recuperación",
IF(
VLOOKUP($C462,BASE_CIERRE_MES!$C:$G,5,FALSE)=$H462,
"Contención",
"Rodamiento"
)))</f>
        <v>Normalización</v>
      </c>
      <c r="Q462">
        <f t="shared" si="7"/>
        <v>5.4798308701994224E-2</v>
      </c>
    </row>
    <row r="463" spans="1:17" x14ac:dyDescent="0.25">
      <c r="A463">
        <v>8292285</v>
      </c>
      <c r="B463" t="s">
        <v>17</v>
      </c>
      <c r="C463">
        <v>21276240</v>
      </c>
      <c r="D463" t="s">
        <v>7</v>
      </c>
      <c r="E463">
        <v>5420193</v>
      </c>
      <c r="F463" s="2">
        <v>5420193</v>
      </c>
      <c r="G463" s="2">
        <v>53029</v>
      </c>
      <c r="H463">
        <v>30</v>
      </c>
      <c r="I463" s="1">
        <v>42508</v>
      </c>
      <c r="J463" t="s">
        <v>6</v>
      </c>
      <c r="K463">
        <f>COUNTIFS(GESTIONES!$A:$A, BASE_CUENTAS!$A463, GESTIONES!$B:$B, BASE_CUENTAS!$C463)</f>
        <v>3</v>
      </c>
      <c r="L463">
        <f>COUNTIFS(GESTIONES!$A:$A, BASE_CUENTAS!$A463,GESTIONES!$B:$B, BASE_CUENTAS!$C463,GESTIONES!$E:$E, "S")</f>
        <v>1</v>
      </c>
      <c r="M463">
        <f>COUNTIFS(GESTIONES!$A:$A, BASE_CUENTAS!$A463,GESTIONES!$B:$B, BASE_CUENTAS!$C463,GESTIONES!$E:$E, "N")</f>
        <v>2</v>
      </c>
      <c r="N463">
        <f>COUNTIFS(GESTIONES!$A:$A, BASE_CUENTAS!$A463,GESTIONES!$B:$B, BASE_CUENTAS!$C463,GESTIONES!$D:$D, "SMS")</f>
        <v>0</v>
      </c>
      <c r="O463">
        <f>SUMIFS(PAGOS!$D:$D,PAGOS!$A:$A, BASE_CUENTAS!$A463,PAGOS!$B:$B, BASE_CUENTAS!$C463)</f>
        <v>17676</v>
      </c>
      <c r="P463" t="str">
        <f>IF(
VLOOKUP($C463,BASE_CIERRE_MES!$C:$G,5,FALSE)=0,
"Normalización",
IF(
VLOOKUP($C463,BASE_CIERRE_MES!$C:$G,5,FALSE)&lt;$H463,
"Recuperación",
IF(
VLOOKUP($C463,BASE_CIERRE_MES!$C:$G,5,FALSE)=$H463,
"Contención",
"Rodamiento"
)))</f>
        <v>Contención</v>
      </c>
      <c r="Q463">
        <f t="shared" si="7"/>
        <v>3.2611384871350521E-3</v>
      </c>
    </row>
    <row r="464" spans="1:17" x14ac:dyDescent="0.25">
      <c r="A464">
        <v>8292287</v>
      </c>
      <c r="B464" t="s">
        <v>18</v>
      </c>
      <c r="C464">
        <v>25270652</v>
      </c>
      <c r="D464" t="s">
        <v>7</v>
      </c>
      <c r="E464">
        <v>806442</v>
      </c>
      <c r="F464" s="2">
        <v>806442</v>
      </c>
      <c r="G464" s="2">
        <v>161609</v>
      </c>
      <c r="H464">
        <v>30</v>
      </c>
      <c r="I464" s="1">
        <v>42521</v>
      </c>
      <c r="J464" t="s">
        <v>4</v>
      </c>
      <c r="K464">
        <f>COUNTIFS(GESTIONES!$A:$A, BASE_CUENTAS!$A464, GESTIONES!$B:$B, BASE_CUENTAS!$C464)</f>
        <v>3</v>
      </c>
      <c r="L464">
        <f>COUNTIFS(GESTIONES!$A:$A, BASE_CUENTAS!$A464,GESTIONES!$B:$B, BASE_CUENTAS!$C464,GESTIONES!$E:$E, "S")</f>
        <v>1</v>
      </c>
      <c r="M464">
        <f>COUNTIFS(GESTIONES!$A:$A, BASE_CUENTAS!$A464,GESTIONES!$B:$B, BASE_CUENTAS!$C464,GESTIONES!$E:$E, "N")</f>
        <v>2</v>
      </c>
      <c r="N464">
        <f>COUNTIFS(GESTIONES!$A:$A, BASE_CUENTAS!$A464,GESTIONES!$B:$B, BASE_CUENTAS!$C464,GESTIONES!$D:$D, "SMS")</f>
        <v>1</v>
      </c>
      <c r="O464">
        <f>SUMIFS(PAGOS!$D:$D,PAGOS!$A:$A, BASE_CUENTAS!$A464,PAGOS!$B:$B, BASE_CUENTAS!$C464)</f>
        <v>806442</v>
      </c>
      <c r="P464" t="str">
        <f>IF(
VLOOKUP($C464,BASE_CIERRE_MES!$C:$G,5,FALSE)=0,
"Normalización",
IF(
VLOOKUP($C464,BASE_CIERRE_MES!$C:$G,5,FALSE)&lt;$H464,
"Recuperación",
IF(
VLOOKUP($C464,BASE_CIERRE_MES!$C:$G,5,FALSE)=$H464,
"Contención",
"Rodamiento"
)))</f>
        <v>Normalización</v>
      </c>
      <c r="Q464">
        <f t="shared" si="7"/>
        <v>1</v>
      </c>
    </row>
    <row r="465" spans="1:17" x14ac:dyDescent="0.25">
      <c r="A465">
        <v>8292341</v>
      </c>
      <c r="B465" t="s">
        <v>18</v>
      </c>
      <c r="C465">
        <v>22512363</v>
      </c>
      <c r="D465" t="s">
        <v>9</v>
      </c>
      <c r="E465">
        <v>2134668</v>
      </c>
      <c r="F465" s="2">
        <v>685325</v>
      </c>
      <c r="G465" s="2">
        <v>84127</v>
      </c>
      <c r="H465">
        <v>30</v>
      </c>
      <c r="I465" s="1">
        <v>42501</v>
      </c>
      <c r="J465" t="s">
        <v>6</v>
      </c>
      <c r="K465">
        <f>COUNTIFS(GESTIONES!$A:$A, BASE_CUENTAS!$A465, GESTIONES!$B:$B, BASE_CUENTAS!$C465)</f>
        <v>3</v>
      </c>
      <c r="L465">
        <f>COUNTIFS(GESTIONES!$A:$A, BASE_CUENTAS!$A465,GESTIONES!$B:$B, BASE_CUENTAS!$C465,GESTIONES!$E:$E, "S")</f>
        <v>2</v>
      </c>
      <c r="M465">
        <f>COUNTIFS(GESTIONES!$A:$A, BASE_CUENTAS!$A465,GESTIONES!$B:$B, BASE_CUENTAS!$C465,GESTIONES!$E:$E, "N")</f>
        <v>1</v>
      </c>
      <c r="N465">
        <f>COUNTIFS(GESTIONES!$A:$A, BASE_CUENTAS!$A465,GESTIONES!$B:$B, BASE_CUENTAS!$C465,GESTIONES!$D:$D, "SMS")</f>
        <v>0</v>
      </c>
      <c r="O465">
        <f>SUMIFS(PAGOS!$D:$D,PAGOS!$A:$A, BASE_CUENTAS!$A465,PAGOS!$B:$B, BASE_CUENTAS!$C465)</f>
        <v>0</v>
      </c>
      <c r="P465" t="str">
        <f>IF(
VLOOKUP($C465,BASE_CIERRE_MES!$C:$G,5,FALSE)=0,
"Normalización",
IF(
VLOOKUP($C465,BASE_CIERRE_MES!$C:$G,5,FALSE)&lt;$H465,
"Recuperación",
IF(
VLOOKUP($C465,BASE_CIERRE_MES!$C:$G,5,FALSE)=$H465,
"Contención",
"Rodamiento"
)))</f>
        <v>Rodamiento</v>
      </c>
      <c r="Q465">
        <f t="shared" si="7"/>
        <v>0</v>
      </c>
    </row>
    <row r="466" spans="1:17" x14ac:dyDescent="0.25">
      <c r="A466">
        <v>8292341</v>
      </c>
      <c r="B466" t="s">
        <v>18</v>
      </c>
      <c r="C466">
        <v>23583782</v>
      </c>
      <c r="D466" t="s">
        <v>7</v>
      </c>
      <c r="E466">
        <v>2134668</v>
      </c>
      <c r="F466" s="2">
        <v>1449343</v>
      </c>
      <c r="G466" s="2">
        <v>214707</v>
      </c>
      <c r="H466">
        <v>30</v>
      </c>
      <c r="I466" s="1">
        <v>42519</v>
      </c>
      <c r="J466" t="s">
        <v>6</v>
      </c>
      <c r="K466">
        <f>COUNTIFS(GESTIONES!$A:$A, BASE_CUENTAS!$A466, GESTIONES!$B:$B, BASE_CUENTAS!$C466)</f>
        <v>3</v>
      </c>
      <c r="L466">
        <f>COUNTIFS(GESTIONES!$A:$A, BASE_CUENTAS!$A466,GESTIONES!$B:$B, BASE_CUENTAS!$C466,GESTIONES!$E:$E, "S")</f>
        <v>1</v>
      </c>
      <c r="M466">
        <f>COUNTIFS(GESTIONES!$A:$A, BASE_CUENTAS!$A466,GESTIONES!$B:$B, BASE_CUENTAS!$C466,GESTIONES!$E:$E, "N")</f>
        <v>2</v>
      </c>
      <c r="N466">
        <f>COUNTIFS(GESTIONES!$A:$A, BASE_CUENTAS!$A466,GESTIONES!$B:$B, BASE_CUENTAS!$C466,GESTIONES!$D:$D, "SMS")</f>
        <v>0</v>
      </c>
      <c r="O466">
        <f>SUMIFS(PAGOS!$D:$D,PAGOS!$A:$A, BASE_CUENTAS!$A466,PAGOS!$B:$B, BASE_CUENTAS!$C466)</f>
        <v>0</v>
      </c>
      <c r="P466" t="str">
        <f>IF(
VLOOKUP($C466,BASE_CIERRE_MES!$C:$G,5,FALSE)=0,
"Normalización",
IF(
VLOOKUP($C466,BASE_CIERRE_MES!$C:$G,5,FALSE)&lt;$H466,
"Recuperación",
IF(
VLOOKUP($C466,BASE_CIERRE_MES!$C:$G,5,FALSE)=$H466,
"Contención",
"Rodamiento"
)))</f>
        <v>Rodamiento</v>
      </c>
      <c r="Q466">
        <f t="shared" si="7"/>
        <v>0</v>
      </c>
    </row>
    <row r="467" spans="1:17" x14ac:dyDescent="0.25">
      <c r="A467">
        <v>8292460</v>
      </c>
      <c r="B467" t="s">
        <v>16</v>
      </c>
      <c r="C467">
        <v>26369115</v>
      </c>
      <c r="D467" t="s">
        <v>7</v>
      </c>
      <c r="E467">
        <v>21247650</v>
      </c>
      <c r="F467" s="2">
        <v>3034123</v>
      </c>
      <c r="G467" s="2">
        <v>250241</v>
      </c>
      <c r="H467">
        <v>30</v>
      </c>
      <c r="I467" s="1">
        <v>42521</v>
      </c>
      <c r="J467" t="s">
        <v>4</v>
      </c>
      <c r="K467">
        <f>COUNTIFS(GESTIONES!$A:$A, BASE_CUENTAS!$A467, GESTIONES!$B:$B, BASE_CUENTAS!$C467)</f>
        <v>3</v>
      </c>
      <c r="L467">
        <f>COUNTIFS(GESTIONES!$A:$A, BASE_CUENTAS!$A467,GESTIONES!$B:$B, BASE_CUENTAS!$C467,GESTIONES!$E:$E, "S")</f>
        <v>0</v>
      </c>
      <c r="M467">
        <f>COUNTIFS(GESTIONES!$A:$A, BASE_CUENTAS!$A467,GESTIONES!$B:$B, BASE_CUENTAS!$C467,GESTIONES!$E:$E, "N")</f>
        <v>3</v>
      </c>
      <c r="N467">
        <f>COUNTIFS(GESTIONES!$A:$A, BASE_CUENTAS!$A467,GESTIONES!$B:$B, BASE_CUENTAS!$C467,GESTIONES!$D:$D, "SMS")</f>
        <v>2</v>
      </c>
      <c r="O467">
        <f>SUMIFS(PAGOS!$D:$D,PAGOS!$A:$A, BASE_CUENTAS!$A467,PAGOS!$B:$B, BASE_CUENTAS!$C467)</f>
        <v>125121</v>
      </c>
      <c r="P467" t="str">
        <f>IF(
VLOOKUP($C467,BASE_CIERRE_MES!$C:$G,5,FALSE)=0,
"Normalización",
IF(
VLOOKUP($C467,BASE_CIERRE_MES!$C:$G,5,FALSE)&lt;$H467,
"Recuperación",
IF(
VLOOKUP($C467,BASE_CIERRE_MES!$C:$G,5,FALSE)=$H467,
"Contención",
"Rodamiento"
)))</f>
        <v>Recuperación</v>
      </c>
      <c r="Q467">
        <f t="shared" si="7"/>
        <v>4.1237945857831075E-2</v>
      </c>
    </row>
    <row r="468" spans="1:17" x14ac:dyDescent="0.25">
      <c r="A468">
        <v>8292460</v>
      </c>
      <c r="B468" t="s">
        <v>16</v>
      </c>
      <c r="C468">
        <v>26370820</v>
      </c>
      <c r="D468" t="s">
        <v>7</v>
      </c>
      <c r="E468">
        <v>21247650</v>
      </c>
      <c r="F468" s="2">
        <v>3154062</v>
      </c>
      <c r="G468" s="2">
        <v>315806</v>
      </c>
      <c r="H468">
        <v>30</v>
      </c>
      <c r="I468" s="1">
        <v>42521</v>
      </c>
      <c r="J468" t="s">
        <v>4</v>
      </c>
      <c r="K468">
        <f>COUNTIFS(GESTIONES!$A:$A, BASE_CUENTAS!$A468, GESTIONES!$B:$B, BASE_CUENTAS!$C468)</f>
        <v>3</v>
      </c>
      <c r="L468">
        <f>COUNTIFS(GESTIONES!$A:$A, BASE_CUENTAS!$A468,GESTIONES!$B:$B, BASE_CUENTAS!$C468,GESTIONES!$E:$E, "S")</f>
        <v>1</v>
      </c>
      <c r="M468">
        <f>COUNTIFS(GESTIONES!$A:$A, BASE_CUENTAS!$A468,GESTIONES!$B:$B, BASE_CUENTAS!$C468,GESTIONES!$E:$E, "N")</f>
        <v>2</v>
      </c>
      <c r="N468">
        <f>COUNTIFS(GESTIONES!$A:$A, BASE_CUENTAS!$A468,GESTIONES!$B:$B, BASE_CUENTAS!$C468,GESTIONES!$D:$D, "SMS")</f>
        <v>1</v>
      </c>
      <c r="O468">
        <f>SUMIFS(PAGOS!$D:$D,PAGOS!$A:$A, BASE_CUENTAS!$A468,PAGOS!$B:$B, BASE_CUENTAS!$C468)</f>
        <v>0</v>
      </c>
      <c r="P468" t="str">
        <f>IF(
VLOOKUP($C468,BASE_CIERRE_MES!$C:$G,5,FALSE)=0,
"Normalización",
IF(
VLOOKUP($C468,BASE_CIERRE_MES!$C:$G,5,FALSE)&lt;$H468,
"Recuperación",
IF(
VLOOKUP($C468,BASE_CIERRE_MES!$C:$G,5,FALSE)=$H468,
"Contención",
"Rodamiento"
)))</f>
        <v>Rodamiento</v>
      </c>
      <c r="Q468">
        <f t="shared" si="7"/>
        <v>0</v>
      </c>
    </row>
    <row r="469" spans="1:17" x14ac:dyDescent="0.25">
      <c r="A469">
        <v>8292560</v>
      </c>
      <c r="B469" t="s">
        <v>17</v>
      </c>
      <c r="C469">
        <v>21245444</v>
      </c>
      <c r="D469" t="s">
        <v>9</v>
      </c>
      <c r="E469">
        <v>6729347</v>
      </c>
      <c r="F469" s="2">
        <v>4872698</v>
      </c>
      <c r="G469" s="2">
        <v>1547189</v>
      </c>
      <c r="H469">
        <v>196</v>
      </c>
      <c r="I469" s="1">
        <v>42453</v>
      </c>
      <c r="J469" t="s">
        <v>5</v>
      </c>
      <c r="K469">
        <f>COUNTIFS(GESTIONES!$A:$A, BASE_CUENTAS!$A469, GESTIONES!$B:$B, BASE_CUENTAS!$C469)</f>
        <v>3</v>
      </c>
      <c r="L469">
        <f>COUNTIFS(GESTIONES!$A:$A, BASE_CUENTAS!$A469,GESTIONES!$B:$B, BASE_CUENTAS!$C469,GESTIONES!$E:$E, "S")</f>
        <v>1</v>
      </c>
      <c r="M469">
        <f>COUNTIFS(GESTIONES!$A:$A, BASE_CUENTAS!$A469,GESTIONES!$B:$B, BASE_CUENTAS!$C469,GESTIONES!$E:$E, "N")</f>
        <v>2</v>
      </c>
      <c r="N469">
        <f>COUNTIFS(GESTIONES!$A:$A, BASE_CUENTAS!$A469,GESTIONES!$B:$B, BASE_CUENTAS!$C469,GESTIONES!$D:$D, "SMS")</f>
        <v>1</v>
      </c>
      <c r="O469">
        <f>SUMIFS(PAGOS!$D:$D,PAGOS!$A:$A, BASE_CUENTAS!$A469,PAGOS!$B:$B, BASE_CUENTAS!$C469)</f>
        <v>1547189</v>
      </c>
      <c r="P469" t="str">
        <f>IF(
VLOOKUP($C469,BASE_CIERRE_MES!$C:$G,5,FALSE)=0,
"Normalización",
IF(
VLOOKUP($C469,BASE_CIERRE_MES!$C:$G,5,FALSE)&lt;$H469,
"Recuperación",
IF(
VLOOKUP($C469,BASE_CIERRE_MES!$C:$G,5,FALSE)=$H469,
"Contención",
"Rodamiento"
)))</f>
        <v>Normalización</v>
      </c>
      <c r="Q469">
        <f t="shared" si="7"/>
        <v>0.31752203809881097</v>
      </c>
    </row>
    <row r="470" spans="1:17" x14ac:dyDescent="0.25">
      <c r="A470">
        <v>8292560</v>
      </c>
      <c r="B470" t="s">
        <v>17</v>
      </c>
      <c r="C470">
        <v>24257181</v>
      </c>
      <c r="D470" t="s">
        <v>7</v>
      </c>
      <c r="E470">
        <v>6729347</v>
      </c>
      <c r="F470" s="2">
        <v>1856649</v>
      </c>
      <c r="G470" s="2">
        <v>1856649</v>
      </c>
      <c r="H470">
        <v>330</v>
      </c>
      <c r="I470" s="1">
        <v>42451</v>
      </c>
      <c r="J470" t="s">
        <v>5</v>
      </c>
      <c r="K470">
        <f>COUNTIFS(GESTIONES!$A:$A, BASE_CUENTAS!$A470, GESTIONES!$B:$B, BASE_CUENTAS!$C470)</f>
        <v>3</v>
      </c>
      <c r="L470">
        <f>COUNTIFS(GESTIONES!$A:$A, BASE_CUENTAS!$A470,GESTIONES!$B:$B, BASE_CUENTAS!$C470,GESTIONES!$E:$E, "S")</f>
        <v>1</v>
      </c>
      <c r="M470">
        <f>COUNTIFS(GESTIONES!$A:$A, BASE_CUENTAS!$A470,GESTIONES!$B:$B, BASE_CUENTAS!$C470,GESTIONES!$E:$E, "N")</f>
        <v>2</v>
      </c>
      <c r="N470">
        <f>COUNTIFS(GESTIONES!$A:$A, BASE_CUENTAS!$A470,GESTIONES!$B:$B, BASE_CUENTAS!$C470,GESTIONES!$D:$D, "SMS")</f>
        <v>0</v>
      </c>
      <c r="O470">
        <f>SUMIFS(PAGOS!$D:$D,PAGOS!$A:$A, BASE_CUENTAS!$A470,PAGOS!$B:$B, BASE_CUENTAS!$C470)</f>
        <v>928324</v>
      </c>
      <c r="P470" t="str">
        <f>IF(
VLOOKUP($C470,BASE_CIERRE_MES!$C:$G,5,FALSE)=0,
"Normalización",
IF(
VLOOKUP($C470,BASE_CIERRE_MES!$C:$G,5,FALSE)&lt;$H470,
"Recuperación",
IF(
VLOOKUP($C470,BASE_CIERRE_MES!$C:$G,5,FALSE)=$H470,
"Contención",
"Rodamiento"
)))</f>
        <v>Recuperación</v>
      </c>
      <c r="Q470">
        <f t="shared" si="7"/>
        <v>0.49999973069761705</v>
      </c>
    </row>
    <row r="471" spans="1:17" x14ac:dyDescent="0.25">
      <c r="A471">
        <v>8292688</v>
      </c>
      <c r="B471" t="s">
        <v>18</v>
      </c>
      <c r="C471">
        <v>21904033</v>
      </c>
      <c r="D471" t="s">
        <v>7</v>
      </c>
      <c r="E471">
        <v>1077156</v>
      </c>
      <c r="F471" s="2">
        <v>1077156</v>
      </c>
      <c r="G471" s="2">
        <v>53698</v>
      </c>
      <c r="H471">
        <v>30</v>
      </c>
      <c r="I471" s="1">
        <v>42521</v>
      </c>
      <c r="J471" t="s">
        <v>4</v>
      </c>
      <c r="K471">
        <f>COUNTIFS(GESTIONES!$A:$A, BASE_CUENTAS!$A471, GESTIONES!$B:$B, BASE_CUENTAS!$C471)</f>
        <v>3</v>
      </c>
      <c r="L471">
        <f>COUNTIFS(GESTIONES!$A:$A, BASE_CUENTAS!$A471,GESTIONES!$B:$B, BASE_CUENTAS!$C471,GESTIONES!$E:$E, "S")</f>
        <v>1</v>
      </c>
      <c r="M471">
        <f>COUNTIFS(GESTIONES!$A:$A, BASE_CUENTAS!$A471,GESTIONES!$B:$B, BASE_CUENTAS!$C471,GESTIONES!$E:$E, "N")</f>
        <v>2</v>
      </c>
      <c r="N471">
        <f>COUNTIFS(GESTIONES!$A:$A, BASE_CUENTAS!$A471,GESTIONES!$B:$B, BASE_CUENTAS!$C471,GESTIONES!$D:$D, "SMS")</f>
        <v>0</v>
      </c>
      <c r="O471">
        <f>SUMIFS(PAGOS!$D:$D,PAGOS!$A:$A, BASE_CUENTAS!$A471,PAGOS!$B:$B, BASE_CUENTAS!$C471)</f>
        <v>0</v>
      </c>
      <c r="P471" t="str">
        <f>IF(
VLOOKUP($C471,BASE_CIERRE_MES!$C:$G,5,FALSE)=0,
"Normalización",
IF(
VLOOKUP($C471,BASE_CIERRE_MES!$C:$G,5,FALSE)&lt;$H471,
"Recuperación",
IF(
VLOOKUP($C471,BASE_CIERRE_MES!$C:$G,5,FALSE)=$H471,
"Contención",
"Rodamiento"
)))</f>
        <v>Rodamiento</v>
      </c>
      <c r="Q471">
        <f t="shared" si="7"/>
        <v>0</v>
      </c>
    </row>
    <row r="472" spans="1:17" x14ac:dyDescent="0.25">
      <c r="A472">
        <v>8292689</v>
      </c>
      <c r="B472" t="s">
        <v>18</v>
      </c>
      <c r="C472">
        <v>27077359</v>
      </c>
      <c r="D472" t="s">
        <v>7</v>
      </c>
      <c r="E472">
        <v>557345</v>
      </c>
      <c r="F472" s="2">
        <v>557345</v>
      </c>
      <c r="G472" s="2">
        <v>85300</v>
      </c>
      <c r="H472">
        <v>30</v>
      </c>
      <c r="I472" s="1">
        <v>42521</v>
      </c>
      <c r="J472" t="s">
        <v>4</v>
      </c>
      <c r="K472">
        <f>COUNTIFS(GESTIONES!$A:$A, BASE_CUENTAS!$A472, GESTIONES!$B:$B, BASE_CUENTAS!$C472)</f>
        <v>3</v>
      </c>
      <c r="L472">
        <f>COUNTIFS(GESTIONES!$A:$A, BASE_CUENTAS!$A472,GESTIONES!$B:$B, BASE_CUENTAS!$C472,GESTIONES!$E:$E, "S")</f>
        <v>0</v>
      </c>
      <c r="M472">
        <f>COUNTIFS(GESTIONES!$A:$A, BASE_CUENTAS!$A472,GESTIONES!$B:$B, BASE_CUENTAS!$C472,GESTIONES!$E:$E, "N")</f>
        <v>3</v>
      </c>
      <c r="N472">
        <f>COUNTIFS(GESTIONES!$A:$A, BASE_CUENTAS!$A472,GESTIONES!$B:$B, BASE_CUENTAS!$C472,GESTIONES!$D:$D, "SMS")</f>
        <v>2</v>
      </c>
      <c r="O472">
        <f>SUMIFS(PAGOS!$D:$D,PAGOS!$A:$A, BASE_CUENTAS!$A472,PAGOS!$B:$B, BASE_CUENTAS!$C472)</f>
        <v>0</v>
      </c>
      <c r="P472" t="str">
        <f>IF(
VLOOKUP($C472,BASE_CIERRE_MES!$C:$G,5,FALSE)=0,
"Normalización",
IF(
VLOOKUP($C472,BASE_CIERRE_MES!$C:$G,5,FALSE)&lt;$H472,
"Recuperación",
IF(
VLOOKUP($C472,BASE_CIERRE_MES!$C:$G,5,FALSE)=$H472,
"Contención",
"Rodamiento"
)))</f>
        <v>Rodamiento</v>
      </c>
      <c r="Q472">
        <f t="shared" si="7"/>
        <v>0</v>
      </c>
    </row>
    <row r="473" spans="1:17" x14ac:dyDescent="0.25">
      <c r="A473">
        <v>8292740</v>
      </c>
      <c r="B473" t="s">
        <v>17</v>
      </c>
      <c r="C473">
        <v>25350877</v>
      </c>
      <c r="D473" t="s">
        <v>7</v>
      </c>
      <c r="E473">
        <v>5983415</v>
      </c>
      <c r="F473" s="2">
        <v>55652</v>
      </c>
      <c r="G473" s="2">
        <v>36487</v>
      </c>
      <c r="H473">
        <v>30</v>
      </c>
      <c r="I473" s="1">
        <v>42508</v>
      </c>
      <c r="J473" t="s">
        <v>6</v>
      </c>
      <c r="K473">
        <f>COUNTIFS(GESTIONES!$A:$A, BASE_CUENTAS!$A473, GESTIONES!$B:$B, BASE_CUENTAS!$C473)</f>
        <v>3</v>
      </c>
      <c r="L473">
        <f>COUNTIFS(GESTIONES!$A:$A, BASE_CUENTAS!$A473,GESTIONES!$B:$B, BASE_CUENTAS!$C473,GESTIONES!$E:$E, "S")</f>
        <v>1</v>
      </c>
      <c r="M473">
        <f>COUNTIFS(GESTIONES!$A:$A, BASE_CUENTAS!$A473,GESTIONES!$B:$B, BASE_CUENTAS!$C473,GESTIONES!$E:$E, "N")</f>
        <v>2</v>
      </c>
      <c r="N473">
        <f>COUNTIFS(GESTIONES!$A:$A, BASE_CUENTAS!$A473,GESTIONES!$B:$B, BASE_CUENTAS!$C473,GESTIONES!$D:$D, "SMS")</f>
        <v>1</v>
      </c>
      <c r="O473">
        <f>SUMIFS(PAGOS!$D:$D,PAGOS!$A:$A, BASE_CUENTAS!$A473,PAGOS!$B:$B, BASE_CUENTAS!$C473)</f>
        <v>0</v>
      </c>
      <c r="P473" t="str">
        <f>IF(
VLOOKUP($C473,BASE_CIERRE_MES!$C:$G,5,FALSE)=0,
"Normalización",
IF(
VLOOKUP($C473,BASE_CIERRE_MES!$C:$G,5,FALSE)&lt;$H473,
"Recuperación",
IF(
VLOOKUP($C473,BASE_CIERRE_MES!$C:$G,5,FALSE)=$H473,
"Contención",
"Rodamiento"
)))</f>
        <v>Rodamiento</v>
      </c>
      <c r="Q473">
        <f t="shared" si="7"/>
        <v>0</v>
      </c>
    </row>
    <row r="474" spans="1:17" x14ac:dyDescent="0.25">
      <c r="A474">
        <v>8292842</v>
      </c>
      <c r="B474" t="s">
        <v>18</v>
      </c>
      <c r="C474">
        <v>17344821</v>
      </c>
      <c r="D474" t="s">
        <v>7</v>
      </c>
      <c r="E474">
        <v>1192556</v>
      </c>
      <c r="F474" s="2">
        <v>1192556</v>
      </c>
      <c r="G474" s="2">
        <v>1192556</v>
      </c>
      <c r="H474">
        <v>240</v>
      </c>
      <c r="I474" s="1">
        <v>42487</v>
      </c>
      <c r="J474" t="s">
        <v>5</v>
      </c>
      <c r="K474">
        <f>COUNTIFS(GESTIONES!$A:$A, BASE_CUENTAS!$A474, GESTIONES!$B:$B, BASE_CUENTAS!$C474)</f>
        <v>3</v>
      </c>
      <c r="L474">
        <f>COUNTIFS(GESTIONES!$A:$A, BASE_CUENTAS!$A474,GESTIONES!$B:$B, BASE_CUENTAS!$C474,GESTIONES!$E:$E, "S")</f>
        <v>1</v>
      </c>
      <c r="M474">
        <f>COUNTIFS(GESTIONES!$A:$A, BASE_CUENTAS!$A474,GESTIONES!$B:$B, BASE_CUENTAS!$C474,GESTIONES!$E:$E, "N")</f>
        <v>2</v>
      </c>
      <c r="N474">
        <f>COUNTIFS(GESTIONES!$A:$A, BASE_CUENTAS!$A474,GESTIONES!$B:$B, BASE_CUENTAS!$C474,GESTIONES!$D:$D, "SMS")</f>
        <v>1</v>
      </c>
      <c r="O474">
        <f>SUMIFS(PAGOS!$D:$D,PAGOS!$A:$A, BASE_CUENTAS!$A474,PAGOS!$B:$B, BASE_CUENTAS!$C474)</f>
        <v>397518</v>
      </c>
      <c r="P474" t="str">
        <f>IF(
VLOOKUP($C474,BASE_CIERRE_MES!$C:$G,5,FALSE)=0,
"Normalización",
IF(
VLOOKUP($C474,BASE_CIERRE_MES!$C:$G,5,FALSE)&lt;$H474,
"Recuperación",
IF(
VLOOKUP($C474,BASE_CIERRE_MES!$C:$G,5,FALSE)=$H474,
"Contención",
"Rodamiento"
)))</f>
        <v>Contención</v>
      </c>
      <c r="Q474">
        <f t="shared" si="7"/>
        <v>0.33333277430996949</v>
      </c>
    </row>
    <row r="475" spans="1:17" x14ac:dyDescent="0.25">
      <c r="A475">
        <v>8292855</v>
      </c>
      <c r="B475" t="s">
        <v>18</v>
      </c>
      <c r="C475">
        <v>16975449</v>
      </c>
      <c r="D475" t="s">
        <v>7</v>
      </c>
      <c r="E475">
        <v>284236</v>
      </c>
      <c r="F475" s="2">
        <v>284236</v>
      </c>
      <c r="G475" s="2">
        <v>48827</v>
      </c>
      <c r="H475">
        <v>30</v>
      </c>
      <c r="I475" s="1">
        <v>42508</v>
      </c>
      <c r="J475" t="s">
        <v>6</v>
      </c>
      <c r="K475">
        <f>COUNTIFS(GESTIONES!$A:$A, BASE_CUENTAS!$A475, GESTIONES!$B:$B, BASE_CUENTAS!$C475)</f>
        <v>3</v>
      </c>
      <c r="L475">
        <f>COUNTIFS(GESTIONES!$A:$A, BASE_CUENTAS!$A475,GESTIONES!$B:$B, BASE_CUENTAS!$C475,GESTIONES!$E:$E, "S")</f>
        <v>1</v>
      </c>
      <c r="M475">
        <f>COUNTIFS(GESTIONES!$A:$A, BASE_CUENTAS!$A475,GESTIONES!$B:$B, BASE_CUENTAS!$C475,GESTIONES!$E:$E, "N")</f>
        <v>2</v>
      </c>
      <c r="N475">
        <f>COUNTIFS(GESTIONES!$A:$A, BASE_CUENTAS!$A475,GESTIONES!$B:$B, BASE_CUENTAS!$C475,GESTIONES!$D:$D, "SMS")</f>
        <v>0</v>
      </c>
      <c r="O475">
        <f>SUMIFS(PAGOS!$D:$D,PAGOS!$A:$A, BASE_CUENTAS!$A475,PAGOS!$B:$B, BASE_CUENTAS!$C475)</f>
        <v>0</v>
      </c>
      <c r="P475" t="str">
        <f>IF(
VLOOKUP($C475,BASE_CIERRE_MES!$C:$G,5,FALSE)=0,
"Normalización",
IF(
VLOOKUP($C475,BASE_CIERRE_MES!$C:$G,5,FALSE)&lt;$H475,
"Recuperación",
IF(
VLOOKUP($C475,BASE_CIERRE_MES!$C:$G,5,FALSE)=$H475,
"Contención",
"Rodamiento"
)))</f>
        <v>Rodamiento</v>
      </c>
      <c r="Q475">
        <f t="shared" si="7"/>
        <v>0</v>
      </c>
    </row>
    <row r="476" spans="1:17" x14ac:dyDescent="0.25">
      <c r="A476">
        <v>8292862</v>
      </c>
      <c r="B476" t="s">
        <v>18</v>
      </c>
      <c r="C476">
        <v>19916764</v>
      </c>
      <c r="D476" t="s">
        <v>7</v>
      </c>
      <c r="E476">
        <v>36122</v>
      </c>
      <c r="F476" s="2">
        <v>36122</v>
      </c>
      <c r="G476" s="2">
        <v>18404</v>
      </c>
      <c r="H476">
        <v>30</v>
      </c>
      <c r="I476" s="1">
        <v>42521</v>
      </c>
      <c r="J476" t="s">
        <v>4</v>
      </c>
      <c r="K476">
        <f>COUNTIFS(GESTIONES!$A:$A, BASE_CUENTAS!$A476, GESTIONES!$B:$B, BASE_CUENTAS!$C476)</f>
        <v>3</v>
      </c>
      <c r="L476">
        <f>COUNTIFS(GESTIONES!$A:$A, BASE_CUENTAS!$A476,GESTIONES!$B:$B, BASE_CUENTAS!$C476,GESTIONES!$E:$E, "S")</f>
        <v>1</v>
      </c>
      <c r="M476">
        <f>COUNTIFS(GESTIONES!$A:$A, BASE_CUENTAS!$A476,GESTIONES!$B:$B, BASE_CUENTAS!$C476,GESTIONES!$E:$E, "N")</f>
        <v>2</v>
      </c>
      <c r="N476">
        <f>COUNTIFS(GESTIONES!$A:$A, BASE_CUENTAS!$A476,GESTIONES!$B:$B, BASE_CUENTAS!$C476,GESTIONES!$D:$D, "SMS")</f>
        <v>0</v>
      </c>
      <c r="O476">
        <f>SUMIFS(PAGOS!$D:$D,PAGOS!$A:$A, BASE_CUENTAS!$A476,PAGOS!$B:$B, BASE_CUENTAS!$C476)</f>
        <v>6135</v>
      </c>
      <c r="P476" t="str">
        <f>IF(
VLOOKUP($C476,BASE_CIERRE_MES!$C:$G,5,FALSE)=0,
"Normalización",
IF(
VLOOKUP($C476,BASE_CIERRE_MES!$C:$G,5,FALSE)&lt;$H476,
"Recuperación",
IF(
VLOOKUP($C476,BASE_CIERRE_MES!$C:$G,5,FALSE)=$H476,
"Contención",
"Rodamiento"
)))</f>
        <v>Contención</v>
      </c>
      <c r="Q476">
        <f t="shared" si="7"/>
        <v>0.16984109407009579</v>
      </c>
    </row>
    <row r="477" spans="1:17" x14ac:dyDescent="0.25">
      <c r="A477">
        <v>8292896</v>
      </c>
      <c r="B477" t="s">
        <v>18</v>
      </c>
      <c r="C477">
        <v>26273017</v>
      </c>
      <c r="D477" t="s">
        <v>7</v>
      </c>
      <c r="E477">
        <v>352258</v>
      </c>
      <c r="F477" s="2">
        <v>352258</v>
      </c>
      <c r="G477" s="2">
        <v>58441</v>
      </c>
      <c r="H477">
        <v>30</v>
      </c>
      <c r="I477" s="1">
        <v>42509</v>
      </c>
      <c r="J477" t="s">
        <v>6</v>
      </c>
      <c r="K477">
        <f>COUNTIFS(GESTIONES!$A:$A, BASE_CUENTAS!$A477, GESTIONES!$B:$B, BASE_CUENTAS!$C477)</f>
        <v>3</v>
      </c>
      <c r="L477">
        <f>COUNTIFS(GESTIONES!$A:$A, BASE_CUENTAS!$A477,GESTIONES!$B:$B, BASE_CUENTAS!$C477,GESTIONES!$E:$E, "S")</f>
        <v>0</v>
      </c>
      <c r="M477">
        <f>COUNTIFS(GESTIONES!$A:$A, BASE_CUENTAS!$A477,GESTIONES!$B:$B, BASE_CUENTAS!$C477,GESTIONES!$E:$E, "N")</f>
        <v>3</v>
      </c>
      <c r="N477">
        <f>COUNTIFS(GESTIONES!$A:$A, BASE_CUENTAS!$A477,GESTIONES!$B:$B, BASE_CUENTAS!$C477,GESTIONES!$D:$D, "SMS")</f>
        <v>2</v>
      </c>
      <c r="O477">
        <f>SUMIFS(PAGOS!$D:$D,PAGOS!$A:$A, BASE_CUENTAS!$A477,PAGOS!$B:$B, BASE_CUENTAS!$C477)</f>
        <v>58441</v>
      </c>
      <c r="P477" t="str">
        <f>IF(
VLOOKUP($C477,BASE_CIERRE_MES!$C:$G,5,FALSE)=0,
"Normalización",
IF(
VLOOKUP($C477,BASE_CIERRE_MES!$C:$G,5,FALSE)&lt;$H477,
"Recuperación",
IF(
VLOOKUP($C477,BASE_CIERRE_MES!$C:$G,5,FALSE)=$H477,
"Contención",
"Rodamiento"
)))</f>
        <v>Normalización</v>
      </c>
      <c r="Q477">
        <f t="shared" si="7"/>
        <v>0.16590396811427988</v>
      </c>
    </row>
    <row r="478" spans="1:17" x14ac:dyDescent="0.25">
      <c r="A478">
        <v>8292902</v>
      </c>
      <c r="B478" t="s">
        <v>18</v>
      </c>
      <c r="C478">
        <v>27040978</v>
      </c>
      <c r="D478" t="s">
        <v>7</v>
      </c>
      <c r="E478">
        <v>2265088</v>
      </c>
      <c r="F478" s="2">
        <v>2265088</v>
      </c>
      <c r="G478" s="2">
        <v>76736</v>
      </c>
      <c r="H478">
        <v>30</v>
      </c>
      <c r="I478" s="1">
        <v>42521</v>
      </c>
      <c r="J478" t="s">
        <v>4</v>
      </c>
      <c r="K478">
        <f>COUNTIFS(GESTIONES!$A:$A, BASE_CUENTAS!$A478, GESTIONES!$B:$B, BASE_CUENTAS!$C478)</f>
        <v>3</v>
      </c>
      <c r="L478">
        <f>COUNTIFS(GESTIONES!$A:$A, BASE_CUENTAS!$A478,GESTIONES!$B:$B, BASE_CUENTAS!$C478,GESTIONES!$E:$E, "S")</f>
        <v>1</v>
      </c>
      <c r="M478">
        <f>COUNTIFS(GESTIONES!$A:$A, BASE_CUENTAS!$A478,GESTIONES!$B:$B, BASE_CUENTAS!$C478,GESTIONES!$E:$E, "N")</f>
        <v>2</v>
      </c>
      <c r="N478">
        <f>COUNTIFS(GESTIONES!$A:$A, BASE_CUENTAS!$A478,GESTIONES!$B:$B, BASE_CUENTAS!$C478,GESTIONES!$D:$D, "SMS")</f>
        <v>1</v>
      </c>
      <c r="O478">
        <f>SUMIFS(PAGOS!$D:$D,PAGOS!$A:$A, BASE_CUENTAS!$A478,PAGOS!$B:$B, BASE_CUENTAS!$C478)</f>
        <v>76736</v>
      </c>
      <c r="P478" t="str">
        <f>IF(
VLOOKUP($C478,BASE_CIERRE_MES!$C:$G,5,FALSE)=0,
"Normalización",
IF(
VLOOKUP($C478,BASE_CIERRE_MES!$C:$G,5,FALSE)&lt;$H478,
"Recuperación",
IF(
VLOOKUP($C478,BASE_CIERRE_MES!$C:$G,5,FALSE)=$H478,
"Contención",
"Rodamiento"
)))</f>
        <v>Normalización</v>
      </c>
      <c r="Q478">
        <f t="shared" si="7"/>
        <v>3.3877712477396023E-2</v>
      </c>
    </row>
    <row r="479" spans="1:17" x14ac:dyDescent="0.25">
      <c r="A479">
        <v>8292978</v>
      </c>
      <c r="B479" t="s">
        <v>17</v>
      </c>
      <c r="C479">
        <v>26491653</v>
      </c>
      <c r="D479" t="s">
        <v>7</v>
      </c>
      <c r="E479">
        <v>6200898</v>
      </c>
      <c r="F479" s="2">
        <v>979672</v>
      </c>
      <c r="G479" s="2">
        <v>212696</v>
      </c>
      <c r="H479">
        <v>30</v>
      </c>
      <c r="I479" s="1">
        <v>42521</v>
      </c>
      <c r="J479" t="s">
        <v>4</v>
      </c>
      <c r="K479">
        <f>COUNTIFS(GESTIONES!$A:$A, BASE_CUENTAS!$A479, GESTIONES!$B:$B, BASE_CUENTAS!$C479)</f>
        <v>3</v>
      </c>
      <c r="L479">
        <f>COUNTIFS(GESTIONES!$A:$A, BASE_CUENTAS!$A479,GESTIONES!$B:$B, BASE_CUENTAS!$C479,GESTIONES!$E:$E, "S")</f>
        <v>1</v>
      </c>
      <c r="M479">
        <f>COUNTIFS(GESTIONES!$A:$A, BASE_CUENTAS!$A479,GESTIONES!$B:$B, BASE_CUENTAS!$C479,GESTIONES!$E:$E, "N")</f>
        <v>2</v>
      </c>
      <c r="N479">
        <f>COUNTIFS(GESTIONES!$A:$A, BASE_CUENTAS!$A479,GESTIONES!$B:$B, BASE_CUENTAS!$C479,GESTIONES!$D:$D, "SMS")</f>
        <v>1</v>
      </c>
      <c r="O479">
        <f>SUMIFS(PAGOS!$D:$D,PAGOS!$A:$A, BASE_CUENTAS!$A479,PAGOS!$B:$B, BASE_CUENTAS!$C479)</f>
        <v>0</v>
      </c>
      <c r="P479" t="str">
        <f>IF(
VLOOKUP($C479,BASE_CIERRE_MES!$C:$G,5,FALSE)=0,
"Normalización",
IF(
VLOOKUP($C479,BASE_CIERRE_MES!$C:$G,5,FALSE)&lt;$H479,
"Recuperación",
IF(
VLOOKUP($C479,BASE_CIERRE_MES!$C:$G,5,FALSE)=$H479,
"Contención",
"Rodamiento"
)))</f>
        <v>Rodamiento</v>
      </c>
      <c r="Q479">
        <f t="shared" si="7"/>
        <v>0</v>
      </c>
    </row>
    <row r="480" spans="1:17" x14ac:dyDescent="0.25">
      <c r="A480">
        <v>8293153</v>
      </c>
      <c r="B480" t="s">
        <v>17</v>
      </c>
      <c r="C480">
        <v>28586833</v>
      </c>
      <c r="D480" t="s">
        <v>7</v>
      </c>
      <c r="E480">
        <v>5381364</v>
      </c>
      <c r="F480" s="2">
        <v>3775366</v>
      </c>
      <c r="G480" s="2">
        <v>283258</v>
      </c>
      <c r="H480">
        <v>30</v>
      </c>
      <c r="I480" s="1">
        <v>42524</v>
      </c>
      <c r="J480" t="s">
        <v>6</v>
      </c>
      <c r="K480">
        <f>COUNTIFS(GESTIONES!$A:$A, BASE_CUENTAS!$A480, GESTIONES!$B:$B, BASE_CUENTAS!$C480)</f>
        <v>3</v>
      </c>
      <c r="L480">
        <f>COUNTIFS(GESTIONES!$A:$A, BASE_CUENTAS!$A480,GESTIONES!$B:$B, BASE_CUENTAS!$C480,GESTIONES!$E:$E, "S")</f>
        <v>1</v>
      </c>
      <c r="M480">
        <f>COUNTIFS(GESTIONES!$A:$A, BASE_CUENTAS!$A480,GESTIONES!$B:$B, BASE_CUENTAS!$C480,GESTIONES!$E:$E, "N")</f>
        <v>2</v>
      </c>
      <c r="N480">
        <f>COUNTIFS(GESTIONES!$A:$A, BASE_CUENTAS!$A480,GESTIONES!$B:$B, BASE_CUENTAS!$C480,GESTIONES!$D:$D, "SMS")</f>
        <v>0</v>
      </c>
      <c r="O480">
        <f>SUMIFS(PAGOS!$D:$D,PAGOS!$A:$A, BASE_CUENTAS!$A480,PAGOS!$B:$B, BASE_CUENTAS!$C480)</f>
        <v>283258</v>
      </c>
      <c r="P480" t="str">
        <f>IF(
VLOOKUP($C480,BASE_CIERRE_MES!$C:$G,5,FALSE)=0,
"Normalización",
IF(
VLOOKUP($C480,BASE_CIERRE_MES!$C:$G,5,FALSE)&lt;$H480,
"Recuperación",
IF(
VLOOKUP($C480,BASE_CIERRE_MES!$C:$G,5,FALSE)=$H480,
"Contención",
"Rodamiento"
)))</f>
        <v>Normalización</v>
      </c>
      <c r="Q480">
        <f t="shared" si="7"/>
        <v>7.5027957554313934E-2</v>
      </c>
    </row>
    <row r="481" spans="1:17" x14ac:dyDescent="0.25">
      <c r="A481">
        <v>8293228</v>
      </c>
      <c r="B481" t="s">
        <v>16</v>
      </c>
      <c r="C481">
        <v>21674961</v>
      </c>
      <c r="D481" t="s">
        <v>7</v>
      </c>
      <c r="E481">
        <v>25702937</v>
      </c>
      <c r="F481" s="2">
        <v>7077781</v>
      </c>
      <c r="G481" s="2">
        <v>655866</v>
      </c>
      <c r="H481">
        <v>30</v>
      </c>
      <c r="I481" s="1">
        <v>42509</v>
      </c>
      <c r="J481" t="s">
        <v>6</v>
      </c>
      <c r="K481">
        <f>COUNTIFS(GESTIONES!$A:$A, BASE_CUENTAS!$A481, GESTIONES!$B:$B, BASE_CUENTAS!$C481)</f>
        <v>3</v>
      </c>
      <c r="L481">
        <f>COUNTIFS(GESTIONES!$A:$A, BASE_CUENTAS!$A481,GESTIONES!$B:$B, BASE_CUENTAS!$C481,GESTIONES!$E:$E, "S")</f>
        <v>2</v>
      </c>
      <c r="M481">
        <f>COUNTIFS(GESTIONES!$A:$A, BASE_CUENTAS!$A481,GESTIONES!$B:$B, BASE_CUENTAS!$C481,GESTIONES!$E:$E, "N")</f>
        <v>1</v>
      </c>
      <c r="N481">
        <f>COUNTIFS(GESTIONES!$A:$A, BASE_CUENTAS!$A481,GESTIONES!$B:$B, BASE_CUENTAS!$C481,GESTIONES!$D:$D, "SMS")</f>
        <v>0</v>
      </c>
      <c r="O481">
        <f>SUMIFS(PAGOS!$D:$D,PAGOS!$A:$A, BASE_CUENTAS!$A481,PAGOS!$B:$B, BASE_CUENTAS!$C481)</f>
        <v>327933</v>
      </c>
      <c r="P481" t="str">
        <f>IF(
VLOOKUP($C481,BASE_CIERRE_MES!$C:$G,5,FALSE)=0,
"Normalización",
IF(
VLOOKUP($C481,BASE_CIERRE_MES!$C:$G,5,FALSE)&lt;$H481,
"Recuperación",
IF(
VLOOKUP($C481,BASE_CIERRE_MES!$C:$G,5,FALSE)=$H481,
"Contención",
"Rodamiento"
)))</f>
        <v>Recuperación</v>
      </c>
      <c r="Q481">
        <f t="shared" si="7"/>
        <v>4.6332741857935421E-2</v>
      </c>
    </row>
    <row r="482" spans="1:17" x14ac:dyDescent="0.25">
      <c r="A482">
        <v>8293228</v>
      </c>
      <c r="B482" t="s">
        <v>16</v>
      </c>
      <c r="C482">
        <v>25179756</v>
      </c>
      <c r="D482" t="s">
        <v>7</v>
      </c>
      <c r="E482">
        <v>25702937</v>
      </c>
      <c r="F482" s="2">
        <v>2552181</v>
      </c>
      <c r="G482" s="2">
        <v>39411</v>
      </c>
      <c r="H482">
        <v>30</v>
      </c>
      <c r="I482" s="1">
        <v>42508</v>
      </c>
      <c r="J482" t="s">
        <v>6</v>
      </c>
      <c r="K482">
        <f>COUNTIFS(GESTIONES!$A:$A, BASE_CUENTAS!$A482, GESTIONES!$B:$B, BASE_CUENTAS!$C482)</f>
        <v>3</v>
      </c>
      <c r="L482">
        <f>COUNTIFS(GESTIONES!$A:$A, BASE_CUENTAS!$A482,GESTIONES!$B:$B, BASE_CUENTAS!$C482,GESTIONES!$E:$E, "S")</f>
        <v>1</v>
      </c>
      <c r="M482">
        <f>COUNTIFS(GESTIONES!$A:$A, BASE_CUENTAS!$A482,GESTIONES!$B:$B, BASE_CUENTAS!$C482,GESTIONES!$E:$E, "N")</f>
        <v>2</v>
      </c>
      <c r="N482">
        <f>COUNTIFS(GESTIONES!$A:$A, BASE_CUENTAS!$A482,GESTIONES!$B:$B, BASE_CUENTAS!$C482,GESTIONES!$D:$D, "SMS")</f>
        <v>1</v>
      </c>
      <c r="O482">
        <f>SUMIFS(PAGOS!$D:$D,PAGOS!$A:$A, BASE_CUENTAS!$A482,PAGOS!$B:$B, BASE_CUENTAS!$C482)</f>
        <v>39411</v>
      </c>
      <c r="P482" t="str">
        <f>IF(
VLOOKUP($C482,BASE_CIERRE_MES!$C:$G,5,FALSE)=0,
"Normalización",
IF(
VLOOKUP($C482,BASE_CIERRE_MES!$C:$G,5,FALSE)&lt;$H482,
"Recuperación",
IF(
VLOOKUP($C482,BASE_CIERRE_MES!$C:$G,5,FALSE)=$H482,
"Contención",
"Rodamiento"
)))</f>
        <v>Normalización</v>
      </c>
      <c r="Q482">
        <f t="shared" si="7"/>
        <v>1.5442086591820878E-2</v>
      </c>
    </row>
    <row r="483" spans="1:17" x14ac:dyDescent="0.25">
      <c r="A483">
        <v>8293228</v>
      </c>
      <c r="B483" t="s">
        <v>16</v>
      </c>
      <c r="C483">
        <v>27864553</v>
      </c>
      <c r="D483" t="s">
        <v>13</v>
      </c>
      <c r="E483">
        <v>25702937</v>
      </c>
      <c r="F483" s="2">
        <v>14465317</v>
      </c>
      <c r="G483" s="2">
        <v>577427</v>
      </c>
      <c r="H483">
        <v>16</v>
      </c>
      <c r="I483" s="1">
        <v>42510</v>
      </c>
      <c r="J483" t="s">
        <v>6</v>
      </c>
      <c r="K483">
        <f>COUNTIFS(GESTIONES!$A:$A, BASE_CUENTAS!$A483, GESTIONES!$B:$B, BASE_CUENTAS!$C483)</f>
        <v>3</v>
      </c>
      <c r="L483">
        <f>COUNTIFS(GESTIONES!$A:$A, BASE_CUENTAS!$A483,GESTIONES!$B:$B, BASE_CUENTAS!$C483,GESTIONES!$E:$E, "S")</f>
        <v>0</v>
      </c>
      <c r="M483">
        <f>COUNTIFS(GESTIONES!$A:$A, BASE_CUENTAS!$A483,GESTIONES!$B:$B, BASE_CUENTAS!$C483,GESTIONES!$E:$E, "N")</f>
        <v>3</v>
      </c>
      <c r="N483">
        <f>COUNTIFS(GESTIONES!$A:$A, BASE_CUENTAS!$A483,GESTIONES!$B:$B, BASE_CUENTAS!$C483,GESTIONES!$D:$D, "SMS")</f>
        <v>1</v>
      </c>
      <c r="O483">
        <f>SUMIFS(PAGOS!$D:$D,PAGOS!$A:$A, BASE_CUENTAS!$A483,PAGOS!$B:$B, BASE_CUENTAS!$C483)</f>
        <v>577427</v>
      </c>
      <c r="P483" t="str">
        <f>IF(
VLOOKUP($C483,BASE_CIERRE_MES!$C:$G,5,FALSE)=0,
"Normalización",
IF(
VLOOKUP($C483,BASE_CIERRE_MES!$C:$G,5,FALSE)&lt;$H483,
"Recuperación",
IF(
VLOOKUP($C483,BASE_CIERRE_MES!$C:$G,5,FALSE)=$H483,
"Contención",
"Rodamiento"
)))</f>
        <v>Normalización</v>
      </c>
      <c r="Q483">
        <f t="shared" si="7"/>
        <v>3.9918032905881015E-2</v>
      </c>
    </row>
    <row r="484" spans="1:17" x14ac:dyDescent="0.25">
      <c r="A484">
        <v>8293235</v>
      </c>
      <c r="B484" t="s">
        <v>18</v>
      </c>
      <c r="C484">
        <v>26262840</v>
      </c>
      <c r="D484" t="s">
        <v>7</v>
      </c>
      <c r="E484">
        <v>2880866</v>
      </c>
      <c r="F484" s="2">
        <v>2880866</v>
      </c>
      <c r="G484" s="2">
        <v>373140</v>
      </c>
      <c r="H484">
        <v>60</v>
      </c>
      <c r="I484" s="1">
        <v>42490</v>
      </c>
      <c r="J484" t="s">
        <v>6</v>
      </c>
      <c r="K484">
        <f>COUNTIFS(GESTIONES!$A:$A, BASE_CUENTAS!$A484, GESTIONES!$B:$B, BASE_CUENTAS!$C484)</f>
        <v>3</v>
      </c>
      <c r="L484">
        <f>COUNTIFS(GESTIONES!$A:$A, BASE_CUENTAS!$A484,GESTIONES!$B:$B, BASE_CUENTAS!$C484,GESTIONES!$E:$E, "S")</f>
        <v>1</v>
      </c>
      <c r="M484">
        <f>COUNTIFS(GESTIONES!$A:$A, BASE_CUENTAS!$A484,GESTIONES!$B:$B, BASE_CUENTAS!$C484,GESTIONES!$E:$E, "N")</f>
        <v>2</v>
      </c>
      <c r="N484">
        <f>COUNTIFS(GESTIONES!$A:$A, BASE_CUENTAS!$A484,GESTIONES!$B:$B, BASE_CUENTAS!$C484,GESTIONES!$D:$D, "SMS")</f>
        <v>2</v>
      </c>
      <c r="O484">
        <f>SUMIFS(PAGOS!$D:$D,PAGOS!$A:$A, BASE_CUENTAS!$A484,PAGOS!$B:$B, BASE_CUENTAS!$C484)</f>
        <v>0</v>
      </c>
      <c r="P484" t="str">
        <f>IF(
VLOOKUP($C484,BASE_CIERRE_MES!$C:$G,5,FALSE)=0,
"Normalización",
IF(
VLOOKUP($C484,BASE_CIERRE_MES!$C:$G,5,FALSE)&lt;$H484,
"Recuperación",
IF(
VLOOKUP($C484,BASE_CIERRE_MES!$C:$G,5,FALSE)=$H484,
"Contención",
"Rodamiento"
)))</f>
        <v>Rodamiento</v>
      </c>
      <c r="Q484">
        <f t="shared" si="7"/>
        <v>0</v>
      </c>
    </row>
    <row r="485" spans="1:17" x14ac:dyDescent="0.25">
      <c r="A485">
        <v>8293244</v>
      </c>
      <c r="B485" t="s">
        <v>18</v>
      </c>
      <c r="C485">
        <v>19738680</v>
      </c>
      <c r="D485" t="s">
        <v>9</v>
      </c>
      <c r="E485">
        <v>2316003</v>
      </c>
      <c r="F485" s="2">
        <v>132364</v>
      </c>
      <c r="G485" s="2">
        <v>132364</v>
      </c>
      <c r="H485">
        <v>7</v>
      </c>
      <c r="I485" s="1">
        <v>42523</v>
      </c>
      <c r="J485" t="s">
        <v>4</v>
      </c>
      <c r="K485">
        <f>COUNTIFS(GESTIONES!$A:$A, BASE_CUENTAS!$A485, GESTIONES!$B:$B, BASE_CUENTAS!$C485)</f>
        <v>3</v>
      </c>
      <c r="L485">
        <f>COUNTIFS(GESTIONES!$A:$A, BASE_CUENTAS!$A485,GESTIONES!$B:$B, BASE_CUENTAS!$C485,GESTIONES!$E:$E, "S")</f>
        <v>1</v>
      </c>
      <c r="M485">
        <f>COUNTIFS(GESTIONES!$A:$A, BASE_CUENTAS!$A485,GESTIONES!$B:$B, BASE_CUENTAS!$C485,GESTIONES!$E:$E, "N")</f>
        <v>2</v>
      </c>
      <c r="N485">
        <f>COUNTIFS(GESTIONES!$A:$A, BASE_CUENTAS!$A485,GESTIONES!$B:$B, BASE_CUENTAS!$C485,GESTIONES!$D:$D, "SMS")</f>
        <v>0</v>
      </c>
      <c r="O485">
        <f>SUMIFS(PAGOS!$D:$D,PAGOS!$A:$A, BASE_CUENTAS!$A485,PAGOS!$B:$B, BASE_CUENTAS!$C485)</f>
        <v>44121</v>
      </c>
      <c r="P485" t="str">
        <f>IF(
VLOOKUP($C485,BASE_CIERRE_MES!$C:$G,5,FALSE)=0,
"Normalización",
IF(
VLOOKUP($C485,BASE_CIERRE_MES!$C:$G,5,FALSE)&lt;$H485,
"Recuperación",
IF(
VLOOKUP($C485,BASE_CIERRE_MES!$C:$G,5,FALSE)=$H485,
"Contención",
"Rodamiento"
)))</f>
        <v>Rodamiento</v>
      </c>
      <c r="Q485">
        <f t="shared" si="7"/>
        <v>0.33333081502523343</v>
      </c>
    </row>
    <row r="486" spans="1:17" x14ac:dyDescent="0.25">
      <c r="A486">
        <v>8293244</v>
      </c>
      <c r="B486" t="s">
        <v>18</v>
      </c>
      <c r="C486">
        <v>21786213</v>
      </c>
      <c r="D486" t="s">
        <v>7</v>
      </c>
      <c r="E486">
        <v>2316003</v>
      </c>
      <c r="F486" s="2">
        <v>2183639</v>
      </c>
      <c r="G486" s="2">
        <v>126600</v>
      </c>
      <c r="H486">
        <v>30</v>
      </c>
      <c r="I486" s="1">
        <v>42521</v>
      </c>
      <c r="J486" t="s">
        <v>4</v>
      </c>
      <c r="K486">
        <f>COUNTIFS(GESTIONES!$A:$A, BASE_CUENTAS!$A486, GESTIONES!$B:$B, BASE_CUENTAS!$C486)</f>
        <v>3</v>
      </c>
      <c r="L486">
        <f>COUNTIFS(GESTIONES!$A:$A, BASE_CUENTAS!$A486,GESTIONES!$B:$B, BASE_CUENTAS!$C486,GESTIONES!$E:$E, "S")</f>
        <v>1</v>
      </c>
      <c r="M486">
        <f>COUNTIFS(GESTIONES!$A:$A, BASE_CUENTAS!$A486,GESTIONES!$B:$B, BASE_CUENTAS!$C486,GESTIONES!$E:$E, "N")</f>
        <v>2</v>
      </c>
      <c r="N486">
        <f>COUNTIFS(GESTIONES!$A:$A, BASE_CUENTAS!$A486,GESTIONES!$B:$B, BASE_CUENTAS!$C486,GESTIONES!$D:$D, "SMS")</f>
        <v>0</v>
      </c>
      <c r="O486">
        <f>SUMIFS(PAGOS!$D:$D,PAGOS!$A:$A, BASE_CUENTAS!$A486,PAGOS!$B:$B, BASE_CUENTAS!$C486)</f>
        <v>0</v>
      </c>
      <c r="P486" t="str">
        <f>IF(
VLOOKUP($C486,BASE_CIERRE_MES!$C:$G,5,FALSE)=0,
"Normalización",
IF(
VLOOKUP($C486,BASE_CIERRE_MES!$C:$G,5,FALSE)&lt;$H486,
"Recuperación",
IF(
VLOOKUP($C486,BASE_CIERRE_MES!$C:$G,5,FALSE)=$H486,
"Contención",
"Rodamiento"
)))</f>
        <v>Rodamiento</v>
      </c>
      <c r="Q486">
        <f t="shared" si="7"/>
        <v>0</v>
      </c>
    </row>
    <row r="487" spans="1:17" x14ac:dyDescent="0.25">
      <c r="A487">
        <v>8293299</v>
      </c>
      <c r="B487" t="s">
        <v>16</v>
      </c>
      <c r="C487">
        <v>27039509</v>
      </c>
      <c r="D487" t="s">
        <v>13</v>
      </c>
      <c r="E487">
        <v>21296584</v>
      </c>
      <c r="F487" s="2">
        <v>1887582</v>
      </c>
      <c r="G487" s="2">
        <v>394788</v>
      </c>
      <c r="H487">
        <v>1</v>
      </c>
      <c r="I487" s="1">
        <v>42524</v>
      </c>
      <c r="J487" t="s">
        <v>6</v>
      </c>
      <c r="K487">
        <f>COUNTIFS(GESTIONES!$A:$A, BASE_CUENTAS!$A487, GESTIONES!$B:$B, BASE_CUENTAS!$C487)</f>
        <v>3</v>
      </c>
      <c r="L487">
        <f>COUNTIFS(GESTIONES!$A:$A, BASE_CUENTAS!$A487,GESTIONES!$B:$B, BASE_CUENTAS!$C487,GESTIONES!$E:$E, "S")</f>
        <v>1</v>
      </c>
      <c r="M487">
        <f>COUNTIFS(GESTIONES!$A:$A, BASE_CUENTAS!$A487,GESTIONES!$B:$B, BASE_CUENTAS!$C487,GESTIONES!$E:$E, "N")</f>
        <v>2</v>
      </c>
      <c r="N487">
        <f>COUNTIFS(GESTIONES!$A:$A, BASE_CUENTAS!$A487,GESTIONES!$B:$B, BASE_CUENTAS!$C487,GESTIONES!$D:$D, "SMS")</f>
        <v>1</v>
      </c>
      <c r="O487">
        <f>SUMIFS(PAGOS!$D:$D,PAGOS!$A:$A, BASE_CUENTAS!$A487,PAGOS!$B:$B, BASE_CUENTAS!$C487)</f>
        <v>131596</v>
      </c>
      <c r="P487" t="str">
        <f>IF(
VLOOKUP($C487,BASE_CIERRE_MES!$C:$G,5,FALSE)=0,
"Normalización",
IF(
VLOOKUP($C487,BASE_CIERRE_MES!$C:$G,5,FALSE)&lt;$H487,
"Recuperación",
IF(
VLOOKUP($C487,BASE_CIERRE_MES!$C:$G,5,FALSE)=$H487,
"Contención",
"Rodamiento"
)))</f>
        <v>Rodamiento</v>
      </c>
      <c r="Q487">
        <f t="shared" si="7"/>
        <v>6.9716706347062007E-2</v>
      </c>
    </row>
    <row r="488" spans="1:17" x14ac:dyDescent="0.25">
      <c r="A488">
        <v>8293299</v>
      </c>
      <c r="B488" t="s">
        <v>16</v>
      </c>
      <c r="C488">
        <v>27969594</v>
      </c>
      <c r="D488" t="s">
        <v>7</v>
      </c>
      <c r="E488">
        <v>21296584</v>
      </c>
      <c r="F488" s="2">
        <v>19409002</v>
      </c>
      <c r="G488" s="2">
        <v>2008605</v>
      </c>
      <c r="H488">
        <v>60</v>
      </c>
      <c r="I488" s="1">
        <v>42491</v>
      </c>
      <c r="J488" t="s">
        <v>6</v>
      </c>
      <c r="K488">
        <f>COUNTIFS(GESTIONES!$A:$A, BASE_CUENTAS!$A488, GESTIONES!$B:$B, BASE_CUENTAS!$C488)</f>
        <v>3</v>
      </c>
      <c r="L488">
        <f>COUNTIFS(GESTIONES!$A:$A, BASE_CUENTAS!$A488,GESTIONES!$B:$B, BASE_CUENTAS!$C488,GESTIONES!$E:$E, "S")</f>
        <v>0</v>
      </c>
      <c r="M488">
        <f>COUNTIFS(GESTIONES!$A:$A, BASE_CUENTAS!$A488,GESTIONES!$B:$B, BASE_CUENTAS!$C488,GESTIONES!$E:$E, "N")</f>
        <v>3</v>
      </c>
      <c r="N488">
        <f>COUNTIFS(GESTIONES!$A:$A, BASE_CUENTAS!$A488,GESTIONES!$B:$B, BASE_CUENTAS!$C488,GESTIONES!$D:$D, "SMS")</f>
        <v>1</v>
      </c>
      <c r="O488">
        <f>SUMIFS(PAGOS!$D:$D,PAGOS!$A:$A, BASE_CUENTAS!$A488,PAGOS!$B:$B, BASE_CUENTAS!$C488)</f>
        <v>0</v>
      </c>
      <c r="P488" t="str">
        <f>IF(
VLOOKUP($C488,BASE_CIERRE_MES!$C:$G,5,FALSE)=0,
"Normalización",
IF(
VLOOKUP($C488,BASE_CIERRE_MES!$C:$G,5,FALSE)&lt;$H488,
"Recuperación",
IF(
VLOOKUP($C488,BASE_CIERRE_MES!$C:$G,5,FALSE)=$H488,
"Contención",
"Rodamiento"
)))</f>
        <v>Rodamiento</v>
      </c>
      <c r="Q488">
        <f t="shared" si="7"/>
        <v>0</v>
      </c>
    </row>
    <row r="489" spans="1:17" x14ac:dyDescent="0.25">
      <c r="A489">
        <v>8293546</v>
      </c>
      <c r="B489" t="s">
        <v>16</v>
      </c>
      <c r="C489">
        <v>21634560</v>
      </c>
      <c r="D489" t="s">
        <v>7</v>
      </c>
      <c r="E489">
        <v>19827172</v>
      </c>
      <c r="F489" s="2">
        <v>3968344</v>
      </c>
      <c r="G489" s="2">
        <v>102842</v>
      </c>
      <c r="H489">
        <v>30</v>
      </c>
      <c r="I489" s="1">
        <v>42521</v>
      </c>
      <c r="J489" t="s">
        <v>4</v>
      </c>
      <c r="K489">
        <f>COUNTIFS(GESTIONES!$A:$A, BASE_CUENTAS!$A489, GESTIONES!$B:$B, BASE_CUENTAS!$C489)</f>
        <v>3</v>
      </c>
      <c r="L489">
        <f>COUNTIFS(GESTIONES!$A:$A, BASE_CUENTAS!$A489,GESTIONES!$B:$B, BASE_CUENTAS!$C489,GESTIONES!$E:$E, "S")</f>
        <v>1</v>
      </c>
      <c r="M489">
        <f>COUNTIFS(GESTIONES!$A:$A, BASE_CUENTAS!$A489,GESTIONES!$B:$B, BASE_CUENTAS!$C489,GESTIONES!$E:$E, "N")</f>
        <v>2</v>
      </c>
      <c r="N489">
        <f>COUNTIFS(GESTIONES!$A:$A, BASE_CUENTAS!$A489,GESTIONES!$B:$B, BASE_CUENTAS!$C489,GESTIONES!$D:$D, "SMS")</f>
        <v>2</v>
      </c>
      <c r="O489">
        <f>SUMIFS(PAGOS!$D:$D,PAGOS!$A:$A, BASE_CUENTAS!$A489,PAGOS!$B:$B, BASE_CUENTAS!$C489)</f>
        <v>102842</v>
      </c>
      <c r="P489" t="str">
        <f>IF(
VLOOKUP($C489,BASE_CIERRE_MES!$C:$G,5,FALSE)=0,
"Normalización",
IF(
VLOOKUP($C489,BASE_CIERRE_MES!$C:$G,5,FALSE)&lt;$H489,
"Recuperación",
IF(
VLOOKUP($C489,BASE_CIERRE_MES!$C:$G,5,FALSE)=$H489,
"Contención",
"Rodamiento"
)))</f>
        <v>Normalización</v>
      </c>
      <c r="Q489">
        <f t="shared" si="7"/>
        <v>2.5915596026957342E-2</v>
      </c>
    </row>
    <row r="490" spans="1:17" x14ac:dyDescent="0.25">
      <c r="A490">
        <v>8293546</v>
      </c>
      <c r="B490" t="s">
        <v>16</v>
      </c>
      <c r="C490">
        <v>26029145</v>
      </c>
      <c r="D490" t="s">
        <v>9</v>
      </c>
      <c r="E490">
        <v>19827172</v>
      </c>
      <c r="F490" s="2">
        <v>12869495</v>
      </c>
      <c r="G490" s="2">
        <v>39987</v>
      </c>
      <c r="H490">
        <v>1</v>
      </c>
      <c r="I490" s="1">
        <v>42529</v>
      </c>
      <c r="J490" t="s">
        <v>4</v>
      </c>
      <c r="K490">
        <f>COUNTIFS(GESTIONES!$A:$A, BASE_CUENTAS!$A490, GESTIONES!$B:$B, BASE_CUENTAS!$C490)</f>
        <v>3</v>
      </c>
      <c r="L490">
        <f>COUNTIFS(GESTIONES!$A:$A, BASE_CUENTAS!$A490,GESTIONES!$B:$B, BASE_CUENTAS!$C490,GESTIONES!$E:$E, "S")</f>
        <v>1</v>
      </c>
      <c r="M490">
        <f>COUNTIFS(GESTIONES!$A:$A, BASE_CUENTAS!$A490,GESTIONES!$B:$B, BASE_CUENTAS!$C490,GESTIONES!$E:$E, "N")</f>
        <v>2</v>
      </c>
      <c r="N490">
        <f>COUNTIFS(GESTIONES!$A:$A, BASE_CUENTAS!$A490,GESTIONES!$B:$B, BASE_CUENTAS!$C490,GESTIONES!$D:$D, "SMS")</f>
        <v>0</v>
      </c>
      <c r="O490">
        <f>SUMIFS(PAGOS!$D:$D,PAGOS!$A:$A, BASE_CUENTAS!$A490,PAGOS!$B:$B, BASE_CUENTAS!$C490)</f>
        <v>12869495</v>
      </c>
      <c r="P490" t="str">
        <f>IF(
VLOOKUP($C490,BASE_CIERRE_MES!$C:$G,5,FALSE)=0,
"Normalización",
IF(
VLOOKUP($C490,BASE_CIERRE_MES!$C:$G,5,FALSE)&lt;$H490,
"Recuperación",
IF(
VLOOKUP($C490,BASE_CIERRE_MES!$C:$G,5,FALSE)=$H490,
"Contención",
"Rodamiento"
)))</f>
        <v>Normalización</v>
      </c>
      <c r="Q490">
        <f t="shared" si="7"/>
        <v>1</v>
      </c>
    </row>
    <row r="491" spans="1:17" x14ac:dyDescent="0.25">
      <c r="A491">
        <v>8293564</v>
      </c>
      <c r="B491" t="s">
        <v>18</v>
      </c>
      <c r="C491">
        <v>26443276</v>
      </c>
      <c r="D491" t="s">
        <v>7</v>
      </c>
      <c r="E491">
        <v>2236370</v>
      </c>
      <c r="F491" s="2">
        <v>2236370</v>
      </c>
      <c r="G491" s="2">
        <v>697423</v>
      </c>
      <c r="H491">
        <v>60</v>
      </c>
      <c r="I491" s="1">
        <v>42480</v>
      </c>
      <c r="J491" t="s">
        <v>6</v>
      </c>
      <c r="K491">
        <f>COUNTIFS(GESTIONES!$A:$A, BASE_CUENTAS!$A491, GESTIONES!$B:$B, BASE_CUENTAS!$C491)</f>
        <v>3</v>
      </c>
      <c r="L491">
        <f>COUNTIFS(GESTIONES!$A:$A, BASE_CUENTAS!$A491,GESTIONES!$B:$B, BASE_CUENTAS!$C491,GESTIONES!$E:$E, "S")</f>
        <v>1</v>
      </c>
      <c r="M491">
        <f>COUNTIFS(GESTIONES!$A:$A, BASE_CUENTAS!$A491,GESTIONES!$B:$B, BASE_CUENTAS!$C491,GESTIONES!$E:$E, "N")</f>
        <v>2</v>
      </c>
      <c r="N491">
        <f>COUNTIFS(GESTIONES!$A:$A, BASE_CUENTAS!$A491,GESTIONES!$B:$B, BASE_CUENTAS!$C491,GESTIONES!$D:$D, "SMS")</f>
        <v>0</v>
      </c>
      <c r="O491">
        <f>SUMIFS(PAGOS!$D:$D,PAGOS!$A:$A, BASE_CUENTAS!$A491,PAGOS!$B:$B, BASE_CUENTAS!$C491)</f>
        <v>697423</v>
      </c>
      <c r="P491" t="str">
        <f>IF(
VLOOKUP($C491,BASE_CIERRE_MES!$C:$G,5,FALSE)=0,
"Normalización",
IF(
VLOOKUP($C491,BASE_CIERRE_MES!$C:$G,5,FALSE)&lt;$H491,
"Recuperación",
IF(
VLOOKUP($C491,BASE_CIERRE_MES!$C:$G,5,FALSE)=$H491,
"Contención",
"Rodamiento"
)))</f>
        <v>Normalización</v>
      </c>
      <c r="Q491">
        <f t="shared" si="7"/>
        <v>0.31185492561606531</v>
      </c>
    </row>
    <row r="492" spans="1:17" x14ac:dyDescent="0.25">
      <c r="A492">
        <v>8293662</v>
      </c>
      <c r="B492" t="s">
        <v>18</v>
      </c>
      <c r="C492">
        <v>25834952</v>
      </c>
      <c r="D492" t="s">
        <v>7</v>
      </c>
      <c r="E492">
        <v>983539</v>
      </c>
      <c r="F492" s="2">
        <v>58369</v>
      </c>
      <c r="G492" s="2">
        <v>46398</v>
      </c>
      <c r="H492">
        <v>30</v>
      </c>
      <c r="I492" s="1">
        <v>42519</v>
      </c>
      <c r="J492" t="s">
        <v>6</v>
      </c>
      <c r="K492">
        <f>COUNTIFS(GESTIONES!$A:$A, BASE_CUENTAS!$A492, GESTIONES!$B:$B, BASE_CUENTAS!$C492)</f>
        <v>3</v>
      </c>
      <c r="L492">
        <f>COUNTIFS(GESTIONES!$A:$A, BASE_CUENTAS!$A492,GESTIONES!$B:$B, BASE_CUENTAS!$C492,GESTIONES!$E:$E, "S")</f>
        <v>1</v>
      </c>
      <c r="M492">
        <f>COUNTIFS(GESTIONES!$A:$A, BASE_CUENTAS!$A492,GESTIONES!$B:$B, BASE_CUENTAS!$C492,GESTIONES!$E:$E, "N")</f>
        <v>2</v>
      </c>
      <c r="N492">
        <f>COUNTIFS(GESTIONES!$A:$A, BASE_CUENTAS!$A492,GESTIONES!$B:$B, BASE_CUENTAS!$C492,GESTIONES!$D:$D, "SMS")</f>
        <v>1</v>
      </c>
      <c r="O492">
        <f>SUMIFS(PAGOS!$D:$D,PAGOS!$A:$A, BASE_CUENTAS!$A492,PAGOS!$B:$B, BASE_CUENTAS!$C492)</f>
        <v>46398</v>
      </c>
      <c r="P492" t="str">
        <f>IF(
VLOOKUP($C492,BASE_CIERRE_MES!$C:$G,5,FALSE)=0,
"Normalización",
IF(
VLOOKUP($C492,BASE_CIERRE_MES!$C:$G,5,FALSE)&lt;$H492,
"Recuperación",
IF(
VLOOKUP($C492,BASE_CIERRE_MES!$C:$G,5,FALSE)=$H492,
"Contención",
"Rodamiento"
)))</f>
        <v>Normalización</v>
      </c>
      <c r="Q492">
        <f t="shared" si="7"/>
        <v>0.79490825609484483</v>
      </c>
    </row>
    <row r="493" spans="1:17" x14ac:dyDescent="0.25">
      <c r="A493">
        <v>8293714</v>
      </c>
      <c r="B493" t="s">
        <v>18</v>
      </c>
      <c r="C493">
        <v>21486272</v>
      </c>
      <c r="D493" t="s">
        <v>7</v>
      </c>
      <c r="E493">
        <v>1633225</v>
      </c>
      <c r="F493" s="2">
        <v>1633225</v>
      </c>
      <c r="G493" s="2">
        <v>195378</v>
      </c>
      <c r="H493">
        <v>30</v>
      </c>
      <c r="I493" s="1">
        <v>42508</v>
      </c>
      <c r="J493" t="s">
        <v>6</v>
      </c>
      <c r="K493">
        <f>COUNTIFS(GESTIONES!$A:$A, BASE_CUENTAS!$A493, GESTIONES!$B:$B, BASE_CUENTAS!$C493)</f>
        <v>3</v>
      </c>
      <c r="L493">
        <f>COUNTIFS(GESTIONES!$A:$A, BASE_CUENTAS!$A493,GESTIONES!$B:$B, BASE_CUENTAS!$C493,GESTIONES!$E:$E, "S")</f>
        <v>0</v>
      </c>
      <c r="M493">
        <f>COUNTIFS(GESTIONES!$A:$A, BASE_CUENTAS!$A493,GESTIONES!$B:$B, BASE_CUENTAS!$C493,GESTIONES!$E:$E, "N")</f>
        <v>3</v>
      </c>
      <c r="N493">
        <f>COUNTIFS(GESTIONES!$A:$A, BASE_CUENTAS!$A493,GESTIONES!$B:$B, BASE_CUENTAS!$C493,GESTIONES!$D:$D, "SMS")</f>
        <v>1</v>
      </c>
      <c r="O493">
        <f>SUMIFS(PAGOS!$D:$D,PAGOS!$A:$A, BASE_CUENTAS!$A493,PAGOS!$B:$B, BASE_CUENTAS!$C493)</f>
        <v>1633225</v>
      </c>
      <c r="P493" t="str">
        <f>IF(
VLOOKUP($C493,BASE_CIERRE_MES!$C:$G,5,FALSE)=0,
"Normalización",
IF(
VLOOKUP($C493,BASE_CIERRE_MES!$C:$G,5,FALSE)&lt;$H493,
"Recuperación",
IF(
VLOOKUP($C493,BASE_CIERRE_MES!$C:$G,5,FALSE)=$H493,
"Contención",
"Rodamiento"
)))</f>
        <v>Normalización</v>
      </c>
      <c r="Q493">
        <f t="shared" si="7"/>
        <v>1</v>
      </c>
    </row>
    <row r="494" spans="1:17" x14ac:dyDescent="0.25">
      <c r="A494">
        <v>8293734</v>
      </c>
      <c r="B494" t="s">
        <v>18</v>
      </c>
      <c r="C494">
        <v>28582640</v>
      </c>
      <c r="D494" t="s">
        <v>7</v>
      </c>
      <c r="E494">
        <v>1515030</v>
      </c>
      <c r="F494" s="2">
        <v>1515030</v>
      </c>
      <c r="G494" s="2">
        <v>175808</v>
      </c>
      <c r="H494">
        <v>30</v>
      </c>
      <c r="I494" s="1">
        <v>42524</v>
      </c>
      <c r="J494" t="s">
        <v>6</v>
      </c>
      <c r="K494">
        <f>COUNTIFS(GESTIONES!$A:$A, BASE_CUENTAS!$A494, GESTIONES!$B:$B, BASE_CUENTAS!$C494)</f>
        <v>3</v>
      </c>
      <c r="L494">
        <f>COUNTIFS(GESTIONES!$A:$A, BASE_CUENTAS!$A494,GESTIONES!$B:$B, BASE_CUENTAS!$C494,GESTIONES!$E:$E, "S")</f>
        <v>1</v>
      </c>
      <c r="M494">
        <f>COUNTIFS(GESTIONES!$A:$A, BASE_CUENTAS!$A494,GESTIONES!$B:$B, BASE_CUENTAS!$C494,GESTIONES!$E:$E, "N")</f>
        <v>2</v>
      </c>
      <c r="N494">
        <f>COUNTIFS(GESTIONES!$A:$A, BASE_CUENTAS!$A494,GESTIONES!$B:$B, BASE_CUENTAS!$C494,GESTIONES!$D:$D, "SMS")</f>
        <v>2</v>
      </c>
      <c r="O494">
        <f>SUMIFS(PAGOS!$D:$D,PAGOS!$A:$A, BASE_CUENTAS!$A494,PAGOS!$B:$B, BASE_CUENTAS!$C494)</f>
        <v>0</v>
      </c>
      <c r="P494" t="str">
        <f>IF(
VLOOKUP($C494,BASE_CIERRE_MES!$C:$G,5,FALSE)=0,
"Normalización",
IF(
VLOOKUP($C494,BASE_CIERRE_MES!$C:$G,5,FALSE)&lt;$H494,
"Recuperación",
IF(
VLOOKUP($C494,BASE_CIERRE_MES!$C:$G,5,FALSE)=$H494,
"Contención",
"Rodamiento"
)))</f>
        <v>Rodamiento</v>
      </c>
      <c r="Q494">
        <f t="shared" si="7"/>
        <v>0</v>
      </c>
    </row>
    <row r="495" spans="1:17" x14ac:dyDescent="0.25">
      <c r="A495">
        <v>8293781</v>
      </c>
      <c r="B495" t="s">
        <v>18</v>
      </c>
      <c r="C495">
        <v>25151473</v>
      </c>
      <c r="D495" t="s">
        <v>7</v>
      </c>
      <c r="E495">
        <v>3666940</v>
      </c>
      <c r="F495" s="2">
        <v>3666940</v>
      </c>
      <c r="G495" s="2">
        <v>316828</v>
      </c>
      <c r="H495">
        <v>30</v>
      </c>
      <c r="I495" s="1">
        <v>42508</v>
      </c>
      <c r="J495" t="s">
        <v>6</v>
      </c>
      <c r="K495">
        <f>COUNTIFS(GESTIONES!$A:$A, BASE_CUENTAS!$A495, GESTIONES!$B:$B, BASE_CUENTAS!$C495)</f>
        <v>3</v>
      </c>
      <c r="L495">
        <f>COUNTIFS(GESTIONES!$A:$A, BASE_CUENTAS!$A495,GESTIONES!$B:$B, BASE_CUENTAS!$C495,GESTIONES!$E:$E, "S")</f>
        <v>1</v>
      </c>
      <c r="M495">
        <f>COUNTIFS(GESTIONES!$A:$A, BASE_CUENTAS!$A495,GESTIONES!$B:$B, BASE_CUENTAS!$C495,GESTIONES!$E:$E, "N")</f>
        <v>2</v>
      </c>
      <c r="N495">
        <f>COUNTIFS(GESTIONES!$A:$A, BASE_CUENTAS!$A495,GESTIONES!$B:$B, BASE_CUENTAS!$C495,GESTIONES!$D:$D, "SMS")</f>
        <v>0</v>
      </c>
      <c r="O495">
        <f>SUMIFS(PAGOS!$D:$D,PAGOS!$A:$A, BASE_CUENTAS!$A495,PAGOS!$B:$B, BASE_CUENTAS!$C495)</f>
        <v>158414</v>
      </c>
      <c r="P495" t="str">
        <f>IF(
VLOOKUP($C495,BASE_CIERRE_MES!$C:$G,5,FALSE)=0,
"Normalización",
IF(
VLOOKUP($C495,BASE_CIERRE_MES!$C:$G,5,FALSE)&lt;$H495,
"Recuperación",
IF(
VLOOKUP($C495,BASE_CIERRE_MES!$C:$G,5,FALSE)=$H495,
"Contención",
"Rodamiento"
)))</f>
        <v>Recuperación</v>
      </c>
      <c r="Q495">
        <f t="shared" si="7"/>
        <v>4.3200597773620515E-2</v>
      </c>
    </row>
    <row r="496" spans="1:17" x14ac:dyDescent="0.25">
      <c r="A496">
        <v>8293793</v>
      </c>
      <c r="B496" t="s">
        <v>18</v>
      </c>
      <c r="C496">
        <v>27730431</v>
      </c>
      <c r="D496" t="s">
        <v>7</v>
      </c>
      <c r="E496">
        <v>1399594</v>
      </c>
      <c r="F496" s="2">
        <v>1399594</v>
      </c>
      <c r="G496" s="2">
        <v>154173</v>
      </c>
      <c r="H496">
        <v>30</v>
      </c>
      <c r="I496" s="1">
        <v>42522</v>
      </c>
      <c r="J496" t="s">
        <v>6</v>
      </c>
      <c r="K496">
        <f>COUNTIFS(GESTIONES!$A:$A, BASE_CUENTAS!$A496, GESTIONES!$B:$B, BASE_CUENTAS!$C496)</f>
        <v>3</v>
      </c>
      <c r="L496">
        <f>COUNTIFS(GESTIONES!$A:$A, BASE_CUENTAS!$A496,GESTIONES!$B:$B, BASE_CUENTAS!$C496,GESTIONES!$E:$E, "S")</f>
        <v>1</v>
      </c>
      <c r="M496">
        <f>COUNTIFS(GESTIONES!$A:$A, BASE_CUENTAS!$A496,GESTIONES!$B:$B, BASE_CUENTAS!$C496,GESTIONES!$E:$E, "N")</f>
        <v>2</v>
      </c>
      <c r="N496">
        <f>COUNTIFS(GESTIONES!$A:$A, BASE_CUENTAS!$A496,GESTIONES!$B:$B, BASE_CUENTAS!$C496,GESTIONES!$D:$D, "SMS")</f>
        <v>0</v>
      </c>
      <c r="O496">
        <f>SUMIFS(PAGOS!$D:$D,PAGOS!$A:$A, BASE_CUENTAS!$A496,PAGOS!$B:$B, BASE_CUENTAS!$C496)</f>
        <v>77087</v>
      </c>
      <c r="P496" t="str">
        <f>IF(
VLOOKUP($C496,BASE_CIERRE_MES!$C:$G,5,FALSE)=0,
"Normalización",
IF(
VLOOKUP($C496,BASE_CIERRE_MES!$C:$G,5,FALSE)&lt;$H496,
"Recuperación",
IF(
VLOOKUP($C496,BASE_CIERRE_MES!$C:$G,5,FALSE)=$H496,
"Contención",
"Rodamiento"
)))</f>
        <v>Recuperación</v>
      </c>
      <c r="Q496">
        <f t="shared" si="7"/>
        <v>5.5078115510640943E-2</v>
      </c>
    </row>
    <row r="497" spans="1:17" x14ac:dyDescent="0.25">
      <c r="A497">
        <v>8293815</v>
      </c>
      <c r="B497" t="s">
        <v>17</v>
      </c>
      <c r="C497">
        <v>26238609</v>
      </c>
      <c r="D497" t="s">
        <v>7</v>
      </c>
      <c r="E497">
        <v>8645948</v>
      </c>
      <c r="F497" s="2">
        <v>2100373</v>
      </c>
      <c r="G497" s="2">
        <v>148368</v>
      </c>
      <c r="H497">
        <v>30</v>
      </c>
      <c r="I497" s="1">
        <v>42521</v>
      </c>
      <c r="J497" t="s">
        <v>4</v>
      </c>
      <c r="K497">
        <f>COUNTIFS(GESTIONES!$A:$A, BASE_CUENTAS!$A497, GESTIONES!$B:$B, BASE_CUENTAS!$C497)</f>
        <v>3</v>
      </c>
      <c r="L497">
        <f>COUNTIFS(GESTIONES!$A:$A, BASE_CUENTAS!$A497,GESTIONES!$B:$B, BASE_CUENTAS!$C497,GESTIONES!$E:$E, "S")</f>
        <v>2</v>
      </c>
      <c r="M497">
        <f>COUNTIFS(GESTIONES!$A:$A, BASE_CUENTAS!$A497,GESTIONES!$B:$B, BASE_CUENTAS!$C497,GESTIONES!$E:$E, "N")</f>
        <v>1</v>
      </c>
      <c r="N497">
        <f>COUNTIFS(GESTIONES!$A:$A, BASE_CUENTAS!$A497,GESTIONES!$B:$B, BASE_CUENTAS!$C497,GESTIONES!$D:$D, "SMS")</f>
        <v>1</v>
      </c>
      <c r="O497">
        <f>SUMIFS(PAGOS!$D:$D,PAGOS!$A:$A, BASE_CUENTAS!$A497,PAGOS!$B:$B, BASE_CUENTAS!$C497)</f>
        <v>74185</v>
      </c>
      <c r="P497" t="str">
        <f>IF(
VLOOKUP($C497,BASE_CIERRE_MES!$C:$G,5,FALSE)=0,
"Normalización",
IF(
VLOOKUP($C497,BASE_CIERRE_MES!$C:$G,5,FALSE)&lt;$H497,
"Recuperación",
IF(
VLOOKUP($C497,BASE_CIERRE_MES!$C:$G,5,FALSE)=$H497,
"Contención",
"Rodamiento"
)))</f>
        <v>Recuperación</v>
      </c>
      <c r="Q497">
        <f t="shared" si="7"/>
        <v>3.5319916986173407E-2</v>
      </c>
    </row>
    <row r="498" spans="1:17" x14ac:dyDescent="0.25">
      <c r="A498">
        <v>8293818</v>
      </c>
      <c r="B498" t="s">
        <v>17</v>
      </c>
      <c r="C498">
        <v>28252699</v>
      </c>
      <c r="D498" t="s">
        <v>7</v>
      </c>
      <c r="E498">
        <v>18303869</v>
      </c>
      <c r="F498" s="2">
        <v>985567</v>
      </c>
      <c r="G498" s="2">
        <v>27146</v>
      </c>
      <c r="H498">
        <v>30</v>
      </c>
      <c r="I498" s="1">
        <v>42508</v>
      </c>
      <c r="J498" t="s">
        <v>6</v>
      </c>
      <c r="K498">
        <f>COUNTIFS(GESTIONES!$A:$A, BASE_CUENTAS!$A498, GESTIONES!$B:$B, BASE_CUENTAS!$C498)</f>
        <v>3</v>
      </c>
      <c r="L498">
        <f>COUNTIFS(GESTIONES!$A:$A, BASE_CUENTAS!$A498,GESTIONES!$B:$B, BASE_CUENTAS!$C498,GESTIONES!$E:$E, "S")</f>
        <v>1</v>
      </c>
      <c r="M498">
        <f>COUNTIFS(GESTIONES!$A:$A, BASE_CUENTAS!$A498,GESTIONES!$B:$B, BASE_CUENTAS!$C498,GESTIONES!$E:$E, "N")</f>
        <v>2</v>
      </c>
      <c r="N498">
        <f>COUNTIFS(GESTIONES!$A:$A, BASE_CUENTAS!$A498,GESTIONES!$B:$B, BASE_CUENTAS!$C498,GESTIONES!$D:$D, "SMS")</f>
        <v>0</v>
      </c>
      <c r="O498">
        <f>SUMIFS(PAGOS!$D:$D,PAGOS!$A:$A, BASE_CUENTAS!$A498,PAGOS!$B:$B, BASE_CUENTAS!$C498)</f>
        <v>0</v>
      </c>
      <c r="P498" t="str">
        <f>IF(
VLOOKUP($C498,BASE_CIERRE_MES!$C:$G,5,FALSE)=0,
"Normalización",
IF(
VLOOKUP($C498,BASE_CIERRE_MES!$C:$G,5,FALSE)&lt;$H498,
"Recuperación",
IF(
VLOOKUP($C498,BASE_CIERRE_MES!$C:$G,5,FALSE)=$H498,
"Contención",
"Rodamiento"
)))</f>
        <v>Rodamiento</v>
      </c>
      <c r="Q498">
        <f t="shared" si="7"/>
        <v>0</v>
      </c>
    </row>
    <row r="499" spans="1:17" x14ac:dyDescent="0.25">
      <c r="A499">
        <v>8293949</v>
      </c>
      <c r="B499" t="s">
        <v>18</v>
      </c>
      <c r="C499">
        <v>26857064</v>
      </c>
      <c r="D499" t="s">
        <v>7</v>
      </c>
      <c r="E499">
        <v>2029861</v>
      </c>
      <c r="F499" s="2">
        <v>2029861</v>
      </c>
      <c r="G499" s="2">
        <v>423157</v>
      </c>
      <c r="H499">
        <v>60</v>
      </c>
      <c r="I499" s="1">
        <v>42480</v>
      </c>
      <c r="J499" t="s">
        <v>6</v>
      </c>
      <c r="K499">
        <f>COUNTIFS(GESTIONES!$A:$A, BASE_CUENTAS!$A499, GESTIONES!$B:$B, BASE_CUENTAS!$C499)</f>
        <v>3</v>
      </c>
      <c r="L499">
        <f>COUNTIFS(GESTIONES!$A:$A, BASE_CUENTAS!$A499,GESTIONES!$B:$B, BASE_CUENTAS!$C499,GESTIONES!$E:$E, "S")</f>
        <v>0</v>
      </c>
      <c r="M499">
        <f>COUNTIFS(GESTIONES!$A:$A, BASE_CUENTAS!$A499,GESTIONES!$B:$B, BASE_CUENTAS!$C499,GESTIONES!$E:$E, "N")</f>
        <v>3</v>
      </c>
      <c r="N499">
        <f>COUNTIFS(GESTIONES!$A:$A, BASE_CUENTAS!$A499,GESTIONES!$B:$B, BASE_CUENTAS!$C499,GESTIONES!$D:$D, "SMS")</f>
        <v>2</v>
      </c>
      <c r="O499">
        <f>SUMIFS(PAGOS!$D:$D,PAGOS!$A:$A, BASE_CUENTAS!$A499,PAGOS!$B:$B, BASE_CUENTAS!$C499)</f>
        <v>0</v>
      </c>
      <c r="P499" t="str">
        <f>IF(
VLOOKUP($C499,BASE_CIERRE_MES!$C:$G,5,FALSE)=0,
"Normalización",
IF(
VLOOKUP($C499,BASE_CIERRE_MES!$C:$G,5,FALSE)&lt;$H499,
"Recuperación",
IF(
VLOOKUP($C499,BASE_CIERRE_MES!$C:$G,5,FALSE)=$H499,
"Contención",
"Rodamiento"
)))</f>
        <v>Rodamiento</v>
      </c>
      <c r="Q499">
        <f t="shared" si="7"/>
        <v>0</v>
      </c>
    </row>
    <row r="500" spans="1:17" x14ac:dyDescent="0.25">
      <c r="A500">
        <v>8294114</v>
      </c>
      <c r="B500" t="s">
        <v>18</v>
      </c>
      <c r="C500">
        <v>21353303</v>
      </c>
      <c r="D500" t="s">
        <v>7</v>
      </c>
      <c r="E500">
        <v>51797</v>
      </c>
      <c r="F500" s="2">
        <v>51797</v>
      </c>
      <c r="G500" s="2">
        <v>44378</v>
      </c>
      <c r="H500">
        <v>30</v>
      </c>
      <c r="I500" s="1">
        <v>42508</v>
      </c>
      <c r="J500" t="s">
        <v>6</v>
      </c>
      <c r="K500">
        <f>COUNTIFS(GESTIONES!$A:$A, BASE_CUENTAS!$A500, GESTIONES!$B:$B, BASE_CUENTAS!$C500)</f>
        <v>3</v>
      </c>
      <c r="L500">
        <f>COUNTIFS(GESTIONES!$A:$A, BASE_CUENTAS!$A500,GESTIONES!$B:$B, BASE_CUENTAS!$C500,GESTIONES!$E:$E, "S")</f>
        <v>1</v>
      </c>
      <c r="M500">
        <f>COUNTIFS(GESTIONES!$A:$A, BASE_CUENTAS!$A500,GESTIONES!$B:$B, BASE_CUENTAS!$C500,GESTIONES!$E:$E, "N")</f>
        <v>2</v>
      </c>
      <c r="N500">
        <f>COUNTIFS(GESTIONES!$A:$A, BASE_CUENTAS!$A500,GESTIONES!$B:$B, BASE_CUENTAS!$C500,GESTIONES!$D:$D, "SMS")</f>
        <v>1</v>
      </c>
      <c r="O500">
        <f>SUMIFS(PAGOS!$D:$D,PAGOS!$A:$A, BASE_CUENTAS!$A500,PAGOS!$B:$B, BASE_CUENTAS!$C500)</f>
        <v>0</v>
      </c>
      <c r="P500" t="str">
        <f>IF(
VLOOKUP($C500,BASE_CIERRE_MES!$C:$G,5,FALSE)=0,
"Normalización",
IF(
VLOOKUP($C500,BASE_CIERRE_MES!$C:$G,5,FALSE)&lt;$H500,
"Recuperación",
IF(
VLOOKUP($C500,BASE_CIERRE_MES!$C:$G,5,FALSE)=$H500,
"Contención",
"Rodamiento"
)))</f>
        <v>Rodamiento</v>
      </c>
      <c r="Q500">
        <f t="shared" si="7"/>
        <v>0</v>
      </c>
    </row>
    <row r="501" spans="1:17" x14ac:dyDescent="0.25">
      <c r="A501">
        <v>8294206</v>
      </c>
      <c r="B501" t="s">
        <v>17</v>
      </c>
      <c r="C501">
        <v>27648242</v>
      </c>
      <c r="D501" t="s">
        <v>7</v>
      </c>
      <c r="E501">
        <v>9092117</v>
      </c>
      <c r="F501" s="2">
        <v>2093370</v>
      </c>
      <c r="G501" s="2">
        <v>2093370</v>
      </c>
      <c r="H501">
        <v>120</v>
      </c>
      <c r="I501" s="1">
        <v>42508</v>
      </c>
      <c r="J501" t="s">
        <v>5</v>
      </c>
      <c r="K501">
        <f>COUNTIFS(GESTIONES!$A:$A, BASE_CUENTAS!$A501, GESTIONES!$B:$B, BASE_CUENTAS!$C501)</f>
        <v>3</v>
      </c>
      <c r="L501">
        <f>COUNTIFS(GESTIONES!$A:$A, BASE_CUENTAS!$A501,GESTIONES!$B:$B, BASE_CUENTAS!$C501,GESTIONES!$E:$E, "S")</f>
        <v>1</v>
      </c>
      <c r="M501">
        <f>COUNTIFS(GESTIONES!$A:$A, BASE_CUENTAS!$A501,GESTIONES!$B:$B, BASE_CUENTAS!$C501,GESTIONES!$E:$E, "N")</f>
        <v>2</v>
      </c>
      <c r="N501">
        <f>COUNTIFS(GESTIONES!$A:$A, BASE_CUENTAS!$A501,GESTIONES!$B:$B, BASE_CUENTAS!$C501,GESTIONES!$D:$D, "SMS")</f>
        <v>0</v>
      </c>
      <c r="O501">
        <f>SUMIFS(PAGOS!$D:$D,PAGOS!$A:$A, BASE_CUENTAS!$A501,PAGOS!$B:$B, BASE_CUENTAS!$C501)</f>
        <v>0</v>
      </c>
      <c r="P501" t="str">
        <f>IF(
VLOOKUP($C501,BASE_CIERRE_MES!$C:$G,5,FALSE)=0,
"Normalización",
IF(
VLOOKUP($C501,BASE_CIERRE_MES!$C:$G,5,FALSE)&lt;$H501,
"Recuperación",
IF(
VLOOKUP($C501,BASE_CIERRE_MES!$C:$G,5,FALSE)=$H501,
"Contención",
"Rodamiento"
)))</f>
        <v>Rodamiento</v>
      </c>
      <c r="Q501">
        <f t="shared" si="7"/>
        <v>0</v>
      </c>
    </row>
    <row r="502" spans="1:17" x14ac:dyDescent="0.25">
      <c r="A502">
        <v>8294211</v>
      </c>
      <c r="B502" t="s">
        <v>18</v>
      </c>
      <c r="C502">
        <v>20248889</v>
      </c>
      <c r="D502" t="s">
        <v>7</v>
      </c>
      <c r="E502">
        <v>2174352</v>
      </c>
      <c r="F502" s="2">
        <v>391303</v>
      </c>
      <c r="G502" s="2">
        <v>29849</v>
      </c>
      <c r="H502">
        <v>30</v>
      </c>
      <c r="I502" s="1">
        <v>42508</v>
      </c>
      <c r="J502" t="s">
        <v>6</v>
      </c>
      <c r="K502">
        <f>COUNTIFS(GESTIONES!$A:$A, BASE_CUENTAS!$A502, GESTIONES!$B:$B, BASE_CUENTAS!$C502)</f>
        <v>3</v>
      </c>
      <c r="L502">
        <f>COUNTIFS(GESTIONES!$A:$A, BASE_CUENTAS!$A502,GESTIONES!$B:$B, BASE_CUENTAS!$C502,GESTIONES!$E:$E, "S")</f>
        <v>1</v>
      </c>
      <c r="M502">
        <f>COUNTIFS(GESTIONES!$A:$A, BASE_CUENTAS!$A502,GESTIONES!$B:$B, BASE_CUENTAS!$C502,GESTIONES!$E:$E, "N")</f>
        <v>2</v>
      </c>
      <c r="N502">
        <f>COUNTIFS(GESTIONES!$A:$A, BASE_CUENTAS!$A502,GESTIONES!$B:$B, BASE_CUENTAS!$C502,GESTIONES!$D:$D, "SMS")</f>
        <v>1</v>
      </c>
      <c r="O502">
        <f>SUMIFS(PAGOS!$D:$D,PAGOS!$A:$A, BASE_CUENTAS!$A502,PAGOS!$B:$B, BASE_CUENTAS!$C502)</f>
        <v>9950</v>
      </c>
      <c r="P502" t="str">
        <f>IF(
VLOOKUP($C502,BASE_CIERRE_MES!$C:$G,5,FALSE)=0,
"Normalización",
IF(
VLOOKUP($C502,BASE_CIERRE_MES!$C:$G,5,FALSE)&lt;$H502,
"Recuperación",
IF(
VLOOKUP($C502,BASE_CIERRE_MES!$C:$G,5,FALSE)=$H502,
"Contención",
"Rodamiento"
)))</f>
        <v>Contención</v>
      </c>
      <c r="Q502">
        <f t="shared" si="7"/>
        <v>2.5427865362647361E-2</v>
      </c>
    </row>
    <row r="503" spans="1:17" x14ac:dyDescent="0.25">
      <c r="A503">
        <v>8294211</v>
      </c>
      <c r="B503" t="s">
        <v>18</v>
      </c>
      <c r="C503">
        <v>20249908</v>
      </c>
      <c r="D503" t="s">
        <v>7</v>
      </c>
      <c r="E503">
        <v>2174352</v>
      </c>
      <c r="F503" s="2">
        <v>951987</v>
      </c>
      <c r="G503" s="2">
        <v>63006</v>
      </c>
      <c r="H503">
        <v>30</v>
      </c>
      <c r="I503" s="1">
        <v>42508</v>
      </c>
      <c r="J503" t="s">
        <v>6</v>
      </c>
      <c r="K503">
        <f>COUNTIFS(GESTIONES!$A:$A, BASE_CUENTAS!$A503, GESTIONES!$B:$B, BASE_CUENTAS!$C503)</f>
        <v>3</v>
      </c>
      <c r="L503">
        <f>COUNTIFS(GESTIONES!$A:$A, BASE_CUENTAS!$A503,GESTIONES!$B:$B, BASE_CUENTAS!$C503,GESTIONES!$E:$E, "S")</f>
        <v>1</v>
      </c>
      <c r="M503">
        <f>COUNTIFS(GESTIONES!$A:$A, BASE_CUENTAS!$A503,GESTIONES!$B:$B, BASE_CUENTAS!$C503,GESTIONES!$E:$E, "N")</f>
        <v>2</v>
      </c>
      <c r="N503">
        <f>COUNTIFS(GESTIONES!$A:$A, BASE_CUENTAS!$A503,GESTIONES!$B:$B, BASE_CUENTAS!$C503,GESTIONES!$D:$D, "SMS")</f>
        <v>0</v>
      </c>
      <c r="O503">
        <f>SUMIFS(PAGOS!$D:$D,PAGOS!$A:$A, BASE_CUENTAS!$A503,PAGOS!$B:$B, BASE_CUENTAS!$C503)</f>
        <v>63006</v>
      </c>
      <c r="P503" t="str">
        <f>IF(
VLOOKUP($C503,BASE_CIERRE_MES!$C:$G,5,FALSE)=0,
"Normalización",
IF(
VLOOKUP($C503,BASE_CIERRE_MES!$C:$G,5,FALSE)&lt;$H503,
"Recuperación",
IF(
VLOOKUP($C503,BASE_CIERRE_MES!$C:$G,5,FALSE)=$H503,
"Contención",
"Rodamiento"
)))</f>
        <v>Normalización</v>
      </c>
      <c r="Q503">
        <f t="shared" si="7"/>
        <v>6.6183676877940564E-2</v>
      </c>
    </row>
    <row r="504" spans="1:17" x14ac:dyDescent="0.25">
      <c r="A504">
        <v>8294261</v>
      </c>
      <c r="B504" t="s">
        <v>18</v>
      </c>
      <c r="C504">
        <v>27755425</v>
      </c>
      <c r="D504" t="s">
        <v>7</v>
      </c>
      <c r="E504">
        <v>1968838</v>
      </c>
      <c r="F504" s="2">
        <v>1968838</v>
      </c>
      <c r="G504" s="2">
        <v>436938</v>
      </c>
      <c r="H504">
        <v>60</v>
      </c>
      <c r="I504" s="1">
        <v>42481</v>
      </c>
      <c r="J504" t="s">
        <v>6</v>
      </c>
      <c r="K504">
        <f>COUNTIFS(GESTIONES!$A:$A, BASE_CUENTAS!$A504, GESTIONES!$B:$B, BASE_CUENTAS!$C504)</f>
        <v>3</v>
      </c>
      <c r="L504">
        <f>COUNTIFS(GESTIONES!$A:$A, BASE_CUENTAS!$A504,GESTIONES!$B:$B, BASE_CUENTAS!$C504,GESTIONES!$E:$E, "S")</f>
        <v>0</v>
      </c>
      <c r="M504">
        <f>COUNTIFS(GESTIONES!$A:$A, BASE_CUENTAS!$A504,GESTIONES!$B:$B, BASE_CUENTAS!$C504,GESTIONES!$E:$E, "N")</f>
        <v>3</v>
      </c>
      <c r="N504">
        <f>COUNTIFS(GESTIONES!$A:$A, BASE_CUENTAS!$A504,GESTIONES!$B:$B, BASE_CUENTAS!$C504,GESTIONES!$D:$D, "SMS")</f>
        <v>2</v>
      </c>
      <c r="O504">
        <f>SUMIFS(PAGOS!$D:$D,PAGOS!$A:$A, BASE_CUENTAS!$A504,PAGOS!$B:$B, BASE_CUENTAS!$C504)</f>
        <v>0</v>
      </c>
      <c r="P504" t="str">
        <f>IF(
VLOOKUP($C504,BASE_CIERRE_MES!$C:$G,5,FALSE)=0,
"Normalización",
IF(
VLOOKUP($C504,BASE_CIERRE_MES!$C:$G,5,FALSE)&lt;$H504,
"Recuperación",
IF(
VLOOKUP($C504,BASE_CIERRE_MES!$C:$G,5,FALSE)=$H504,
"Contención",
"Rodamiento"
)))</f>
        <v>Rodamiento</v>
      </c>
      <c r="Q504">
        <f t="shared" si="7"/>
        <v>0</v>
      </c>
    </row>
    <row r="505" spans="1:17" x14ac:dyDescent="0.25">
      <c r="A505">
        <v>8294375</v>
      </c>
      <c r="B505" t="s">
        <v>18</v>
      </c>
      <c r="C505">
        <v>25479266</v>
      </c>
      <c r="D505" t="s">
        <v>7</v>
      </c>
      <c r="E505">
        <v>122518</v>
      </c>
      <c r="F505" s="2">
        <v>122518</v>
      </c>
      <c r="G505" s="2">
        <v>122518</v>
      </c>
      <c r="H505">
        <v>120</v>
      </c>
      <c r="I505" s="1">
        <v>42508</v>
      </c>
      <c r="J505" t="s">
        <v>5</v>
      </c>
      <c r="K505">
        <f>COUNTIFS(GESTIONES!$A:$A, BASE_CUENTAS!$A505, GESTIONES!$B:$B, BASE_CUENTAS!$C505)</f>
        <v>3</v>
      </c>
      <c r="L505">
        <f>COUNTIFS(GESTIONES!$A:$A, BASE_CUENTAS!$A505,GESTIONES!$B:$B, BASE_CUENTAS!$C505,GESTIONES!$E:$E, "S")</f>
        <v>1</v>
      </c>
      <c r="M505">
        <f>COUNTIFS(GESTIONES!$A:$A, BASE_CUENTAS!$A505,GESTIONES!$B:$B, BASE_CUENTAS!$C505,GESTIONES!$E:$E, "N")</f>
        <v>2</v>
      </c>
      <c r="N505">
        <f>COUNTIFS(GESTIONES!$A:$A, BASE_CUENTAS!$A505,GESTIONES!$B:$B, BASE_CUENTAS!$C505,GESTIONES!$D:$D, "SMS")</f>
        <v>1</v>
      </c>
      <c r="O505">
        <f>SUMIFS(PAGOS!$D:$D,PAGOS!$A:$A, BASE_CUENTAS!$A505,PAGOS!$B:$B, BASE_CUENTAS!$C505)</f>
        <v>0</v>
      </c>
      <c r="P505" t="str">
        <f>IF(
VLOOKUP($C505,BASE_CIERRE_MES!$C:$G,5,FALSE)=0,
"Normalización",
IF(
VLOOKUP($C505,BASE_CIERRE_MES!$C:$G,5,FALSE)&lt;$H505,
"Recuperación",
IF(
VLOOKUP($C505,BASE_CIERRE_MES!$C:$G,5,FALSE)=$H505,
"Contención",
"Rodamiento"
)))</f>
        <v>Recuperación</v>
      </c>
      <c r="Q505">
        <f t="shared" si="7"/>
        <v>0</v>
      </c>
    </row>
    <row r="506" spans="1:17" x14ac:dyDescent="0.25">
      <c r="A506">
        <v>8294415</v>
      </c>
      <c r="B506" t="s">
        <v>16</v>
      </c>
      <c r="C506">
        <v>25073407</v>
      </c>
      <c r="D506" t="s">
        <v>7</v>
      </c>
      <c r="E506">
        <v>11976714</v>
      </c>
      <c r="F506" s="2">
        <v>2054878</v>
      </c>
      <c r="G506" s="2">
        <v>426307</v>
      </c>
      <c r="H506">
        <v>30</v>
      </c>
      <c r="I506" s="1">
        <v>42508</v>
      </c>
      <c r="J506" t="s">
        <v>6</v>
      </c>
      <c r="K506">
        <f>COUNTIFS(GESTIONES!$A:$A, BASE_CUENTAS!$A506, GESTIONES!$B:$B, BASE_CUENTAS!$C506)</f>
        <v>3</v>
      </c>
      <c r="L506">
        <f>COUNTIFS(GESTIONES!$A:$A, BASE_CUENTAS!$A506,GESTIONES!$B:$B, BASE_CUENTAS!$C506,GESTIONES!$E:$E, "S")</f>
        <v>1</v>
      </c>
      <c r="M506">
        <f>COUNTIFS(GESTIONES!$A:$A, BASE_CUENTAS!$A506,GESTIONES!$B:$B, BASE_CUENTAS!$C506,GESTIONES!$E:$E, "N")</f>
        <v>2</v>
      </c>
      <c r="N506">
        <f>COUNTIFS(GESTIONES!$A:$A, BASE_CUENTAS!$A506,GESTIONES!$B:$B, BASE_CUENTAS!$C506,GESTIONES!$D:$D, "SMS")</f>
        <v>0</v>
      </c>
      <c r="O506">
        <f>SUMIFS(PAGOS!$D:$D,PAGOS!$A:$A, BASE_CUENTAS!$A506,PAGOS!$B:$B, BASE_CUENTAS!$C506)</f>
        <v>0</v>
      </c>
      <c r="P506" t="str">
        <f>IF(
VLOOKUP($C506,BASE_CIERRE_MES!$C:$G,5,FALSE)=0,
"Normalización",
IF(
VLOOKUP($C506,BASE_CIERRE_MES!$C:$G,5,FALSE)&lt;$H506,
"Recuperación",
IF(
VLOOKUP($C506,BASE_CIERRE_MES!$C:$G,5,FALSE)=$H506,
"Contención",
"Rodamiento"
)))</f>
        <v>Rodamiento</v>
      </c>
      <c r="Q506">
        <f t="shared" si="7"/>
        <v>0</v>
      </c>
    </row>
    <row r="507" spans="1:17" x14ac:dyDescent="0.25">
      <c r="A507">
        <v>8294415</v>
      </c>
      <c r="B507" t="s">
        <v>16</v>
      </c>
      <c r="C507">
        <v>25086883</v>
      </c>
      <c r="D507" t="s">
        <v>12</v>
      </c>
      <c r="E507">
        <v>11976714</v>
      </c>
      <c r="F507" s="2">
        <v>5734577</v>
      </c>
      <c r="G507" s="2">
        <v>728920</v>
      </c>
      <c r="H507">
        <v>54</v>
      </c>
      <c r="I507" s="1">
        <v>42476</v>
      </c>
      <c r="J507" t="s">
        <v>6</v>
      </c>
      <c r="K507">
        <f>COUNTIFS(GESTIONES!$A:$A, BASE_CUENTAS!$A507, GESTIONES!$B:$B, BASE_CUENTAS!$C507)</f>
        <v>3</v>
      </c>
      <c r="L507">
        <f>COUNTIFS(GESTIONES!$A:$A, BASE_CUENTAS!$A507,GESTIONES!$B:$B, BASE_CUENTAS!$C507,GESTIONES!$E:$E, "S")</f>
        <v>1</v>
      </c>
      <c r="M507">
        <f>COUNTIFS(GESTIONES!$A:$A, BASE_CUENTAS!$A507,GESTIONES!$B:$B, BASE_CUENTAS!$C507,GESTIONES!$E:$E, "N")</f>
        <v>2</v>
      </c>
      <c r="N507">
        <f>COUNTIFS(GESTIONES!$A:$A, BASE_CUENTAS!$A507,GESTIONES!$B:$B, BASE_CUENTAS!$C507,GESTIONES!$D:$D, "SMS")</f>
        <v>1</v>
      </c>
      <c r="O507">
        <f>SUMIFS(PAGOS!$D:$D,PAGOS!$A:$A, BASE_CUENTAS!$A507,PAGOS!$B:$B, BASE_CUENTAS!$C507)</f>
        <v>728920</v>
      </c>
      <c r="P507" t="str">
        <f>IF(
VLOOKUP($C507,BASE_CIERRE_MES!$C:$G,5,FALSE)=0,
"Normalización",
IF(
VLOOKUP($C507,BASE_CIERRE_MES!$C:$G,5,FALSE)&lt;$H507,
"Recuperación",
IF(
VLOOKUP($C507,BASE_CIERRE_MES!$C:$G,5,FALSE)=$H507,
"Contención",
"Rodamiento"
)))</f>
        <v>Normalización</v>
      </c>
      <c r="Q507">
        <f t="shared" si="7"/>
        <v>0.12710963685726079</v>
      </c>
    </row>
    <row r="508" spans="1:17" x14ac:dyDescent="0.25">
      <c r="A508">
        <v>8294415</v>
      </c>
      <c r="B508" t="s">
        <v>16</v>
      </c>
      <c r="C508">
        <v>26921845</v>
      </c>
      <c r="D508" t="s">
        <v>12</v>
      </c>
      <c r="E508">
        <v>11976714</v>
      </c>
      <c r="F508" s="2">
        <v>826214</v>
      </c>
      <c r="G508" s="2">
        <v>72796</v>
      </c>
      <c r="H508">
        <v>54</v>
      </c>
      <c r="I508" s="1">
        <v>42476</v>
      </c>
      <c r="J508" t="s">
        <v>6</v>
      </c>
      <c r="K508">
        <f>COUNTIFS(GESTIONES!$A:$A, BASE_CUENTAS!$A508, GESTIONES!$B:$B, BASE_CUENTAS!$C508)</f>
        <v>3</v>
      </c>
      <c r="L508">
        <f>COUNTIFS(GESTIONES!$A:$A, BASE_CUENTAS!$A508,GESTIONES!$B:$B, BASE_CUENTAS!$C508,GESTIONES!$E:$E, "S")</f>
        <v>1</v>
      </c>
      <c r="M508">
        <f>COUNTIFS(GESTIONES!$A:$A, BASE_CUENTAS!$A508,GESTIONES!$B:$B, BASE_CUENTAS!$C508,GESTIONES!$E:$E, "N")</f>
        <v>2</v>
      </c>
      <c r="N508">
        <f>COUNTIFS(GESTIONES!$A:$A, BASE_CUENTAS!$A508,GESTIONES!$B:$B, BASE_CUENTAS!$C508,GESTIONES!$D:$D, "SMS")</f>
        <v>0</v>
      </c>
      <c r="O508">
        <f>SUMIFS(PAGOS!$D:$D,PAGOS!$A:$A, BASE_CUENTAS!$A508,PAGOS!$B:$B, BASE_CUENTAS!$C508)</f>
        <v>826214</v>
      </c>
      <c r="P508" t="str">
        <f>IF(
VLOOKUP($C508,BASE_CIERRE_MES!$C:$G,5,FALSE)=0,
"Normalización",
IF(
VLOOKUP($C508,BASE_CIERRE_MES!$C:$G,5,FALSE)&lt;$H508,
"Recuperación",
IF(
VLOOKUP($C508,BASE_CIERRE_MES!$C:$G,5,FALSE)=$H508,
"Contención",
"Rodamiento"
)))</f>
        <v>Normalización</v>
      </c>
      <c r="Q508">
        <f t="shared" si="7"/>
        <v>1</v>
      </c>
    </row>
    <row r="509" spans="1:17" x14ac:dyDescent="0.25">
      <c r="A509">
        <v>8294415</v>
      </c>
      <c r="B509" t="s">
        <v>16</v>
      </c>
      <c r="C509">
        <v>27029677</v>
      </c>
      <c r="D509" t="s">
        <v>12</v>
      </c>
      <c r="E509">
        <v>11976714</v>
      </c>
      <c r="F509" s="2">
        <v>1174983</v>
      </c>
      <c r="G509" s="2">
        <v>100313</v>
      </c>
      <c r="H509">
        <v>54</v>
      </c>
      <c r="I509" s="1">
        <v>42476</v>
      </c>
      <c r="J509" t="s">
        <v>6</v>
      </c>
      <c r="K509">
        <f>COUNTIFS(GESTIONES!$A:$A, BASE_CUENTAS!$A509, GESTIONES!$B:$B, BASE_CUENTAS!$C509)</f>
        <v>3</v>
      </c>
      <c r="L509">
        <f>COUNTIFS(GESTIONES!$A:$A, BASE_CUENTAS!$A509,GESTIONES!$B:$B, BASE_CUENTAS!$C509,GESTIONES!$E:$E, "S")</f>
        <v>0</v>
      </c>
      <c r="M509">
        <f>COUNTIFS(GESTIONES!$A:$A, BASE_CUENTAS!$A509,GESTIONES!$B:$B, BASE_CUENTAS!$C509,GESTIONES!$E:$E, "N")</f>
        <v>3</v>
      </c>
      <c r="N509">
        <f>COUNTIFS(GESTIONES!$A:$A, BASE_CUENTAS!$A509,GESTIONES!$B:$B, BASE_CUENTAS!$C509,GESTIONES!$D:$D, "SMS")</f>
        <v>2</v>
      </c>
      <c r="O509">
        <f>SUMIFS(PAGOS!$D:$D,PAGOS!$A:$A, BASE_CUENTAS!$A509,PAGOS!$B:$B, BASE_CUENTAS!$C509)</f>
        <v>50156</v>
      </c>
      <c r="P509" t="str">
        <f>IF(
VLOOKUP($C509,BASE_CIERRE_MES!$C:$G,5,FALSE)=0,
"Normalización",
IF(
VLOOKUP($C509,BASE_CIERRE_MES!$C:$G,5,FALSE)&lt;$H509,
"Recuperación",
IF(
VLOOKUP($C509,BASE_CIERRE_MES!$C:$G,5,FALSE)=$H509,
"Contención",
"Rodamiento"
)))</f>
        <v>Recuperación</v>
      </c>
      <c r="Q509">
        <f t="shared" si="7"/>
        <v>4.2686575039809084E-2</v>
      </c>
    </row>
    <row r="510" spans="1:17" x14ac:dyDescent="0.25">
      <c r="A510">
        <v>8294415</v>
      </c>
      <c r="B510" t="s">
        <v>16</v>
      </c>
      <c r="C510">
        <v>27475022</v>
      </c>
      <c r="D510" t="s">
        <v>12</v>
      </c>
      <c r="E510">
        <v>11976714</v>
      </c>
      <c r="F510" s="2">
        <v>354556</v>
      </c>
      <c r="G510" s="2">
        <v>29138</v>
      </c>
      <c r="H510">
        <v>54</v>
      </c>
      <c r="I510" s="1">
        <v>42476</v>
      </c>
      <c r="J510" t="s">
        <v>6</v>
      </c>
      <c r="K510">
        <f>COUNTIFS(GESTIONES!$A:$A, BASE_CUENTAS!$A510, GESTIONES!$B:$B, BASE_CUENTAS!$C510)</f>
        <v>3</v>
      </c>
      <c r="L510">
        <f>COUNTIFS(GESTIONES!$A:$A, BASE_CUENTAS!$A510,GESTIONES!$B:$B, BASE_CUENTAS!$C510,GESTIONES!$E:$E, "S")</f>
        <v>1</v>
      </c>
      <c r="M510">
        <f>COUNTIFS(GESTIONES!$A:$A, BASE_CUENTAS!$A510,GESTIONES!$B:$B, BASE_CUENTAS!$C510,GESTIONES!$E:$E, "N")</f>
        <v>2</v>
      </c>
      <c r="N510">
        <f>COUNTIFS(GESTIONES!$A:$A, BASE_CUENTAS!$A510,GESTIONES!$B:$B, BASE_CUENTAS!$C510,GESTIONES!$D:$D, "SMS")</f>
        <v>1</v>
      </c>
      <c r="O510">
        <f>SUMIFS(PAGOS!$D:$D,PAGOS!$A:$A, BASE_CUENTAS!$A510,PAGOS!$B:$B, BASE_CUENTAS!$C510)</f>
        <v>0</v>
      </c>
      <c r="P510" t="str">
        <f>IF(
VLOOKUP($C510,BASE_CIERRE_MES!$C:$G,5,FALSE)=0,
"Normalización",
IF(
VLOOKUP($C510,BASE_CIERRE_MES!$C:$G,5,FALSE)&lt;$H510,
"Recuperación",
IF(
VLOOKUP($C510,BASE_CIERRE_MES!$C:$G,5,FALSE)=$H510,
"Contención",
"Rodamiento"
)))</f>
        <v>Rodamiento</v>
      </c>
      <c r="Q510">
        <f t="shared" si="7"/>
        <v>0</v>
      </c>
    </row>
    <row r="511" spans="1:17" x14ac:dyDescent="0.25">
      <c r="A511">
        <v>8294415</v>
      </c>
      <c r="B511" t="s">
        <v>16</v>
      </c>
      <c r="C511">
        <v>27494159</v>
      </c>
      <c r="D511" t="s">
        <v>12</v>
      </c>
      <c r="E511">
        <v>11976714</v>
      </c>
      <c r="F511" s="2">
        <v>176726</v>
      </c>
      <c r="G511" s="2">
        <v>14566</v>
      </c>
      <c r="H511">
        <v>54</v>
      </c>
      <c r="I511" s="1">
        <v>42476</v>
      </c>
      <c r="J511" t="s">
        <v>6</v>
      </c>
      <c r="K511">
        <f>COUNTIFS(GESTIONES!$A:$A, BASE_CUENTAS!$A511, GESTIONES!$B:$B, BASE_CUENTAS!$C511)</f>
        <v>3</v>
      </c>
      <c r="L511">
        <f>COUNTIFS(GESTIONES!$A:$A, BASE_CUENTAS!$A511,GESTIONES!$B:$B, BASE_CUENTAS!$C511,GESTIONES!$E:$E, "S")</f>
        <v>1</v>
      </c>
      <c r="M511">
        <f>COUNTIFS(GESTIONES!$A:$A, BASE_CUENTAS!$A511,GESTIONES!$B:$B, BASE_CUENTAS!$C511,GESTIONES!$E:$E, "N")</f>
        <v>2</v>
      </c>
      <c r="N511">
        <f>COUNTIFS(GESTIONES!$A:$A, BASE_CUENTAS!$A511,GESTIONES!$B:$B, BASE_CUENTAS!$C511,GESTIONES!$D:$D, "SMS")</f>
        <v>0</v>
      </c>
      <c r="O511">
        <f>SUMIFS(PAGOS!$D:$D,PAGOS!$A:$A, BASE_CUENTAS!$A511,PAGOS!$B:$B, BASE_CUENTAS!$C511)</f>
        <v>0</v>
      </c>
      <c r="P511" t="str">
        <f>IF(
VLOOKUP($C511,BASE_CIERRE_MES!$C:$G,5,FALSE)=0,
"Normalización",
IF(
VLOOKUP($C511,BASE_CIERRE_MES!$C:$G,5,FALSE)&lt;$H511,
"Recuperación",
IF(
VLOOKUP($C511,BASE_CIERRE_MES!$C:$G,5,FALSE)=$H511,
"Contención",
"Rodamiento"
)))</f>
        <v>Rodamiento</v>
      </c>
      <c r="Q511">
        <f t="shared" si="7"/>
        <v>0</v>
      </c>
    </row>
    <row r="512" spans="1:17" x14ac:dyDescent="0.25">
      <c r="A512">
        <v>8294415</v>
      </c>
      <c r="B512" t="s">
        <v>16</v>
      </c>
      <c r="C512">
        <v>27650008</v>
      </c>
      <c r="D512" t="s">
        <v>12</v>
      </c>
      <c r="E512">
        <v>11976714</v>
      </c>
      <c r="F512" s="2">
        <v>454469</v>
      </c>
      <c r="G512" s="2">
        <v>33874</v>
      </c>
      <c r="H512">
        <v>54</v>
      </c>
      <c r="I512" s="1">
        <v>42476</v>
      </c>
      <c r="J512" t="s">
        <v>6</v>
      </c>
      <c r="K512">
        <f>COUNTIFS(GESTIONES!$A:$A, BASE_CUENTAS!$A512, GESTIONES!$B:$B, BASE_CUENTAS!$C512)</f>
        <v>3</v>
      </c>
      <c r="L512">
        <f>COUNTIFS(GESTIONES!$A:$A, BASE_CUENTAS!$A512,GESTIONES!$B:$B, BASE_CUENTAS!$C512,GESTIONES!$E:$E, "S")</f>
        <v>1</v>
      </c>
      <c r="M512">
        <f>COUNTIFS(GESTIONES!$A:$A, BASE_CUENTAS!$A512,GESTIONES!$B:$B, BASE_CUENTAS!$C512,GESTIONES!$E:$E, "N")</f>
        <v>2</v>
      </c>
      <c r="N512">
        <f>COUNTIFS(GESTIONES!$A:$A, BASE_CUENTAS!$A512,GESTIONES!$B:$B, BASE_CUENTAS!$C512,GESTIONES!$D:$D, "SMS")</f>
        <v>1</v>
      </c>
      <c r="O512">
        <f>SUMIFS(PAGOS!$D:$D,PAGOS!$A:$A, BASE_CUENTAS!$A512,PAGOS!$B:$B, BASE_CUENTAS!$C512)</f>
        <v>0</v>
      </c>
      <c r="P512" t="str">
        <f>IF(
VLOOKUP($C512,BASE_CIERRE_MES!$C:$G,5,FALSE)=0,
"Normalización",
IF(
VLOOKUP($C512,BASE_CIERRE_MES!$C:$G,5,FALSE)&lt;$H512,
"Recuperación",
IF(
VLOOKUP($C512,BASE_CIERRE_MES!$C:$G,5,FALSE)=$H512,
"Contención",
"Rodamiento"
)))</f>
        <v>Rodamiento</v>
      </c>
      <c r="Q512">
        <f t="shared" si="7"/>
        <v>0</v>
      </c>
    </row>
    <row r="513" spans="1:17" x14ac:dyDescent="0.25">
      <c r="A513">
        <v>8294415</v>
      </c>
      <c r="B513" t="s">
        <v>16</v>
      </c>
      <c r="C513">
        <v>28151154</v>
      </c>
      <c r="D513" t="s">
        <v>12</v>
      </c>
      <c r="E513">
        <v>11976714</v>
      </c>
      <c r="F513" s="2">
        <v>461658</v>
      </c>
      <c r="G513" s="2">
        <v>18084</v>
      </c>
      <c r="H513">
        <v>24</v>
      </c>
      <c r="I513" s="1">
        <v>42507</v>
      </c>
      <c r="J513" t="s">
        <v>6</v>
      </c>
      <c r="K513">
        <f>COUNTIFS(GESTIONES!$A:$A, BASE_CUENTAS!$A513, GESTIONES!$B:$B, BASE_CUENTAS!$C513)</f>
        <v>3</v>
      </c>
      <c r="L513">
        <f>COUNTIFS(GESTIONES!$A:$A, BASE_CUENTAS!$A513,GESTIONES!$B:$B, BASE_CUENTAS!$C513,GESTIONES!$E:$E, "S")</f>
        <v>2</v>
      </c>
      <c r="M513">
        <f>COUNTIFS(GESTIONES!$A:$A, BASE_CUENTAS!$A513,GESTIONES!$B:$B, BASE_CUENTAS!$C513,GESTIONES!$E:$E, "N")</f>
        <v>1</v>
      </c>
      <c r="N513">
        <f>COUNTIFS(GESTIONES!$A:$A, BASE_CUENTAS!$A513,GESTIONES!$B:$B, BASE_CUENTAS!$C513,GESTIONES!$D:$D, "SMS")</f>
        <v>0</v>
      </c>
      <c r="O513">
        <f>SUMIFS(PAGOS!$D:$D,PAGOS!$A:$A, BASE_CUENTAS!$A513,PAGOS!$B:$B, BASE_CUENTAS!$C513)</f>
        <v>18084</v>
      </c>
      <c r="P513" t="str">
        <f>IF(
VLOOKUP($C513,BASE_CIERRE_MES!$C:$G,5,FALSE)=0,
"Normalización",
IF(
VLOOKUP($C513,BASE_CIERRE_MES!$C:$G,5,FALSE)&lt;$H513,
"Recuperación",
IF(
VLOOKUP($C513,BASE_CIERRE_MES!$C:$G,5,FALSE)=$H513,
"Contención",
"Rodamiento"
)))</f>
        <v>Normalización</v>
      </c>
      <c r="Q513">
        <f t="shared" si="7"/>
        <v>3.9171854489687172E-2</v>
      </c>
    </row>
    <row r="514" spans="1:17" x14ac:dyDescent="0.25">
      <c r="A514">
        <v>8294415</v>
      </c>
      <c r="B514" t="s">
        <v>16</v>
      </c>
      <c r="C514">
        <v>28151320</v>
      </c>
      <c r="D514" t="s">
        <v>12</v>
      </c>
      <c r="E514">
        <v>11976714</v>
      </c>
      <c r="F514" s="2">
        <v>276994</v>
      </c>
      <c r="G514" s="2">
        <v>10851</v>
      </c>
      <c r="H514">
        <v>24</v>
      </c>
      <c r="I514" s="1">
        <v>42507</v>
      </c>
      <c r="J514" t="s">
        <v>6</v>
      </c>
      <c r="K514">
        <f>COUNTIFS(GESTIONES!$A:$A, BASE_CUENTAS!$A514, GESTIONES!$B:$B, BASE_CUENTAS!$C514)</f>
        <v>3</v>
      </c>
      <c r="L514">
        <f>COUNTIFS(GESTIONES!$A:$A, BASE_CUENTAS!$A514,GESTIONES!$B:$B, BASE_CUENTAS!$C514,GESTIONES!$E:$E, "S")</f>
        <v>1</v>
      </c>
      <c r="M514">
        <f>COUNTIFS(GESTIONES!$A:$A, BASE_CUENTAS!$A514,GESTIONES!$B:$B, BASE_CUENTAS!$C514,GESTIONES!$E:$E, "N")</f>
        <v>2</v>
      </c>
      <c r="N514">
        <f>COUNTIFS(GESTIONES!$A:$A, BASE_CUENTAS!$A514,GESTIONES!$B:$B, BASE_CUENTAS!$C514,GESTIONES!$D:$D, "SMS")</f>
        <v>1</v>
      </c>
      <c r="O514">
        <f>SUMIFS(PAGOS!$D:$D,PAGOS!$A:$A, BASE_CUENTAS!$A514,PAGOS!$B:$B, BASE_CUENTAS!$C514)</f>
        <v>3617</v>
      </c>
      <c r="P514" t="str">
        <f>IF(
VLOOKUP($C514,BASE_CIERRE_MES!$C:$G,5,FALSE)=0,
"Normalización",
IF(
VLOOKUP($C514,BASE_CIERRE_MES!$C:$G,5,FALSE)&lt;$H514,
"Recuperación",
IF(
VLOOKUP($C514,BASE_CIERRE_MES!$C:$G,5,FALSE)=$H514,
"Contención",
"Rodamiento"
)))</f>
        <v>Rodamiento</v>
      </c>
      <c r="Q514">
        <f t="shared" si="7"/>
        <v>1.3058044578582929E-2</v>
      </c>
    </row>
    <row r="515" spans="1:17" x14ac:dyDescent="0.25">
      <c r="A515">
        <v>8294415</v>
      </c>
      <c r="B515" t="s">
        <v>16</v>
      </c>
      <c r="C515">
        <v>28154208</v>
      </c>
      <c r="D515" t="s">
        <v>12</v>
      </c>
      <c r="E515">
        <v>11976714</v>
      </c>
      <c r="F515" s="2">
        <v>461658</v>
      </c>
      <c r="G515" s="2">
        <v>18084</v>
      </c>
      <c r="H515">
        <v>24</v>
      </c>
      <c r="I515" s="1">
        <v>42507</v>
      </c>
      <c r="J515" t="s">
        <v>6</v>
      </c>
      <c r="K515">
        <f>COUNTIFS(GESTIONES!$A:$A, BASE_CUENTAS!$A515, GESTIONES!$B:$B, BASE_CUENTAS!$C515)</f>
        <v>3</v>
      </c>
      <c r="L515">
        <f>COUNTIFS(GESTIONES!$A:$A, BASE_CUENTAS!$A515,GESTIONES!$B:$B, BASE_CUENTAS!$C515,GESTIONES!$E:$E, "S")</f>
        <v>0</v>
      </c>
      <c r="M515">
        <f>COUNTIFS(GESTIONES!$A:$A, BASE_CUENTAS!$A515,GESTIONES!$B:$B, BASE_CUENTAS!$C515,GESTIONES!$E:$E, "N")</f>
        <v>3</v>
      </c>
      <c r="N515">
        <f>COUNTIFS(GESTIONES!$A:$A, BASE_CUENTAS!$A515,GESTIONES!$B:$B, BASE_CUENTAS!$C515,GESTIONES!$D:$D, "SMS")</f>
        <v>1</v>
      </c>
      <c r="O515">
        <f>SUMIFS(PAGOS!$D:$D,PAGOS!$A:$A, BASE_CUENTAS!$A515,PAGOS!$B:$B, BASE_CUENTAS!$C515)</f>
        <v>0</v>
      </c>
      <c r="P515" t="str">
        <f>IF(
VLOOKUP($C515,BASE_CIERRE_MES!$C:$G,5,FALSE)=0,
"Normalización",
IF(
VLOOKUP($C515,BASE_CIERRE_MES!$C:$G,5,FALSE)&lt;$H515,
"Recuperación",
IF(
VLOOKUP($C515,BASE_CIERRE_MES!$C:$G,5,FALSE)=$H515,
"Contención",
"Rodamiento"
)))</f>
        <v>Rodamiento</v>
      </c>
      <c r="Q515">
        <f t="shared" ref="Q515:Q578" si="8">IF(F515=0,0,VALUE(O515)/VALUE(F515))</f>
        <v>0</v>
      </c>
    </row>
    <row r="516" spans="1:17" x14ac:dyDescent="0.25">
      <c r="A516">
        <v>8294465</v>
      </c>
      <c r="B516" t="s">
        <v>18</v>
      </c>
      <c r="C516">
        <v>25276855</v>
      </c>
      <c r="D516" t="s">
        <v>7</v>
      </c>
      <c r="E516">
        <v>2816565</v>
      </c>
      <c r="F516" s="2">
        <v>38942</v>
      </c>
      <c r="G516" s="2">
        <v>29360</v>
      </c>
      <c r="H516">
        <v>60</v>
      </c>
      <c r="I516" s="1">
        <v>42481</v>
      </c>
      <c r="J516" t="s">
        <v>6</v>
      </c>
      <c r="K516">
        <f>COUNTIFS(GESTIONES!$A:$A, BASE_CUENTAS!$A516, GESTIONES!$B:$B, BASE_CUENTAS!$C516)</f>
        <v>3</v>
      </c>
      <c r="L516">
        <f>COUNTIFS(GESTIONES!$A:$A, BASE_CUENTAS!$A516,GESTIONES!$B:$B, BASE_CUENTAS!$C516,GESTIONES!$E:$E, "S")</f>
        <v>1</v>
      </c>
      <c r="M516">
        <f>COUNTIFS(GESTIONES!$A:$A, BASE_CUENTAS!$A516,GESTIONES!$B:$B, BASE_CUENTAS!$C516,GESTIONES!$E:$E, "N")</f>
        <v>2</v>
      </c>
      <c r="N516">
        <f>COUNTIFS(GESTIONES!$A:$A, BASE_CUENTAS!$A516,GESTIONES!$B:$B, BASE_CUENTAS!$C516,GESTIONES!$D:$D, "SMS")</f>
        <v>1</v>
      </c>
      <c r="O516">
        <f>SUMIFS(PAGOS!$D:$D,PAGOS!$A:$A, BASE_CUENTAS!$A516,PAGOS!$B:$B, BASE_CUENTAS!$C516)</f>
        <v>0</v>
      </c>
      <c r="P516" t="str">
        <f>IF(
VLOOKUP($C516,BASE_CIERRE_MES!$C:$G,5,FALSE)=0,
"Normalización",
IF(
VLOOKUP($C516,BASE_CIERRE_MES!$C:$G,5,FALSE)&lt;$H516,
"Recuperación",
IF(
VLOOKUP($C516,BASE_CIERRE_MES!$C:$G,5,FALSE)=$H516,
"Contención",
"Rodamiento"
)))</f>
        <v>Rodamiento</v>
      </c>
      <c r="Q516">
        <f t="shared" si="8"/>
        <v>0</v>
      </c>
    </row>
    <row r="517" spans="1:17" x14ac:dyDescent="0.25">
      <c r="A517">
        <v>8294484</v>
      </c>
      <c r="B517" t="s">
        <v>18</v>
      </c>
      <c r="C517">
        <v>26897548</v>
      </c>
      <c r="D517" t="s">
        <v>7</v>
      </c>
      <c r="E517">
        <v>1639114</v>
      </c>
      <c r="F517" s="2">
        <v>1639114</v>
      </c>
      <c r="G517" s="2">
        <v>1639114</v>
      </c>
      <c r="H517">
        <v>180</v>
      </c>
      <c r="I517" s="1">
        <v>42491</v>
      </c>
      <c r="J517" t="s">
        <v>5</v>
      </c>
      <c r="K517">
        <f>COUNTIFS(GESTIONES!$A:$A, BASE_CUENTAS!$A517, GESTIONES!$B:$B, BASE_CUENTAS!$C517)</f>
        <v>3</v>
      </c>
      <c r="L517">
        <f>COUNTIFS(GESTIONES!$A:$A, BASE_CUENTAS!$A517,GESTIONES!$B:$B, BASE_CUENTAS!$C517,GESTIONES!$E:$E, "S")</f>
        <v>1</v>
      </c>
      <c r="M517">
        <f>COUNTIFS(GESTIONES!$A:$A, BASE_CUENTAS!$A517,GESTIONES!$B:$B, BASE_CUENTAS!$C517,GESTIONES!$E:$E, "N")</f>
        <v>2</v>
      </c>
      <c r="N517">
        <f>COUNTIFS(GESTIONES!$A:$A, BASE_CUENTAS!$A517,GESTIONES!$B:$B, BASE_CUENTAS!$C517,GESTIONES!$D:$D, "SMS")</f>
        <v>1</v>
      </c>
      <c r="O517">
        <f>SUMIFS(PAGOS!$D:$D,PAGOS!$A:$A, BASE_CUENTAS!$A517,PAGOS!$B:$B, BASE_CUENTAS!$C517)</f>
        <v>819557</v>
      </c>
      <c r="P517" t="str">
        <f>IF(
VLOOKUP($C517,BASE_CIERRE_MES!$C:$G,5,FALSE)=0,
"Normalización",
IF(
VLOOKUP($C517,BASE_CIERRE_MES!$C:$G,5,FALSE)&lt;$H517,
"Recuperación",
IF(
VLOOKUP($C517,BASE_CIERRE_MES!$C:$G,5,FALSE)=$H517,
"Contención",
"Rodamiento"
)))</f>
        <v>Recuperación</v>
      </c>
      <c r="Q517">
        <f t="shared" si="8"/>
        <v>0.5</v>
      </c>
    </row>
    <row r="518" spans="1:17" x14ac:dyDescent="0.25">
      <c r="A518">
        <v>8307776</v>
      </c>
      <c r="B518" t="s">
        <v>18</v>
      </c>
      <c r="C518">
        <v>26204227</v>
      </c>
      <c r="D518" t="s">
        <v>7</v>
      </c>
      <c r="E518">
        <v>1335960</v>
      </c>
      <c r="F518" s="2">
        <v>1335960</v>
      </c>
      <c r="G518" s="2">
        <v>145567</v>
      </c>
      <c r="H518">
        <v>30</v>
      </c>
      <c r="I518" s="1">
        <v>42508</v>
      </c>
      <c r="J518" t="s">
        <v>6</v>
      </c>
      <c r="K518">
        <f>COUNTIFS(GESTIONES!$A:$A, BASE_CUENTAS!$A518, GESTIONES!$B:$B, BASE_CUENTAS!$C518)</f>
        <v>3</v>
      </c>
      <c r="L518">
        <f>COUNTIFS(GESTIONES!$A:$A, BASE_CUENTAS!$A518,GESTIONES!$B:$B, BASE_CUENTAS!$C518,GESTIONES!$E:$E, "S")</f>
        <v>1</v>
      </c>
      <c r="M518">
        <f>COUNTIFS(GESTIONES!$A:$A, BASE_CUENTAS!$A518,GESTIONES!$B:$B, BASE_CUENTAS!$C518,GESTIONES!$E:$E, "N")</f>
        <v>2</v>
      </c>
      <c r="N518">
        <f>COUNTIFS(GESTIONES!$A:$A, BASE_CUENTAS!$A518,GESTIONES!$B:$B, BASE_CUENTAS!$C518,GESTIONES!$D:$D, "SMS")</f>
        <v>0</v>
      </c>
      <c r="O518">
        <f>SUMIFS(PAGOS!$D:$D,PAGOS!$A:$A, BASE_CUENTAS!$A518,PAGOS!$B:$B, BASE_CUENTAS!$C518)</f>
        <v>145567</v>
      </c>
      <c r="P518" t="str">
        <f>IF(
VLOOKUP($C518,BASE_CIERRE_MES!$C:$G,5,FALSE)=0,
"Normalización",
IF(
VLOOKUP($C518,BASE_CIERRE_MES!$C:$G,5,FALSE)&lt;$H518,
"Recuperación",
IF(
VLOOKUP($C518,BASE_CIERRE_MES!$C:$G,5,FALSE)=$H518,
"Contención",
"Rodamiento"
)))</f>
        <v>Normalización</v>
      </c>
      <c r="Q518">
        <f t="shared" si="8"/>
        <v>0.10896059762268331</v>
      </c>
    </row>
    <row r="519" spans="1:17" x14ac:dyDescent="0.25">
      <c r="A519">
        <v>8316522</v>
      </c>
      <c r="B519" t="s">
        <v>16</v>
      </c>
      <c r="C519">
        <v>22697628</v>
      </c>
      <c r="D519" t="s">
        <v>7</v>
      </c>
      <c r="E519">
        <v>37025583</v>
      </c>
      <c r="F519" s="2">
        <v>3033201</v>
      </c>
      <c r="G519" s="2">
        <v>210950</v>
      </c>
      <c r="H519">
        <v>30</v>
      </c>
      <c r="I519" s="1">
        <v>42521</v>
      </c>
      <c r="J519" t="s">
        <v>4</v>
      </c>
      <c r="K519">
        <f>COUNTIFS(GESTIONES!$A:$A, BASE_CUENTAS!$A519, GESTIONES!$B:$B, BASE_CUENTAS!$C519)</f>
        <v>3</v>
      </c>
      <c r="L519">
        <f>COUNTIFS(GESTIONES!$A:$A, BASE_CUENTAS!$A519,GESTIONES!$B:$B, BASE_CUENTAS!$C519,GESTIONES!$E:$E, "S")</f>
        <v>1</v>
      </c>
      <c r="M519">
        <f>COUNTIFS(GESTIONES!$A:$A, BASE_CUENTAS!$A519,GESTIONES!$B:$B, BASE_CUENTAS!$C519,GESTIONES!$E:$E, "N")</f>
        <v>2</v>
      </c>
      <c r="N519">
        <f>COUNTIFS(GESTIONES!$A:$A, BASE_CUENTAS!$A519,GESTIONES!$B:$B, BASE_CUENTAS!$C519,GESTIONES!$D:$D, "SMS")</f>
        <v>1</v>
      </c>
      <c r="O519">
        <f>SUMIFS(PAGOS!$D:$D,PAGOS!$A:$A, BASE_CUENTAS!$A519,PAGOS!$B:$B, BASE_CUENTAS!$C519)</f>
        <v>0</v>
      </c>
      <c r="P519" t="str">
        <f>IF(
VLOOKUP($C519,BASE_CIERRE_MES!$C:$G,5,FALSE)=0,
"Normalización",
IF(
VLOOKUP($C519,BASE_CIERRE_MES!$C:$G,5,FALSE)&lt;$H519,
"Recuperación",
IF(
VLOOKUP($C519,BASE_CIERRE_MES!$C:$G,5,FALSE)=$H519,
"Contención",
"Rodamiento"
)))</f>
        <v>Rodamiento</v>
      </c>
      <c r="Q519">
        <f t="shared" si="8"/>
        <v>0</v>
      </c>
    </row>
    <row r="520" spans="1:17" x14ac:dyDescent="0.25">
      <c r="A520">
        <v>8316522</v>
      </c>
      <c r="B520" t="s">
        <v>16</v>
      </c>
      <c r="C520">
        <v>25377657</v>
      </c>
      <c r="D520" t="s">
        <v>9</v>
      </c>
      <c r="E520">
        <v>37025583</v>
      </c>
      <c r="F520" s="2">
        <v>7198025</v>
      </c>
      <c r="G520" s="2">
        <v>254533</v>
      </c>
      <c r="H520">
        <v>7</v>
      </c>
      <c r="I520" s="1">
        <v>42523</v>
      </c>
      <c r="J520" t="s">
        <v>4</v>
      </c>
      <c r="K520">
        <f>COUNTIFS(GESTIONES!$A:$A, BASE_CUENTAS!$A520, GESTIONES!$B:$B, BASE_CUENTAS!$C520)</f>
        <v>3</v>
      </c>
      <c r="L520">
        <f>COUNTIFS(GESTIONES!$A:$A, BASE_CUENTAS!$A520,GESTIONES!$B:$B, BASE_CUENTAS!$C520,GESTIONES!$E:$E, "S")</f>
        <v>0</v>
      </c>
      <c r="M520">
        <f>COUNTIFS(GESTIONES!$A:$A, BASE_CUENTAS!$A520,GESTIONES!$B:$B, BASE_CUENTAS!$C520,GESTIONES!$E:$E, "N")</f>
        <v>3</v>
      </c>
      <c r="N520">
        <f>COUNTIFS(GESTIONES!$A:$A, BASE_CUENTAS!$A520,GESTIONES!$B:$B, BASE_CUENTAS!$C520,GESTIONES!$D:$D, "SMS")</f>
        <v>1</v>
      </c>
      <c r="O520">
        <f>SUMIFS(PAGOS!$D:$D,PAGOS!$A:$A, BASE_CUENTAS!$A520,PAGOS!$B:$B, BASE_CUENTAS!$C520)</f>
        <v>254533</v>
      </c>
      <c r="P520" t="str">
        <f>IF(
VLOOKUP($C520,BASE_CIERRE_MES!$C:$G,5,FALSE)=0,
"Normalización",
IF(
VLOOKUP($C520,BASE_CIERRE_MES!$C:$G,5,FALSE)&lt;$H520,
"Recuperación",
IF(
VLOOKUP($C520,BASE_CIERRE_MES!$C:$G,5,FALSE)=$H520,
"Contención",
"Rodamiento"
)))</f>
        <v>Normalización</v>
      </c>
      <c r="Q520">
        <f t="shared" si="8"/>
        <v>3.5361505412943132E-2</v>
      </c>
    </row>
    <row r="521" spans="1:17" x14ac:dyDescent="0.25">
      <c r="A521">
        <v>8322016</v>
      </c>
      <c r="B521" t="s">
        <v>18</v>
      </c>
      <c r="C521">
        <v>28234540</v>
      </c>
      <c r="D521" t="s">
        <v>7</v>
      </c>
      <c r="E521">
        <v>1416051</v>
      </c>
      <c r="F521" s="2">
        <v>1416051</v>
      </c>
      <c r="G521" s="2">
        <v>140108</v>
      </c>
      <c r="H521">
        <v>30</v>
      </c>
      <c r="I521" s="1">
        <v>42522</v>
      </c>
      <c r="J521" t="s">
        <v>6</v>
      </c>
      <c r="K521">
        <f>COUNTIFS(GESTIONES!$A:$A, BASE_CUENTAS!$A521, GESTIONES!$B:$B, BASE_CUENTAS!$C521)</f>
        <v>3</v>
      </c>
      <c r="L521">
        <f>COUNTIFS(GESTIONES!$A:$A, BASE_CUENTAS!$A521,GESTIONES!$B:$B, BASE_CUENTAS!$C521,GESTIONES!$E:$E, "S")</f>
        <v>1</v>
      </c>
      <c r="M521">
        <f>COUNTIFS(GESTIONES!$A:$A, BASE_CUENTAS!$A521,GESTIONES!$B:$B, BASE_CUENTAS!$C521,GESTIONES!$E:$E, "N")</f>
        <v>2</v>
      </c>
      <c r="N521">
        <f>COUNTIFS(GESTIONES!$A:$A, BASE_CUENTAS!$A521,GESTIONES!$B:$B, BASE_CUENTAS!$C521,GESTIONES!$D:$D, "SMS")</f>
        <v>1</v>
      </c>
      <c r="O521">
        <f>SUMIFS(PAGOS!$D:$D,PAGOS!$A:$A, BASE_CUENTAS!$A521,PAGOS!$B:$B, BASE_CUENTAS!$C521)</f>
        <v>0</v>
      </c>
      <c r="P521" t="str">
        <f>IF(
VLOOKUP($C521,BASE_CIERRE_MES!$C:$G,5,FALSE)=0,
"Normalización",
IF(
VLOOKUP($C521,BASE_CIERRE_MES!$C:$G,5,FALSE)&lt;$H521,
"Recuperación",
IF(
VLOOKUP($C521,BASE_CIERRE_MES!$C:$G,5,FALSE)=$H521,
"Contención",
"Rodamiento"
)))</f>
        <v>Rodamiento</v>
      </c>
      <c r="Q521">
        <f t="shared" si="8"/>
        <v>0</v>
      </c>
    </row>
    <row r="522" spans="1:17" x14ac:dyDescent="0.25">
      <c r="A522">
        <v>8322484</v>
      </c>
      <c r="B522" t="s">
        <v>18</v>
      </c>
      <c r="C522">
        <v>16140274</v>
      </c>
      <c r="D522" t="s">
        <v>7</v>
      </c>
      <c r="E522">
        <v>1627332</v>
      </c>
      <c r="F522" s="2">
        <v>781273</v>
      </c>
      <c r="G522" s="2">
        <v>781273</v>
      </c>
      <c r="H522">
        <v>150</v>
      </c>
      <c r="I522" s="1">
        <v>42519</v>
      </c>
      <c r="J522" t="s">
        <v>5</v>
      </c>
      <c r="K522">
        <f>COUNTIFS(GESTIONES!$A:$A, BASE_CUENTAS!$A522, GESTIONES!$B:$B, BASE_CUENTAS!$C522)</f>
        <v>3</v>
      </c>
      <c r="L522">
        <f>COUNTIFS(GESTIONES!$A:$A, BASE_CUENTAS!$A522,GESTIONES!$B:$B, BASE_CUENTAS!$C522,GESTIONES!$E:$E, "S")</f>
        <v>1</v>
      </c>
      <c r="M522">
        <f>COUNTIFS(GESTIONES!$A:$A, BASE_CUENTAS!$A522,GESTIONES!$B:$B, BASE_CUENTAS!$C522,GESTIONES!$E:$E, "N")</f>
        <v>2</v>
      </c>
      <c r="N522">
        <f>COUNTIFS(GESTIONES!$A:$A, BASE_CUENTAS!$A522,GESTIONES!$B:$B, BASE_CUENTAS!$C522,GESTIONES!$D:$D, "SMS")</f>
        <v>1</v>
      </c>
      <c r="O522">
        <f>SUMIFS(PAGOS!$D:$D,PAGOS!$A:$A, BASE_CUENTAS!$A522,PAGOS!$B:$B, BASE_CUENTAS!$C522)</f>
        <v>781273</v>
      </c>
      <c r="P522" t="str">
        <f>IF(
VLOOKUP($C522,BASE_CIERRE_MES!$C:$G,5,FALSE)=0,
"Normalización",
IF(
VLOOKUP($C522,BASE_CIERRE_MES!$C:$G,5,FALSE)&lt;$H522,
"Recuperación",
IF(
VLOOKUP($C522,BASE_CIERRE_MES!$C:$G,5,FALSE)=$H522,
"Contención",
"Rodamiento"
)))</f>
        <v>Normalización</v>
      </c>
      <c r="Q522">
        <f t="shared" si="8"/>
        <v>1</v>
      </c>
    </row>
    <row r="523" spans="1:17" x14ac:dyDescent="0.25">
      <c r="A523">
        <v>8322484</v>
      </c>
      <c r="B523" t="s">
        <v>18</v>
      </c>
      <c r="C523">
        <v>21785894</v>
      </c>
      <c r="D523" t="s">
        <v>7</v>
      </c>
      <c r="E523">
        <v>1627332</v>
      </c>
      <c r="F523" s="2">
        <v>846059</v>
      </c>
      <c r="G523" s="2">
        <v>846059</v>
      </c>
      <c r="H523">
        <v>150</v>
      </c>
      <c r="I523" s="1">
        <v>42519</v>
      </c>
      <c r="J523" t="s">
        <v>5</v>
      </c>
      <c r="K523">
        <f>COUNTIFS(GESTIONES!$A:$A, BASE_CUENTAS!$A523, GESTIONES!$B:$B, BASE_CUENTAS!$C523)</f>
        <v>3</v>
      </c>
      <c r="L523">
        <f>COUNTIFS(GESTIONES!$A:$A, BASE_CUENTAS!$A523,GESTIONES!$B:$B, BASE_CUENTAS!$C523,GESTIONES!$E:$E, "S")</f>
        <v>1</v>
      </c>
      <c r="M523">
        <f>COUNTIFS(GESTIONES!$A:$A, BASE_CUENTAS!$A523,GESTIONES!$B:$B, BASE_CUENTAS!$C523,GESTIONES!$E:$E, "N")</f>
        <v>2</v>
      </c>
      <c r="N523">
        <f>COUNTIFS(GESTIONES!$A:$A, BASE_CUENTAS!$A523,GESTIONES!$B:$B, BASE_CUENTAS!$C523,GESTIONES!$D:$D, "SMS")</f>
        <v>0</v>
      </c>
      <c r="O523">
        <f>SUMIFS(PAGOS!$D:$D,PAGOS!$A:$A, BASE_CUENTAS!$A523,PAGOS!$B:$B, BASE_CUENTAS!$C523)</f>
        <v>282019</v>
      </c>
      <c r="P523" t="str">
        <f>IF(
VLOOKUP($C523,BASE_CIERRE_MES!$C:$G,5,FALSE)=0,
"Normalización",
IF(
VLOOKUP($C523,BASE_CIERRE_MES!$C:$G,5,FALSE)&lt;$H523,
"Recuperación",
IF(
VLOOKUP($C523,BASE_CIERRE_MES!$C:$G,5,FALSE)=$H523,
"Contención",
"Rodamiento"
)))</f>
        <v>Contención</v>
      </c>
      <c r="Q523">
        <f t="shared" si="8"/>
        <v>0.33333254536622148</v>
      </c>
    </row>
    <row r="524" spans="1:17" x14ac:dyDescent="0.25">
      <c r="A524">
        <v>8349062</v>
      </c>
      <c r="B524" t="s">
        <v>18</v>
      </c>
      <c r="C524">
        <v>25859215</v>
      </c>
      <c r="D524" t="s">
        <v>7</v>
      </c>
      <c r="E524">
        <v>1372447</v>
      </c>
      <c r="F524" s="2">
        <v>1372447</v>
      </c>
      <c r="G524" s="2">
        <v>1372447</v>
      </c>
      <c r="H524">
        <v>120</v>
      </c>
      <c r="I524" s="1">
        <v>42519</v>
      </c>
      <c r="J524" t="s">
        <v>5</v>
      </c>
      <c r="K524">
        <f>COUNTIFS(GESTIONES!$A:$A, BASE_CUENTAS!$A524, GESTIONES!$B:$B, BASE_CUENTAS!$C524)</f>
        <v>3</v>
      </c>
      <c r="L524">
        <f>COUNTIFS(GESTIONES!$A:$A, BASE_CUENTAS!$A524,GESTIONES!$B:$B, BASE_CUENTAS!$C524,GESTIONES!$E:$E, "S")</f>
        <v>1</v>
      </c>
      <c r="M524">
        <f>COUNTIFS(GESTIONES!$A:$A, BASE_CUENTAS!$A524,GESTIONES!$B:$B, BASE_CUENTAS!$C524,GESTIONES!$E:$E, "N")</f>
        <v>2</v>
      </c>
      <c r="N524">
        <f>COUNTIFS(GESTIONES!$A:$A, BASE_CUENTAS!$A524,GESTIONES!$B:$B, BASE_CUENTAS!$C524,GESTIONES!$D:$D, "SMS")</f>
        <v>1</v>
      </c>
      <c r="O524">
        <f>SUMIFS(PAGOS!$D:$D,PAGOS!$A:$A, BASE_CUENTAS!$A524,PAGOS!$B:$B, BASE_CUENTAS!$C524)</f>
        <v>0</v>
      </c>
      <c r="P524" t="str">
        <f>IF(
VLOOKUP($C524,BASE_CIERRE_MES!$C:$G,5,FALSE)=0,
"Normalización",
IF(
VLOOKUP($C524,BASE_CIERRE_MES!$C:$G,5,FALSE)&lt;$H524,
"Recuperación",
IF(
VLOOKUP($C524,BASE_CIERRE_MES!$C:$G,5,FALSE)=$H524,
"Contención",
"Rodamiento"
)))</f>
        <v>Recuperación</v>
      </c>
      <c r="Q524">
        <f t="shared" si="8"/>
        <v>0</v>
      </c>
    </row>
    <row r="525" spans="1:17" x14ac:dyDescent="0.25">
      <c r="A525">
        <v>8349681</v>
      </c>
      <c r="B525" t="s">
        <v>18</v>
      </c>
      <c r="C525">
        <v>24807405</v>
      </c>
      <c r="D525" t="s">
        <v>7</v>
      </c>
      <c r="E525">
        <v>1424591</v>
      </c>
      <c r="F525" s="2">
        <v>1424591</v>
      </c>
      <c r="G525" s="2">
        <v>375000</v>
      </c>
      <c r="H525">
        <v>60</v>
      </c>
      <c r="I525" s="1">
        <v>42490</v>
      </c>
      <c r="J525" t="s">
        <v>6</v>
      </c>
      <c r="K525">
        <f>COUNTIFS(GESTIONES!$A:$A, BASE_CUENTAS!$A525, GESTIONES!$B:$B, BASE_CUENTAS!$C525)</f>
        <v>3</v>
      </c>
      <c r="L525">
        <f>COUNTIFS(GESTIONES!$A:$A, BASE_CUENTAS!$A525,GESTIONES!$B:$B, BASE_CUENTAS!$C525,GESTIONES!$E:$E, "S")</f>
        <v>0</v>
      </c>
      <c r="M525">
        <f>COUNTIFS(GESTIONES!$A:$A, BASE_CUENTAS!$A525,GESTIONES!$B:$B, BASE_CUENTAS!$C525,GESTIONES!$E:$E, "N")</f>
        <v>3</v>
      </c>
      <c r="N525">
        <f>COUNTIFS(GESTIONES!$A:$A, BASE_CUENTAS!$A525,GESTIONES!$B:$B, BASE_CUENTAS!$C525,GESTIONES!$D:$D, "SMS")</f>
        <v>1</v>
      </c>
      <c r="O525">
        <f>SUMIFS(PAGOS!$D:$D,PAGOS!$A:$A, BASE_CUENTAS!$A525,PAGOS!$B:$B, BASE_CUENTAS!$C525)</f>
        <v>0</v>
      </c>
      <c r="P525" t="str">
        <f>IF(
VLOOKUP($C525,BASE_CIERRE_MES!$C:$G,5,FALSE)=0,
"Normalización",
IF(
VLOOKUP($C525,BASE_CIERRE_MES!$C:$G,5,FALSE)&lt;$H525,
"Recuperación",
IF(
VLOOKUP($C525,BASE_CIERRE_MES!$C:$G,5,FALSE)=$H525,
"Contención",
"Rodamiento"
)))</f>
        <v>Rodamiento</v>
      </c>
      <c r="Q525">
        <f t="shared" si="8"/>
        <v>0</v>
      </c>
    </row>
    <row r="526" spans="1:17" x14ac:dyDescent="0.25">
      <c r="A526">
        <v>8350430</v>
      </c>
      <c r="B526" t="s">
        <v>17</v>
      </c>
      <c r="C526">
        <v>26724769</v>
      </c>
      <c r="D526" t="s">
        <v>7</v>
      </c>
      <c r="E526">
        <v>4598371</v>
      </c>
      <c r="F526" s="2">
        <v>2133979</v>
      </c>
      <c r="G526" s="2">
        <v>2133979</v>
      </c>
      <c r="H526">
        <v>270</v>
      </c>
      <c r="I526" s="1">
        <v>42509</v>
      </c>
      <c r="J526" t="s">
        <v>5</v>
      </c>
      <c r="K526">
        <f>COUNTIFS(GESTIONES!$A:$A, BASE_CUENTAS!$A526, GESTIONES!$B:$B, BASE_CUENTAS!$C526)</f>
        <v>3</v>
      </c>
      <c r="L526">
        <f>COUNTIFS(GESTIONES!$A:$A, BASE_CUENTAS!$A526,GESTIONES!$B:$B, BASE_CUENTAS!$C526,GESTIONES!$E:$E, "S")</f>
        <v>1</v>
      </c>
      <c r="M526">
        <f>COUNTIFS(GESTIONES!$A:$A, BASE_CUENTAS!$A526,GESTIONES!$B:$B, BASE_CUENTAS!$C526,GESTIONES!$E:$E, "N")</f>
        <v>2</v>
      </c>
      <c r="N526">
        <f>COUNTIFS(GESTIONES!$A:$A, BASE_CUENTAS!$A526,GESTIONES!$B:$B, BASE_CUENTAS!$C526,GESTIONES!$D:$D, "SMS")</f>
        <v>1</v>
      </c>
      <c r="O526">
        <f>SUMIFS(PAGOS!$D:$D,PAGOS!$A:$A, BASE_CUENTAS!$A526,PAGOS!$B:$B, BASE_CUENTAS!$C526)</f>
        <v>0</v>
      </c>
      <c r="P526" t="str">
        <f>IF(
VLOOKUP($C526,BASE_CIERRE_MES!$C:$G,5,FALSE)=0,
"Normalización",
IF(
VLOOKUP($C526,BASE_CIERRE_MES!$C:$G,5,FALSE)&lt;$H526,
"Recuperación",
IF(
VLOOKUP($C526,BASE_CIERRE_MES!$C:$G,5,FALSE)=$H526,
"Contención",
"Rodamiento"
)))</f>
        <v>Recuperación</v>
      </c>
      <c r="Q526">
        <f t="shared" si="8"/>
        <v>0</v>
      </c>
    </row>
    <row r="527" spans="1:17" x14ac:dyDescent="0.25">
      <c r="A527">
        <v>8350430</v>
      </c>
      <c r="B527" t="s">
        <v>17</v>
      </c>
      <c r="C527">
        <v>26726954</v>
      </c>
      <c r="D527" t="s">
        <v>7</v>
      </c>
      <c r="E527">
        <v>4598371</v>
      </c>
      <c r="F527" s="2">
        <v>2464392</v>
      </c>
      <c r="G527" s="2">
        <v>2464392</v>
      </c>
      <c r="H527">
        <v>210</v>
      </c>
      <c r="I527" s="1">
        <v>42448</v>
      </c>
      <c r="J527" t="s">
        <v>5</v>
      </c>
      <c r="K527">
        <f>COUNTIFS(GESTIONES!$A:$A, BASE_CUENTAS!$A527, GESTIONES!$B:$B, BASE_CUENTAS!$C527)</f>
        <v>3</v>
      </c>
      <c r="L527">
        <f>COUNTIFS(GESTIONES!$A:$A, BASE_CUENTAS!$A527,GESTIONES!$B:$B, BASE_CUENTAS!$C527,GESTIONES!$E:$E, "S")</f>
        <v>1</v>
      </c>
      <c r="M527">
        <f>COUNTIFS(GESTIONES!$A:$A, BASE_CUENTAS!$A527,GESTIONES!$B:$B, BASE_CUENTAS!$C527,GESTIONES!$E:$E, "N")</f>
        <v>2</v>
      </c>
      <c r="N527">
        <f>COUNTIFS(GESTIONES!$A:$A, BASE_CUENTAS!$A527,GESTIONES!$B:$B, BASE_CUENTAS!$C527,GESTIONES!$D:$D, "SMS")</f>
        <v>1</v>
      </c>
      <c r="O527">
        <f>SUMIFS(PAGOS!$D:$D,PAGOS!$A:$A, BASE_CUENTAS!$A527,PAGOS!$B:$B, BASE_CUENTAS!$C527)</f>
        <v>2464392</v>
      </c>
      <c r="P527" t="str">
        <f>IF(
VLOOKUP($C527,BASE_CIERRE_MES!$C:$G,5,FALSE)=0,
"Normalización",
IF(
VLOOKUP($C527,BASE_CIERRE_MES!$C:$G,5,FALSE)&lt;$H527,
"Recuperación",
IF(
VLOOKUP($C527,BASE_CIERRE_MES!$C:$G,5,FALSE)=$H527,
"Contención",
"Rodamiento"
)))</f>
        <v>Normalización</v>
      </c>
      <c r="Q527">
        <f t="shared" si="8"/>
        <v>1</v>
      </c>
    </row>
    <row r="528" spans="1:17" x14ac:dyDescent="0.25">
      <c r="A528">
        <v>8350710</v>
      </c>
      <c r="B528" t="s">
        <v>18</v>
      </c>
      <c r="C528">
        <v>26378338</v>
      </c>
      <c r="D528" t="s">
        <v>7</v>
      </c>
      <c r="E528">
        <v>1111762</v>
      </c>
      <c r="F528" s="2">
        <v>1111762</v>
      </c>
      <c r="G528" s="2">
        <v>424195</v>
      </c>
      <c r="H528">
        <v>90</v>
      </c>
      <c r="I528" s="1">
        <v>42509</v>
      </c>
      <c r="J528" t="s">
        <v>6</v>
      </c>
      <c r="K528">
        <f>COUNTIFS(GESTIONES!$A:$A, BASE_CUENTAS!$A528, GESTIONES!$B:$B, BASE_CUENTAS!$C528)</f>
        <v>3</v>
      </c>
      <c r="L528">
        <f>COUNTIFS(GESTIONES!$A:$A, BASE_CUENTAS!$A528,GESTIONES!$B:$B, BASE_CUENTAS!$C528,GESTIONES!$E:$E, "S")</f>
        <v>1</v>
      </c>
      <c r="M528">
        <f>COUNTIFS(GESTIONES!$A:$A, BASE_CUENTAS!$A528,GESTIONES!$B:$B, BASE_CUENTAS!$C528,GESTIONES!$E:$E, "N")</f>
        <v>2</v>
      </c>
      <c r="N528">
        <f>COUNTIFS(GESTIONES!$A:$A, BASE_CUENTAS!$A528,GESTIONES!$B:$B, BASE_CUENTAS!$C528,GESTIONES!$D:$D, "SMS")</f>
        <v>0</v>
      </c>
      <c r="O528">
        <f>SUMIFS(PAGOS!$D:$D,PAGOS!$A:$A, BASE_CUENTAS!$A528,PAGOS!$B:$B, BASE_CUENTAS!$C528)</f>
        <v>0</v>
      </c>
      <c r="P528" t="str">
        <f>IF(
VLOOKUP($C528,BASE_CIERRE_MES!$C:$G,5,FALSE)=0,
"Normalización",
IF(
VLOOKUP($C528,BASE_CIERRE_MES!$C:$G,5,FALSE)&lt;$H528,
"Recuperación",
IF(
VLOOKUP($C528,BASE_CIERRE_MES!$C:$G,5,FALSE)=$H528,
"Contención",
"Rodamiento"
)))</f>
        <v>Recuperación</v>
      </c>
      <c r="Q528">
        <f t="shared" si="8"/>
        <v>0</v>
      </c>
    </row>
    <row r="529" spans="1:17" x14ac:dyDescent="0.25">
      <c r="A529">
        <v>8350978</v>
      </c>
      <c r="B529" t="s">
        <v>18</v>
      </c>
      <c r="C529">
        <v>23577494</v>
      </c>
      <c r="D529" t="s">
        <v>7</v>
      </c>
      <c r="E529">
        <v>1175778</v>
      </c>
      <c r="F529" s="2">
        <v>1175778</v>
      </c>
      <c r="G529" s="2">
        <v>1175778</v>
      </c>
      <c r="H529">
        <v>180</v>
      </c>
      <c r="I529" s="1">
        <v>42480</v>
      </c>
      <c r="J529" t="s">
        <v>5</v>
      </c>
      <c r="K529">
        <f>COUNTIFS(GESTIONES!$A:$A, BASE_CUENTAS!$A529, GESTIONES!$B:$B, BASE_CUENTAS!$C529)</f>
        <v>3</v>
      </c>
      <c r="L529">
        <f>COUNTIFS(GESTIONES!$A:$A, BASE_CUENTAS!$A529,GESTIONES!$B:$B, BASE_CUENTAS!$C529,GESTIONES!$E:$E, "S")</f>
        <v>2</v>
      </c>
      <c r="M529">
        <f>COUNTIFS(GESTIONES!$A:$A, BASE_CUENTAS!$A529,GESTIONES!$B:$B, BASE_CUENTAS!$C529,GESTIONES!$E:$E, "N")</f>
        <v>1</v>
      </c>
      <c r="N529">
        <f>COUNTIFS(GESTIONES!$A:$A, BASE_CUENTAS!$A529,GESTIONES!$B:$B, BASE_CUENTAS!$C529,GESTIONES!$D:$D, "SMS")</f>
        <v>1</v>
      </c>
      <c r="O529">
        <f>SUMIFS(PAGOS!$D:$D,PAGOS!$A:$A, BASE_CUENTAS!$A529,PAGOS!$B:$B, BASE_CUENTAS!$C529)</f>
        <v>0</v>
      </c>
      <c r="P529" t="str">
        <f>IF(
VLOOKUP($C529,BASE_CIERRE_MES!$C:$G,5,FALSE)=0,
"Normalización",
IF(
VLOOKUP($C529,BASE_CIERRE_MES!$C:$G,5,FALSE)&lt;$H529,
"Recuperación",
IF(
VLOOKUP($C529,BASE_CIERRE_MES!$C:$G,5,FALSE)=$H529,
"Contención",
"Rodamiento"
)))</f>
        <v>Recuperación</v>
      </c>
      <c r="Q529">
        <f t="shared" si="8"/>
        <v>0</v>
      </c>
    </row>
    <row r="530" spans="1:17" x14ac:dyDescent="0.25">
      <c r="A530">
        <v>8351047</v>
      </c>
      <c r="B530" t="s">
        <v>18</v>
      </c>
      <c r="C530">
        <v>24368978</v>
      </c>
      <c r="D530" t="s">
        <v>7</v>
      </c>
      <c r="E530">
        <v>2869281</v>
      </c>
      <c r="F530" s="2">
        <v>1174300</v>
      </c>
      <c r="G530" s="2">
        <v>119355</v>
      </c>
      <c r="H530">
        <v>30</v>
      </c>
      <c r="I530" s="1">
        <v>42509</v>
      </c>
      <c r="J530" t="s">
        <v>6</v>
      </c>
      <c r="K530">
        <f>COUNTIFS(GESTIONES!$A:$A, BASE_CUENTAS!$A530, GESTIONES!$B:$B, BASE_CUENTAS!$C530)</f>
        <v>3</v>
      </c>
      <c r="L530">
        <f>COUNTIFS(GESTIONES!$A:$A, BASE_CUENTAS!$A530,GESTIONES!$B:$B, BASE_CUENTAS!$C530,GESTIONES!$E:$E, "S")</f>
        <v>1</v>
      </c>
      <c r="M530">
        <f>COUNTIFS(GESTIONES!$A:$A, BASE_CUENTAS!$A530,GESTIONES!$B:$B, BASE_CUENTAS!$C530,GESTIONES!$E:$E, "N")</f>
        <v>2</v>
      </c>
      <c r="N530">
        <f>COUNTIFS(GESTIONES!$A:$A, BASE_CUENTAS!$A530,GESTIONES!$B:$B, BASE_CUENTAS!$C530,GESTIONES!$D:$D, "SMS")</f>
        <v>0</v>
      </c>
      <c r="O530">
        <f>SUMIFS(PAGOS!$D:$D,PAGOS!$A:$A, BASE_CUENTAS!$A530,PAGOS!$B:$B, BASE_CUENTAS!$C530)</f>
        <v>119355</v>
      </c>
      <c r="P530" t="str">
        <f>IF(
VLOOKUP($C530,BASE_CIERRE_MES!$C:$G,5,FALSE)=0,
"Normalización",
IF(
VLOOKUP($C530,BASE_CIERRE_MES!$C:$G,5,FALSE)&lt;$H530,
"Recuperación",
IF(
VLOOKUP($C530,BASE_CIERRE_MES!$C:$G,5,FALSE)=$H530,
"Contención",
"Rodamiento"
)))</f>
        <v>Normalización</v>
      </c>
      <c r="Q530">
        <f t="shared" si="8"/>
        <v>0.10163927446138125</v>
      </c>
    </row>
    <row r="531" spans="1:17" x14ac:dyDescent="0.25">
      <c r="A531">
        <v>8356945</v>
      </c>
      <c r="B531" t="s">
        <v>18</v>
      </c>
      <c r="C531">
        <v>23046024</v>
      </c>
      <c r="D531" t="s">
        <v>7</v>
      </c>
      <c r="E531">
        <v>1368289</v>
      </c>
      <c r="F531" s="2">
        <v>244674</v>
      </c>
      <c r="G531" s="2">
        <v>115466</v>
      </c>
      <c r="H531">
        <v>30</v>
      </c>
      <c r="I531" s="1">
        <v>42521</v>
      </c>
      <c r="J531" t="s">
        <v>4</v>
      </c>
      <c r="K531">
        <f>COUNTIFS(GESTIONES!$A:$A, BASE_CUENTAS!$A531, GESTIONES!$B:$B, BASE_CUENTAS!$C531)</f>
        <v>3</v>
      </c>
      <c r="L531">
        <f>COUNTIFS(GESTIONES!$A:$A, BASE_CUENTAS!$A531,GESTIONES!$B:$B, BASE_CUENTAS!$C531,GESTIONES!$E:$E, "S")</f>
        <v>0</v>
      </c>
      <c r="M531">
        <f>COUNTIFS(GESTIONES!$A:$A, BASE_CUENTAS!$A531,GESTIONES!$B:$B, BASE_CUENTAS!$C531,GESTIONES!$E:$E, "N")</f>
        <v>3</v>
      </c>
      <c r="N531">
        <f>COUNTIFS(GESTIONES!$A:$A, BASE_CUENTAS!$A531,GESTIONES!$B:$B, BASE_CUENTAS!$C531,GESTIONES!$D:$D, "SMS")</f>
        <v>1</v>
      </c>
      <c r="O531">
        <f>SUMIFS(PAGOS!$D:$D,PAGOS!$A:$A, BASE_CUENTAS!$A531,PAGOS!$B:$B, BASE_CUENTAS!$C531)</f>
        <v>0</v>
      </c>
      <c r="P531" t="str">
        <f>IF(
VLOOKUP($C531,BASE_CIERRE_MES!$C:$G,5,FALSE)=0,
"Normalización",
IF(
VLOOKUP($C531,BASE_CIERRE_MES!$C:$G,5,FALSE)&lt;$H531,
"Recuperación",
IF(
VLOOKUP($C531,BASE_CIERRE_MES!$C:$G,5,FALSE)=$H531,
"Contención",
"Rodamiento"
)))</f>
        <v>Rodamiento</v>
      </c>
      <c r="Q531">
        <f t="shared" si="8"/>
        <v>0</v>
      </c>
    </row>
    <row r="532" spans="1:17" x14ac:dyDescent="0.25">
      <c r="A532">
        <v>8357219</v>
      </c>
      <c r="B532" t="s">
        <v>16</v>
      </c>
      <c r="C532">
        <v>27217004</v>
      </c>
      <c r="D532" t="s">
        <v>9</v>
      </c>
      <c r="E532">
        <v>63371274</v>
      </c>
      <c r="F532" s="2">
        <v>27520056</v>
      </c>
      <c r="G532" s="2">
        <v>994366</v>
      </c>
      <c r="H532">
        <v>17</v>
      </c>
      <c r="I532" s="1">
        <v>42514</v>
      </c>
      <c r="J532" t="s">
        <v>5</v>
      </c>
      <c r="K532">
        <f>COUNTIFS(GESTIONES!$A:$A, BASE_CUENTAS!$A532, GESTIONES!$B:$B, BASE_CUENTAS!$C532)</f>
        <v>3</v>
      </c>
      <c r="L532">
        <f>COUNTIFS(GESTIONES!$A:$A, BASE_CUENTAS!$A532,GESTIONES!$B:$B, BASE_CUENTAS!$C532,GESTIONES!$E:$E, "S")</f>
        <v>1</v>
      </c>
      <c r="M532">
        <f>COUNTIFS(GESTIONES!$A:$A, BASE_CUENTAS!$A532,GESTIONES!$B:$B, BASE_CUENTAS!$C532,GESTIONES!$E:$E, "N")</f>
        <v>2</v>
      </c>
      <c r="N532">
        <f>COUNTIFS(GESTIONES!$A:$A, BASE_CUENTAS!$A532,GESTIONES!$B:$B, BASE_CUENTAS!$C532,GESTIONES!$D:$D, "SMS")</f>
        <v>2</v>
      </c>
      <c r="O532">
        <f>SUMIFS(PAGOS!$D:$D,PAGOS!$A:$A, BASE_CUENTAS!$A532,PAGOS!$B:$B, BASE_CUENTAS!$C532)</f>
        <v>994366</v>
      </c>
      <c r="P532" t="str">
        <f>IF(
VLOOKUP($C532,BASE_CIERRE_MES!$C:$G,5,FALSE)=0,
"Normalización",
IF(
VLOOKUP($C532,BASE_CIERRE_MES!$C:$G,5,FALSE)&lt;$H532,
"Recuperación",
IF(
VLOOKUP($C532,BASE_CIERRE_MES!$C:$G,5,FALSE)=$H532,
"Contención",
"Rodamiento"
)))</f>
        <v>Normalización</v>
      </c>
      <c r="Q532">
        <f t="shared" si="8"/>
        <v>3.6132411939859423E-2</v>
      </c>
    </row>
    <row r="533" spans="1:17" x14ac:dyDescent="0.25">
      <c r="A533">
        <v>8357219</v>
      </c>
      <c r="B533" t="s">
        <v>16</v>
      </c>
      <c r="C533">
        <v>27253545</v>
      </c>
      <c r="D533" t="s">
        <v>7</v>
      </c>
      <c r="E533">
        <v>63371274</v>
      </c>
      <c r="F533" s="2">
        <v>9002262</v>
      </c>
      <c r="G533" s="2">
        <v>943196</v>
      </c>
      <c r="H533">
        <v>30</v>
      </c>
      <c r="I533" s="1">
        <v>42508</v>
      </c>
      <c r="J533" t="s">
        <v>5</v>
      </c>
      <c r="K533">
        <f>COUNTIFS(GESTIONES!$A:$A, BASE_CUENTAS!$A533, GESTIONES!$B:$B, BASE_CUENTAS!$C533)</f>
        <v>3</v>
      </c>
      <c r="L533">
        <f>COUNTIFS(GESTIONES!$A:$A, BASE_CUENTAS!$A533,GESTIONES!$B:$B, BASE_CUENTAS!$C533,GESTIONES!$E:$E, "S")</f>
        <v>1</v>
      </c>
      <c r="M533">
        <f>COUNTIFS(GESTIONES!$A:$A, BASE_CUENTAS!$A533,GESTIONES!$B:$B, BASE_CUENTAS!$C533,GESTIONES!$E:$E, "N")</f>
        <v>2</v>
      </c>
      <c r="N533">
        <f>COUNTIFS(GESTIONES!$A:$A, BASE_CUENTAS!$A533,GESTIONES!$B:$B, BASE_CUENTAS!$C533,GESTIONES!$D:$D, "SMS")</f>
        <v>0</v>
      </c>
      <c r="O533">
        <f>SUMIFS(PAGOS!$D:$D,PAGOS!$A:$A, BASE_CUENTAS!$A533,PAGOS!$B:$B, BASE_CUENTAS!$C533)</f>
        <v>471598</v>
      </c>
      <c r="P533" t="str">
        <f>IF(
VLOOKUP($C533,BASE_CIERRE_MES!$C:$G,5,FALSE)=0,
"Normalización",
IF(
VLOOKUP($C533,BASE_CIERRE_MES!$C:$G,5,FALSE)&lt;$H533,
"Recuperación",
IF(
VLOOKUP($C533,BASE_CIERRE_MES!$C:$G,5,FALSE)=$H533,
"Contención",
"Rodamiento"
)))</f>
        <v>Recuperación</v>
      </c>
      <c r="Q533">
        <f t="shared" si="8"/>
        <v>5.2386611276143705E-2</v>
      </c>
    </row>
    <row r="534" spans="1:17" x14ac:dyDescent="0.25">
      <c r="A534">
        <v>8357227</v>
      </c>
      <c r="B534" t="s">
        <v>18</v>
      </c>
      <c r="C534">
        <v>26369502</v>
      </c>
      <c r="D534" t="s">
        <v>7</v>
      </c>
      <c r="E534">
        <v>678366</v>
      </c>
      <c r="F534" s="2">
        <v>678366</v>
      </c>
      <c r="G534" s="2">
        <v>164287</v>
      </c>
      <c r="H534">
        <v>30</v>
      </c>
      <c r="I534" s="1">
        <v>42521</v>
      </c>
      <c r="J534" t="s">
        <v>4</v>
      </c>
      <c r="K534">
        <f>COUNTIFS(GESTIONES!$A:$A, BASE_CUENTAS!$A534, GESTIONES!$B:$B, BASE_CUENTAS!$C534)</f>
        <v>3</v>
      </c>
      <c r="L534">
        <f>COUNTIFS(GESTIONES!$A:$A, BASE_CUENTAS!$A534,GESTIONES!$B:$B, BASE_CUENTAS!$C534,GESTIONES!$E:$E, "S")</f>
        <v>1</v>
      </c>
      <c r="M534">
        <f>COUNTIFS(GESTIONES!$A:$A, BASE_CUENTAS!$A534,GESTIONES!$B:$B, BASE_CUENTAS!$C534,GESTIONES!$E:$E, "N")</f>
        <v>2</v>
      </c>
      <c r="N534">
        <f>COUNTIFS(GESTIONES!$A:$A, BASE_CUENTAS!$A534,GESTIONES!$B:$B, BASE_CUENTAS!$C534,GESTIONES!$D:$D, "SMS")</f>
        <v>1</v>
      </c>
      <c r="O534">
        <f>SUMIFS(PAGOS!$D:$D,PAGOS!$A:$A, BASE_CUENTAS!$A534,PAGOS!$B:$B, BASE_CUENTAS!$C534)</f>
        <v>164287</v>
      </c>
      <c r="P534" t="str">
        <f>IF(
VLOOKUP($C534,BASE_CIERRE_MES!$C:$G,5,FALSE)=0,
"Normalización",
IF(
VLOOKUP($C534,BASE_CIERRE_MES!$C:$G,5,FALSE)&lt;$H534,
"Recuperación",
IF(
VLOOKUP($C534,BASE_CIERRE_MES!$C:$G,5,FALSE)=$H534,
"Contención",
"Rodamiento"
)))</f>
        <v>Normalización</v>
      </c>
      <c r="Q534">
        <f t="shared" si="8"/>
        <v>0.24218047484691155</v>
      </c>
    </row>
    <row r="535" spans="1:17" x14ac:dyDescent="0.25">
      <c r="A535">
        <v>8357241</v>
      </c>
      <c r="B535" t="s">
        <v>18</v>
      </c>
      <c r="C535">
        <v>21744609</v>
      </c>
      <c r="D535" t="s">
        <v>7</v>
      </c>
      <c r="E535">
        <v>1788573</v>
      </c>
      <c r="F535" s="2">
        <v>801034</v>
      </c>
      <c r="G535" s="2">
        <v>94767</v>
      </c>
      <c r="H535">
        <v>30</v>
      </c>
      <c r="I535" s="1">
        <v>42508</v>
      </c>
      <c r="J535" t="s">
        <v>6</v>
      </c>
      <c r="K535">
        <f>COUNTIFS(GESTIONES!$A:$A, BASE_CUENTAS!$A535, GESTIONES!$B:$B, BASE_CUENTAS!$C535)</f>
        <v>3</v>
      </c>
      <c r="L535">
        <f>COUNTIFS(GESTIONES!$A:$A, BASE_CUENTAS!$A535,GESTIONES!$B:$B, BASE_CUENTAS!$C535,GESTIONES!$E:$E, "S")</f>
        <v>1</v>
      </c>
      <c r="M535">
        <f>COUNTIFS(GESTIONES!$A:$A, BASE_CUENTAS!$A535,GESTIONES!$B:$B, BASE_CUENTAS!$C535,GESTIONES!$E:$E, "N")</f>
        <v>2</v>
      </c>
      <c r="N535">
        <f>COUNTIFS(GESTIONES!$A:$A, BASE_CUENTAS!$A535,GESTIONES!$B:$B, BASE_CUENTAS!$C535,GESTIONES!$D:$D, "SMS")</f>
        <v>0</v>
      </c>
      <c r="O535">
        <f>SUMIFS(PAGOS!$D:$D,PAGOS!$A:$A, BASE_CUENTAS!$A535,PAGOS!$B:$B, BASE_CUENTAS!$C535)</f>
        <v>0</v>
      </c>
      <c r="P535" t="str">
        <f>IF(
VLOOKUP($C535,BASE_CIERRE_MES!$C:$G,5,FALSE)=0,
"Normalización",
IF(
VLOOKUP($C535,BASE_CIERRE_MES!$C:$G,5,FALSE)&lt;$H535,
"Recuperación",
IF(
VLOOKUP($C535,BASE_CIERRE_MES!$C:$G,5,FALSE)=$H535,
"Contención",
"Rodamiento"
)))</f>
        <v>Rodamiento</v>
      </c>
      <c r="Q535">
        <f t="shared" si="8"/>
        <v>0</v>
      </c>
    </row>
    <row r="536" spans="1:17" x14ac:dyDescent="0.25">
      <c r="A536">
        <v>8357241</v>
      </c>
      <c r="B536" t="s">
        <v>18</v>
      </c>
      <c r="C536">
        <v>22658475</v>
      </c>
      <c r="D536" t="s">
        <v>7</v>
      </c>
      <c r="E536">
        <v>1788573</v>
      </c>
      <c r="F536" s="2">
        <v>987539</v>
      </c>
      <c r="G536" s="2">
        <v>117203</v>
      </c>
      <c r="H536">
        <v>30</v>
      </c>
      <c r="I536" s="1">
        <v>42509</v>
      </c>
      <c r="J536" t="s">
        <v>6</v>
      </c>
      <c r="K536">
        <f>COUNTIFS(GESTIONES!$A:$A, BASE_CUENTAS!$A536, GESTIONES!$B:$B, BASE_CUENTAS!$C536)</f>
        <v>3</v>
      </c>
      <c r="L536">
        <f>COUNTIFS(GESTIONES!$A:$A, BASE_CUENTAS!$A536,GESTIONES!$B:$B, BASE_CUENTAS!$C536,GESTIONES!$E:$E, "S")</f>
        <v>0</v>
      </c>
      <c r="M536">
        <f>COUNTIFS(GESTIONES!$A:$A, BASE_CUENTAS!$A536,GESTIONES!$B:$B, BASE_CUENTAS!$C536,GESTIONES!$E:$E, "N")</f>
        <v>3</v>
      </c>
      <c r="N536">
        <f>COUNTIFS(GESTIONES!$A:$A, BASE_CUENTAS!$A536,GESTIONES!$B:$B, BASE_CUENTAS!$C536,GESTIONES!$D:$D, "SMS")</f>
        <v>1</v>
      </c>
      <c r="O536">
        <f>SUMIFS(PAGOS!$D:$D,PAGOS!$A:$A, BASE_CUENTAS!$A536,PAGOS!$B:$B, BASE_CUENTAS!$C536)</f>
        <v>987539</v>
      </c>
      <c r="P536" t="str">
        <f>IF(
VLOOKUP($C536,BASE_CIERRE_MES!$C:$G,5,FALSE)=0,
"Normalización",
IF(
VLOOKUP($C536,BASE_CIERRE_MES!$C:$G,5,FALSE)&lt;$H536,
"Recuperación",
IF(
VLOOKUP($C536,BASE_CIERRE_MES!$C:$G,5,FALSE)=$H536,
"Contención",
"Rodamiento"
)))</f>
        <v>Normalización</v>
      </c>
      <c r="Q536">
        <f t="shared" si="8"/>
        <v>1</v>
      </c>
    </row>
    <row r="537" spans="1:17" x14ac:dyDescent="0.25">
      <c r="A537">
        <v>8357529</v>
      </c>
      <c r="B537" t="s">
        <v>18</v>
      </c>
      <c r="C537">
        <v>27995102</v>
      </c>
      <c r="D537" t="s">
        <v>7</v>
      </c>
      <c r="E537">
        <v>60642</v>
      </c>
      <c r="F537" s="2">
        <v>60642</v>
      </c>
      <c r="G537" s="2">
        <v>3902</v>
      </c>
      <c r="H537">
        <v>30</v>
      </c>
      <c r="I537" s="1">
        <v>42508</v>
      </c>
      <c r="J537" t="s">
        <v>6</v>
      </c>
      <c r="K537">
        <f>COUNTIFS(GESTIONES!$A:$A, BASE_CUENTAS!$A537, GESTIONES!$B:$B, BASE_CUENTAS!$C537)</f>
        <v>3</v>
      </c>
      <c r="L537">
        <f>COUNTIFS(GESTIONES!$A:$A, BASE_CUENTAS!$A537,GESTIONES!$B:$B, BASE_CUENTAS!$C537,GESTIONES!$E:$E, "S")</f>
        <v>1</v>
      </c>
      <c r="M537">
        <f>COUNTIFS(GESTIONES!$A:$A, BASE_CUENTAS!$A537,GESTIONES!$B:$B, BASE_CUENTAS!$C537,GESTIONES!$E:$E, "N")</f>
        <v>2</v>
      </c>
      <c r="N537">
        <f>COUNTIFS(GESTIONES!$A:$A, BASE_CUENTAS!$A537,GESTIONES!$B:$B, BASE_CUENTAS!$C537,GESTIONES!$D:$D, "SMS")</f>
        <v>2</v>
      </c>
      <c r="O537">
        <f>SUMIFS(PAGOS!$D:$D,PAGOS!$A:$A, BASE_CUENTAS!$A537,PAGOS!$B:$B, BASE_CUENTAS!$C537)</f>
        <v>0</v>
      </c>
      <c r="P537" t="str">
        <f>IF(
VLOOKUP($C537,BASE_CIERRE_MES!$C:$G,5,FALSE)=0,
"Normalización",
IF(
VLOOKUP($C537,BASE_CIERRE_MES!$C:$G,5,FALSE)&lt;$H537,
"Recuperación",
IF(
VLOOKUP($C537,BASE_CIERRE_MES!$C:$G,5,FALSE)=$H537,
"Contención",
"Rodamiento"
)))</f>
        <v>Rodamiento</v>
      </c>
      <c r="Q537">
        <f t="shared" si="8"/>
        <v>0</v>
      </c>
    </row>
    <row r="538" spans="1:17" x14ac:dyDescent="0.25">
      <c r="A538">
        <v>8360977</v>
      </c>
      <c r="B538" t="s">
        <v>18</v>
      </c>
      <c r="C538">
        <v>26011555</v>
      </c>
      <c r="D538" t="s">
        <v>7</v>
      </c>
      <c r="E538">
        <v>190564</v>
      </c>
      <c r="F538" s="2">
        <v>190564</v>
      </c>
      <c r="G538" s="2">
        <v>32985</v>
      </c>
      <c r="H538">
        <v>30</v>
      </c>
      <c r="I538" s="1">
        <v>42509</v>
      </c>
      <c r="J538" t="s">
        <v>6</v>
      </c>
      <c r="K538">
        <f>COUNTIFS(GESTIONES!$A:$A, BASE_CUENTAS!$A538, GESTIONES!$B:$B, BASE_CUENTAS!$C538)</f>
        <v>3</v>
      </c>
      <c r="L538">
        <f>COUNTIFS(GESTIONES!$A:$A, BASE_CUENTAS!$A538,GESTIONES!$B:$B, BASE_CUENTAS!$C538,GESTIONES!$E:$E, "S")</f>
        <v>1</v>
      </c>
      <c r="M538">
        <f>COUNTIFS(GESTIONES!$A:$A, BASE_CUENTAS!$A538,GESTIONES!$B:$B, BASE_CUENTAS!$C538,GESTIONES!$E:$E, "N")</f>
        <v>2</v>
      </c>
      <c r="N538">
        <f>COUNTIFS(GESTIONES!$A:$A, BASE_CUENTAS!$A538,GESTIONES!$B:$B, BASE_CUENTAS!$C538,GESTIONES!$D:$D, "SMS")</f>
        <v>0</v>
      </c>
      <c r="O538">
        <f>SUMIFS(PAGOS!$D:$D,PAGOS!$A:$A, BASE_CUENTAS!$A538,PAGOS!$B:$B, BASE_CUENTAS!$C538)</f>
        <v>10995</v>
      </c>
      <c r="P538" t="str">
        <f>IF(
VLOOKUP($C538,BASE_CIERRE_MES!$C:$G,5,FALSE)=0,
"Normalización",
IF(
VLOOKUP($C538,BASE_CIERRE_MES!$C:$G,5,FALSE)&lt;$H538,
"Recuperación",
IF(
VLOOKUP($C538,BASE_CIERRE_MES!$C:$G,5,FALSE)=$H538,
"Contención",
"Rodamiento"
)))</f>
        <v>Contención</v>
      </c>
      <c r="Q538">
        <f t="shared" si="8"/>
        <v>5.7697151613106359E-2</v>
      </c>
    </row>
    <row r="539" spans="1:17" x14ac:dyDescent="0.25">
      <c r="A539">
        <v>8361878</v>
      </c>
      <c r="B539" t="s">
        <v>17</v>
      </c>
      <c r="C539">
        <v>1051371</v>
      </c>
      <c r="D539" t="s">
        <v>7</v>
      </c>
      <c r="E539">
        <v>14651379</v>
      </c>
      <c r="F539" s="2">
        <v>3394544</v>
      </c>
      <c r="G539" s="2">
        <v>140760</v>
      </c>
      <c r="H539">
        <v>30</v>
      </c>
      <c r="I539" s="1">
        <v>42518</v>
      </c>
      <c r="J539" t="s">
        <v>6</v>
      </c>
      <c r="K539">
        <f>COUNTIFS(GESTIONES!$A:$A, BASE_CUENTAS!$A539, GESTIONES!$B:$B, BASE_CUENTAS!$C539)</f>
        <v>3</v>
      </c>
      <c r="L539">
        <f>COUNTIFS(GESTIONES!$A:$A, BASE_CUENTAS!$A539,GESTIONES!$B:$B, BASE_CUENTAS!$C539,GESTIONES!$E:$E, "S")</f>
        <v>1</v>
      </c>
      <c r="M539">
        <f>COUNTIFS(GESTIONES!$A:$A, BASE_CUENTAS!$A539,GESTIONES!$B:$B, BASE_CUENTAS!$C539,GESTIONES!$E:$E, "N")</f>
        <v>2</v>
      </c>
      <c r="N539">
        <f>COUNTIFS(GESTIONES!$A:$A, BASE_CUENTAS!$A539,GESTIONES!$B:$B, BASE_CUENTAS!$C539,GESTIONES!$D:$D, "SMS")</f>
        <v>1</v>
      </c>
      <c r="O539">
        <f>SUMIFS(PAGOS!$D:$D,PAGOS!$A:$A, BASE_CUENTAS!$A539,PAGOS!$B:$B, BASE_CUENTAS!$C539)</f>
        <v>140760</v>
      </c>
      <c r="P539" t="str">
        <f>IF(
VLOOKUP($C539,BASE_CIERRE_MES!$C:$G,5,FALSE)=0,
"Normalización",
IF(
VLOOKUP($C539,BASE_CIERRE_MES!$C:$G,5,FALSE)&lt;$H539,
"Recuperación",
IF(
VLOOKUP($C539,BASE_CIERRE_MES!$C:$G,5,FALSE)=$H539,
"Contención",
"Rodamiento"
)))</f>
        <v>Normalización</v>
      </c>
      <c r="Q539">
        <f t="shared" si="8"/>
        <v>4.1466541603231537E-2</v>
      </c>
    </row>
    <row r="540" spans="1:17" x14ac:dyDescent="0.25">
      <c r="A540">
        <v>8362506</v>
      </c>
      <c r="B540" t="s">
        <v>17</v>
      </c>
      <c r="C540">
        <v>26696130</v>
      </c>
      <c r="D540" t="s">
        <v>7</v>
      </c>
      <c r="E540">
        <v>7852080</v>
      </c>
      <c r="F540" s="2">
        <v>1912624</v>
      </c>
      <c r="G540" s="2">
        <v>698300</v>
      </c>
      <c r="H540">
        <v>90</v>
      </c>
      <c r="I540" s="1">
        <v>42481</v>
      </c>
      <c r="J540" t="s">
        <v>5</v>
      </c>
      <c r="K540">
        <f>COUNTIFS(GESTIONES!$A:$A, BASE_CUENTAS!$A540, GESTIONES!$B:$B, BASE_CUENTAS!$C540)</f>
        <v>3</v>
      </c>
      <c r="L540">
        <f>COUNTIFS(GESTIONES!$A:$A, BASE_CUENTAS!$A540,GESTIONES!$B:$B, BASE_CUENTAS!$C540,GESTIONES!$E:$E, "S")</f>
        <v>1</v>
      </c>
      <c r="M540">
        <f>COUNTIFS(GESTIONES!$A:$A, BASE_CUENTAS!$A540,GESTIONES!$B:$B, BASE_CUENTAS!$C540,GESTIONES!$E:$E, "N")</f>
        <v>2</v>
      </c>
      <c r="N540">
        <f>COUNTIFS(GESTIONES!$A:$A, BASE_CUENTAS!$A540,GESTIONES!$B:$B, BASE_CUENTAS!$C540,GESTIONES!$D:$D, "SMS")</f>
        <v>0</v>
      </c>
      <c r="O540">
        <f>SUMIFS(PAGOS!$D:$D,PAGOS!$A:$A, BASE_CUENTAS!$A540,PAGOS!$B:$B, BASE_CUENTAS!$C540)</f>
        <v>0</v>
      </c>
      <c r="P540" t="str">
        <f>IF(
VLOOKUP($C540,BASE_CIERRE_MES!$C:$G,5,FALSE)=0,
"Normalización",
IF(
VLOOKUP($C540,BASE_CIERRE_MES!$C:$G,5,FALSE)&lt;$H540,
"Recuperación",
IF(
VLOOKUP($C540,BASE_CIERRE_MES!$C:$G,5,FALSE)=$H540,
"Contención",
"Rodamiento"
)))</f>
        <v>Recuperación</v>
      </c>
      <c r="Q540">
        <f t="shared" si="8"/>
        <v>0</v>
      </c>
    </row>
    <row r="541" spans="1:17" x14ac:dyDescent="0.25">
      <c r="A541">
        <v>8362506</v>
      </c>
      <c r="B541" t="s">
        <v>17</v>
      </c>
      <c r="C541">
        <v>26696578</v>
      </c>
      <c r="D541" t="s">
        <v>7</v>
      </c>
      <c r="E541">
        <v>7852080</v>
      </c>
      <c r="F541" s="2">
        <v>5939456</v>
      </c>
      <c r="G541" s="2">
        <v>5939456</v>
      </c>
      <c r="H541">
        <v>150</v>
      </c>
      <c r="I541" s="1">
        <v>42509</v>
      </c>
      <c r="J541" t="s">
        <v>5</v>
      </c>
      <c r="K541">
        <f>COUNTIFS(GESTIONES!$A:$A, BASE_CUENTAS!$A541, GESTIONES!$B:$B, BASE_CUENTAS!$C541)</f>
        <v>3</v>
      </c>
      <c r="L541">
        <f>COUNTIFS(GESTIONES!$A:$A, BASE_CUENTAS!$A541,GESTIONES!$B:$B, BASE_CUENTAS!$C541,GESTIONES!$E:$E, "S")</f>
        <v>0</v>
      </c>
      <c r="M541">
        <f>COUNTIFS(GESTIONES!$A:$A, BASE_CUENTAS!$A541,GESTIONES!$B:$B, BASE_CUENTAS!$C541,GESTIONES!$E:$E, "N")</f>
        <v>3</v>
      </c>
      <c r="N541">
        <f>COUNTIFS(GESTIONES!$A:$A, BASE_CUENTAS!$A541,GESTIONES!$B:$B, BASE_CUENTAS!$C541,GESTIONES!$D:$D, "SMS")</f>
        <v>1</v>
      </c>
      <c r="O541">
        <f>SUMIFS(PAGOS!$D:$D,PAGOS!$A:$A, BASE_CUENTAS!$A541,PAGOS!$B:$B, BASE_CUENTAS!$C541)</f>
        <v>0</v>
      </c>
      <c r="P541" t="str">
        <f>IF(
VLOOKUP($C541,BASE_CIERRE_MES!$C:$G,5,FALSE)=0,
"Normalización",
IF(
VLOOKUP($C541,BASE_CIERRE_MES!$C:$G,5,FALSE)&lt;$H541,
"Recuperación",
IF(
VLOOKUP($C541,BASE_CIERRE_MES!$C:$G,5,FALSE)=$H541,
"Contención",
"Rodamiento"
)))</f>
        <v>Recuperación</v>
      </c>
      <c r="Q541">
        <f t="shared" si="8"/>
        <v>0</v>
      </c>
    </row>
    <row r="542" spans="1:17" x14ac:dyDescent="0.25">
      <c r="A542">
        <v>8363386</v>
      </c>
      <c r="B542" t="s">
        <v>18</v>
      </c>
      <c r="C542">
        <v>27479573</v>
      </c>
      <c r="D542" t="s">
        <v>7</v>
      </c>
      <c r="E542">
        <v>388367</v>
      </c>
      <c r="F542" s="2">
        <v>388367</v>
      </c>
      <c r="G542" s="2">
        <v>54313</v>
      </c>
      <c r="H542">
        <v>30</v>
      </c>
      <c r="I542" s="1">
        <v>42521</v>
      </c>
      <c r="J542" t="s">
        <v>4</v>
      </c>
      <c r="K542">
        <f>COUNTIFS(GESTIONES!$A:$A, BASE_CUENTAS!$A542, GESTIONES!$B:$B, BASE_CUENTAS!$C542)</f>
        <v>3</v>
      </c>
      <c r="L542">
        <f>COUNTIFS(GESTIONES!$A:$A, BASE_CUENTAS!$A542,GESTIONES!$B:$B, BASE_CUENTAS!$C542,GESTIONES!$E:$E, "S")</f>
        <v>1</v>
      </c>
      <c r="M542">
        <f>COUNTIFS(GESTIONES!$A:$A, BASE_CUENTAS!$A542,GESTIONES!$B:$B, BASE_CUENTAS!$C542,GESTIONES!$E:$E, "N")</f>
        <v>2</v>
      </c>
      <c r="N542">
        <f>COUNTIFS(GESTIONES!$A:$A, BASE_CUENTAS!$A542,GESTIONES!$B:$B, BASE_CUENTAS!$C542,GESTIONES!$D:$D, "SMS")</f>
        <v>2</v>
      </c>
      <c r="O542">
        <f>SUMIFS(PAGOS!$D:$D,PAGOS!$A:$A, BASE_CUENTAS!$A542,PAGOS!$B:$B, BASE_CUENTAS!$C542)</f>
        <v>388367</v>
      </c>
      <c r="P542" t="str">
        <f>IF(
VLOOKUP($C542,BASE_CIERRE_MES!$C:$G,5,FALSE)=0,
"Normalización",
IF(
VLOOKUP($C542,BASE_CIERRE_MES!$C:$G,5,FALSE)&lt;$H542,
"Recuperación",
IF(
VLOOKUP($C542,BASE_CIERRE_MES!$C:$G,5,FALSE)=$H542,
"Contención",
"Rodamiento"
)))</f>
        <v>Normalización</v>
      </c>
      <c r="Q542">
        <f t="shared" si="8"/>
        <v>1</v>
      </c>
    </row>
    <row r="543" spans="1:17" x14ac:dyDescent="0.25">
      <c r="A543">
        <v>8364034</v>
      </c>
      <c r="B543" t="s">
        <v>17</v>
      </c>
      <c r="C543">
        <v>2328145</v>
      </c>
      <c r="D543" t="s">
        <v>10</v>
      </c>
      <c r="E543">
        <v>10758298</v>
      </c>
      <c r="F543" s="2">
        <v>20809</v>
      </c>
      <c r="G543" s="2">
        <v>20809</v>
      </c>
      <c r="H543">
        <v>88</v>
      </c>
      <c r="I543" s="1">
        <v>42502</v>
      </c>
      <c r="J543" t="s">
        <v>6</v>
      </c>
      <c r="K543">
        <f>COUNTIFS(GESTIONES!$A:$A, BASE_CUENTAS!$A543, GESTIONES!$B:$B, BASE_CUENTAS!$C543)</f>
        <v>3</v>
      </c>
      <c r="L543">
        <f>COUNTIFS(GESTIONES!$A:$A, BASE_CUENTAS!$A543,GESTIONES!$B:$B, BASE_CUENTAS!$C543,GESTIONES!$E:$E, "S")</f>
        <v>1</v>
      </c>
      <c r="M543">
        <f>COUNTIFS(GESTIONES!$A:$A, BASE_CUENTAS!$A543,GESTIONES!$B:$B, BASE_CUENTAS!$C543,GESTIONES!$E:$E, "N")</f>
        <v>2</v>
      </c>
      <c r="N543">
        <f>COUNTIFS(GESTIONES!$A:$A, BASE_CUENTAS!$A543,GESTIONES!$B:$B, BASE_CUENTAS!$C543,GESTIONES!$D:$D, "SMS")</f>
        <v>0</v>
      </c>
      <c r="O543">
        <f>SUMIFS(PAGOS!$D:$D,PAGOS!$A:$A, BASE_CUENTAS!$A543,PAGOS!$B:$B, BASE_CUENTAS!$C543)</f>
        <v>20809</v>
      </c>
      <c r="P543" t="str">
        <f>IF(
VLOOKUP($C543,BASE_CIERRE_MES!$C:$G,5,FALSE)=0,
"Normalización",
IF(
VLOOKUP($C543,BASE_CIERRE_MES!$C:$G,5,FALSE)&lt;$H543,
"Recuperación",
IF(
VLOOKUP($C543,BASE_CIERRE_MES!$C:$G,5,FALSE)=$H543,
"Contención",
"Rodamiento"
)))</f>
        <v>Normalización</v>
      </c>
      <c r="Q543">
        <f t="shared" si="8"/>
        <v>1</v>
      </c>
    </row>
    <row r="544" spans="1:17" x14ac:dyDescent="0.25">
      <c r="A544">
        <v>8364034</v>
      </c>
      <c r="B544" t="s">
        <v>17</v>
      </c>
      <c r="C544">
        <v>26406536</v>
      </c>
      <c r="D544" t="s">
        <v>7</v>
      </c>
      <c r="E544">
        <v>10758298</v>
      </c>
      <c r="F544" s="2">
        <v>10737489</v>
      </c>
      <c r="G544" s="2">
        <v>2294485</v>
      </c>
      <c r="H544">
        <v>60</v>
      </c>
      <c r="I544" s="1">
        <v>42502</v>
      </c>
      <c r="J544" t="s">
        <v>6</v>
      </c>
      <c r="K544">
        <f>COUNTIFS(GESTIONES!$A:$A, BASE_CUENTAS!$A544, GESTIONES!$B:$B, BASE_CUENTAS!$C544)</f>
        <v>3</v>
      </c>
      <c r="L544">
        <f>COUNTIFS(GESTIONES!$A:$A, BASE_CUENTAS!$A544,GESTIONES!$B:$B, BASE_CUENTAS!$C544,GESTIONES!$E:$E, "S")</f>
        <v>1</v>
      </c>
      <c r="M544">
        <f>COUNTIFS(GESTIONES!$A:$A, BASE_CUENTAS!$A544,GESTIONES!$B:$B, BASE_CUENTAS!$C544,GESTIONES!$E:$E, "N")</f>
        <v>2</v>
      </c>
      <c r="N544">
        <f>COUNTIFS(GESTIONES!$A:$A, BASE_CUENTAS!$A544,GESTIONES!$B:$B, BASE_CUENTAS!$C544,GESTIONES!$D:$D, "SMS")</f>
        <v>1</v>
      </c>
      <c r="O544">
        <f>SUMIFS(PAGOS!$D:$D,PAGOS!$A:$A, BASE_CUENTAS!$A544,PAGOS!$B:$B, BASE_CUENTAS!$C544)</f>
        <v>1147243</v>
      </c>
      <c r="P544" t="str">
        <f>IF(
VLOOKUP($C544,BASE_CIERRE_MES!$C:$G,5,FALSE)=0,
"Normalización",
IF(
VLOOKUP($C544,BASE_CIERRE_MES!$C:$G,5,FALSE)&lt;$H544,
"Recuperación",
IF(
VLOOKUP($C544,BASE_CIERRE_MES!$C:$G,5,FALSE)=$H544,
"Contención",
"Rodamiento"
)))</f>
        <v>Recuperación</v>
      </c>
      <c r="Q544">
        <f t="shared" si="8"/>
        <v>0.1068446263367534</v>
      </c>
    </row>
    <row r="545" spans="1:17" x14ac:dyDescent="0.25">
      <c r="A545">
        <v>8364712</v>
      </c>
      <c r="B545" t="s">
        <v>18</v>
      </c>
      <c r="C545">
        <v>1460358</v>
      </c>
      <c r="D545" t="s">
        <v>7</v>
      </c>
      <c r="E545">
        <v>517931</v>
      </c>
      <c r="F545" s="2">
        <v>517931</v>
      </c>
      <c r="G545" s="2">
        <v>21962</v>
      </c>
      <c r="H545">
        <v>30</v>
      </c>
      <c r="I545" s="1">
        <v>42521</v>
      </c>
      <c r="J545" t="s">
        <v>4</v>
      </c>
      <c r="K545">
        <f>COUNTIFS(GESTIONES!$A:$A, BASE_CUENTAS!$A545, GESTIONES!$B:$B, BASE_CUENTAS!$C545)</f>
        <v>3</v>
      </c>
      <c r="L545">
        <f>COUNTIFS(GESTIONES!$A:$A, BASE_CUENTAS!$A545,GESTIONES!$B:$B, BASE_CUENTAS!$C545,GESTIONES!$E:$E, "S")</f>
        <v>2</v>
      </c>
      <c r="M545">
        <f>COUNTIFS(GESTIONES!$A:$A, BASE_CUENTAS!$A545,GESTIONES!$B:$B, BASE_CUENTAS!$C545,GESTIONES!$E:$E, "N")</f>
        <v>1</v>
      </c>
      <c r="N545">
        <f>COUNTIFS(GESTIONES!$A:$A, BASE_CUENTAS!$A545,GESTIONES!$B:$B, BASE_CUENTAS!$C545,GESTIONES!$D:$D, "SMS")</f>
        <v>0</v>
      </c>
      <c r="O545">
        <f>SUMIFS(PAGOS!$D:$D,PAGOS!$A:$A, BASE_CUENTAS!$A545,PAGOS!$B:$B, BASE_CUENTAS!$C545)</f>
        <v>7320</v>
      </c>
      <c r="P545" t="str">
        <f>IF(
VLOOKUP($C545,BASE_CIERRE_MES!$C:$G,5,FALSE)=0,
"Normalización",
IF(
VLOOKUP($C545,BASE_CIERRE_MES!$C:$G,5,FALSE)&lt;$H545,
"Recuperación",
IF(
VLOOKUP($C545,BASE_CIERRE_MES!$C:$G,5,FALSE)=$H545,
"Contención",
"Rodamiento"
)))</f>
        <v>Contención</v>
      </c>
      <c r="Q545">
        <f t="shared" si="8"/>
        <v>1.4133156733232805E-2</v>
      </c>
    </row>
    <row r="546" spans="1:17" x14ac:dyDescent="0.25">
      <c r="A546">
        <v>8365097</v>
      </c>
      <c r="B546" t="s">
        <v>18</v>
      </c>
      <c r="C546">
        <v>3651053</v>
      </c>
      <c r="D546" t="s">
        <v>7</v>
      </c>
      <c r="E546">
        <v>1817799</v>
      </c>
      <c r="F546" s="2">
        <v>1817799</v>
      </c>
      <c r="G546" s="2">
        <v>170782</v>
      </c>
      <c r="H546">
        <v>30</v>
      </c>
      <c r="I546" s="1">
        <v>42508</v>
      </c>
      <c r="J546" t="s">
        <v>6</v>
      </c>
      <c r="K546">
        <f>COUNTIFS(GESTIONES!$A:$A, BASE_CUENTAS!$A546, GESTIONES!$B:$B, BASE_CUENTAS!$C546)</f>
        <v>3</v>
      </c>
      <c r="L546">
        <f>COUNTIFS(GESTIONES!$A:$A, BASE_CUENTAS!$A546,GESTIONES!$B:$B, BASE_CUENTAS!$C546,GESTIONES!$E:$E, "S")</f>
        <v>1</v>
      </c>
      <c r="M546">
        <f>COUNTIFS(GESTIONES!$A:$A, BASE_CUENTAS!$A546,GESTIONES!$B:$B, BASE_CUENTAS!$C546,GESTIONES!$E:$E, "N")</f>
        <v>2</v>
      </c>
      <c r="N546">
        <f>COUNTIFS(GESTIONES!$A:$A, BASE_CUENTAS!$A546,GESTIONES!$B:$B, BASE_CUENTAS!$C546,GESTIONES!$D:$D, "SMS")</f>
        <v>0</v>
      </c>
      <c r="O546">
        <f>SUMIFS(PAGOS!$D:$D,PAGOS!$A:$A, BASE_CUENTAS!$A546,PAGOS!$B:$B, BASE_CUENTAS!$C546)</f>
        <v>170782</v>
      </c>
      <c r="P546" t="str">
        <f>IF(
VLOOKUP($C546,BASE_CIERRE_MES!$C:$G,5,FALSE)=0,
"Normalización",
IF(
VLOOKUP($C546,BASE_CIERRE_MES!$C:$G,5,FALSE)&lt;$H546,
"Recuperación",
IF(
VLOOKUP($C546,BASE_CIERRE_MES!$C:$G,5,FALSE)=$H546,
"Contención",
"Rodamiento"
)))</f>
        <v>Normalización</v>
      </c>
      <c r="Q546">
        <f t="shared" si="8"/>
        <v>9.39498811474756E-2</v>
      </c>
    </row>
    <row r="547" spans="1:17" x14ac:dyDescent="0.25">
      <c r="A547">
        <v>8365309</v>
      </c>
      <c r="B547" t="s">
        <v>17</v>
      </c>
      <c r="C547">
        <v>26944546</v>
      </c>
      <c r="D547" t="s">
        <v>7</v>
      </c>
      <c r="E547">
        <v>7772000</v>
      </c>
      <c r="F547" s="2">
        <v>7772000</v>
      </c>
      <c r="G547" s="2">
        <v>699336</v>
      </c>
      <c r="H547">
        <v>30</v>
      </c>
      <c r="I547" s="1">
        <v>42522</v>
      </c>
      <c r="J547" t="s">
        <v>6</v>
      </c>
      <c r="K547">
        <f>COUNTIFS(GESTIONES!$A:$A, BASE_CUENTAS!$A547, GESTIONES!$B:$B, BASE_CUENTAS!$C547)</f>
        <v>3</v>
      </c>
      <c r="L547">
        <f>COUNTIFS(GESTIONES!$A:$A, BASE_CUENTAS!$A547,GESTIONES!$B:$B, BASE_CUENTAS!$C547,GESTIONES!$E:$E, "S")</f>
        <v>0</v>
      </c>
      <c r="M547">
        <f>COUNTIFS(GESTIONES!$A:$A, BASE_CUENTAS!$A547,GESTIONES!$B:$B, BASE_CUENTAS!$C547,GESTIONES!$E:$E, "N")</f>
        <v>3</v>
      </c>
      <c r="N547">
        <f>COUNTIFS(GESTIONES!$A:$A, BASE_CUENTAS!$A547,GESTIONES!$B:$B, BASE_CUENTAS!$C547,GESTIONES!$D:$D, "SMS")</f>
        <v>2</v>
      </c>
      <c r="O547">
        <f>SUMIFS(PAGOS!$D:$D,PAGOS!$A:$A, BASE_CUENTAS!$A547,PAGOS!$B:$B, BASE_CUENTAS!$C547)</f>
        <v>0</v>
      </c>
      <c r="P547" t="str">
        <f>IF(
VLOOKUP($C547,BASE_CIERRE_MES!$C:$G,5,FALSE)=0,
"Normalización",
IF(
VLOOKUP($C547,BASE_CIERRE_MES!$C:$G,5,FALSE)&lt;$H547,
"Recuperación",
IF(
VLOOKUP($C547,BASE_CIERRE_MES!$C:$G,5,FALSE)=$H547,
"Contención",
"Rodamiento"
)))</f>
        <v>Rodamiento</v>
      </c>
      <c r="Q547">
        <f t="shared" si="8"/>
        <v>0</v>
      </c>
    </row>
    <row r="548" spans="1:17" x14ac:dyDescent="0.25">
      <c r="A548">
        <v>8366056</v>
      </c>
      <c r="B548" t="s">
        <v>17</v>
      </c>
      <c r="C548">
        <v>26064932</v>
      </c>
      <c r="D548" t="s">
        <v>7</v>
      </c>
      <c r="E548">
        <v>5029658</v>
      </c>
      <c r="F548" s="2">
        <v>3358344</v>
      </c>
      <c r="G548" s="2">
        <v>3358344</v>
      </c>
      <c r="H548">
        <v>210</v>
      </c>
      <c r="I548" s="1">
        <v>42448</v>
      </c>
      <c r="J548" t="s">
        <v>5</v>
      </c>
      <c r="K548">
        <f>COUNTIFS(GESTIONES!$A:$A, BASE_CUENTAS!$A548, GESTIONES!$B:$B, BASE_CUENTAS!$C548)</f>
        <v>3</v>
      </c>
      <c r="L548">
        <f>COUNTIFS(GESTIONES!$A:$A, BASE_CUENTAS!$A548,GESTIONES!$B:$B, BASE_CUENTAS!$C548,GESTIONES!$E:$E, "S")</f>
        <v>1</v>
      </c>
      <c r="M548">
        <f>COUNTIFS(GESTIONES!$A:$A, BASE_CUENTAS!$A548,GESTIONES!$B:$B, BASE_CUENTAS!$C548,GESTIONES!$E:$E, "N")</f>
        <v>2</v>
      </c>
      <c r="N548">
        <f>COUNTIFS(GESTIONES!$A:$A, BASE_CUENTAS!$A548,GESTIONES!$B:$B, BASE_CUENTAS!$C548,GESTIONES!$D:$D, "SMS")</f>
        <v>1</v>
      </c>
      <c r="O548">
        <f>SUMIFS(PAGOS!$D:$D,PAGOS!$A:$A, BASE_CUENTAS!$A548,PAGOS!$B:$B, BASE_CUENTAS!$C548)</f>
        <v>0</v>
      </c>
      <c r="P548" t="str">
        <f>IF(
VLOOKUP($C548,BASE_CIERRE_MES!$C:$G,5,FALSE)=0,
"Normalización",
IF(
VLOOKUP($C548,BASE_CIERRE_MES!$C:$G,5,FALSE)&lt;$H548,
"Recuperación",
IF(
VLOOKUP($C548,BASE_CIERRE_MES!$C:$G,5,FALSE)=$H548,
"Contención",
"Rodamiento"
)))</f>
        <v>Recuperación</v>
      </c>
      <c r="Q548">
        <f t="shared" si="8"/>
        <v>0</v>
      </c>
    </row>
    <row r="549" spans="1:17" x14ac:dyDescent="0.25">
      <c r="A549">
        <v>8366056</v>
      </c>
      <c r="B549" t="s">
        <v>17</v>
      </c>
      <c r="C549">
        <v>27054787</v>
      </c>
      <c r="D549" t="s">
        <v>7</v>
      </c>
      <c r="E549">
        <v>5029658</v>
      </c>
      <c r="F549" s="2">
        <v>1671314</v>
      </c>
      <c r="G549" s="2">
        <v>1671314</v>
      </c>
      <c r="H549">
        <v>120</v>
      </c>
      <c r="I549" s="1">
        <v>42518</v>
      </c>
      <c r="J549" t="s">
        <v>5</v>
      </c>
      <c r="K549">
        <f>COUNTIFS(GESTIONES!$A:$A, BASE_CUENTAS!$A549, GESTIONES!$B:$B, BASE_CUENTAS!$C549)</f>
        <v>3</v>
      </c>
      <c r="L549">
        <f>COUNTIFS(GESTIONES!$A:$A, BASE_CUENTAS!$A549,GESTIONES!$B:$B, BASE_CUENTAS!$C549,GESTIONES!$E:$E, "S")</f>
        <v>1</v>
      </c>
      <c r="M549">
        <f>COUNTIFS(GESTIONES!$A:$A, BASE_CUENTAS!$A549,GESTIONES!$B:$B, BASE_CUENTAS!$C549,GESTIONES!$E:$E, "N")</f>
        <v>2</v>
      </c>
      <c r="N549">
        <f>COUNTIFS(GESTIONES!$A:$A, BASE_CUENTAS!$A549,GESTIONES!$B:$B, BASE_CUENTAS!$C549,GESTIONES!$D:$D, "SMS")</f>
        <v>1</v>
      </c>
      <c r="O549">
        <f>SUMIFS(PAGOS!$D:$D,PAGOS!$A:$A, BASE_CUENTAS!$A549,PAGOS!$B:$B, BASE_CUENTAS!$C549)</f>
        <v>1671314</v>
      </c>
      <c r="P549" t="str">
        <f>IF(
VLOOKUP($C549,BASE_CIERRE_MES!$C:$G,5,FALSE)=0,
"Normalización",
IF(
VLOOKUP($C549,BASE_CIERRE_MES!$C:$G,5,FALSE)&lt;$H549,
"Recuperación",
IF(
VLOOKUP($C549,BASE_CIERRE_MES!$C:$G,5,FALSE)=$H549,
"Contención",
"Rodamiento"
)))</f>
        <v>Normalización</v>
      </c>
      <c r="Q549">
        <f t="shared" si="8"/>
        <v>1</v>
      </c>
    </row>
    <row r="550" spans="1:17" x14ac:dyDescent="0.25">
      <c r="A550">
        <v>8366256</v>
      </c>
      <c r="B550" t="s">
        <v>17</v>
      </c>
      <c r="C550">
        <v>25706312</v>
      </c>
      <c r="D550" t="s">
        <v>7</v>
      </c>
      <c r="E550">
        <v>6776767</v>
      </c>
      <c r="F550" s="2">
        <v>6776767</v>
      </c>
      <c r="G550" s="2">
        <v>155638</v>
      </c>
      <c r="H550">
        <v>30</v>
      </c>
      <c r="I550" s="1">
        <v>42521</v>
      </c>
      <c r="J550" t="s">
        <v>4</v>
      </c>
      <c r="K550">
        <f>COUNTIFS(GESTIONES!$A:$A, BASE_CUENTAS!$A550, GESTIONES!$B:$B, BASE_CUENTAS!$C550)</f>
        <v>3</v>
      </c>
      <c r="L550">
        <f>COUNTIFS(GESTIONES!$A:$A, BASE_CUENTAS!$A550,GESTIONES!$B:$B, BASE_CUENTAS!$C550,GESTIONES!$E:$E, "S")</f>
        <v>1</v>
      </c>
      <c r="M550">
        <f>COUNTIFS(GESTIONES!$A:$A, BASE_CUENTAS!$A550,GESTIONES!$B:$B, BASE_CUENTAS!$C550,GESTIONES!$E:$E, "N")</f>
        <v>2</v>
      </c>
      <c r="N550">
        <f>COUNTIFS(GESTIONES!$A:$A, BASE_CUENTAS!$A550,GESTIONES!$B:$B, BASE_CUENTAS!$C550,GESTIONES!$D:$D, "SMS")</f>
        <v>0</v>
      </c>
      <c r="O550">
        <f>SUMIFS(PAGOS!$D:$D,PAGOS!$A:$A, BASE_CUENTAS!$A550,PAGOS!$B:$B, BASE_CUENTAS!$C550)</f>
        <v>0</v>
      </c>
      <c r="P550" t="str">
        <f>IF(
VLOOKUP($C550,BASE_CIERRE_MES!$C:$G,5,FALSE)=0,
"Normalización",
IF(
VLOOKUP($C550,BASE_CIERRE_MES!$C:$G,5,FALSE)&lt;$H550,
"Recuperación",
IF(
VLOOKUP($C550,BASE_CIERRE_MES!$C:$G,5,FALSE)=$H550,
"Contención",
"Rodamiento"
)))</f>
        <v>Rodamiento</v>
      </c>
      <c r="Q550">
        <f t="shared" si="8"/>
        <v>0</v>
      </c>
    </row>
    <row r="551" spans="1:17" x14ac:dyDescent="0.25">
      <c r="A551">
        <v>8366454</v>
      </c>
      <c r="B551" t="s">
        <v>18</v>
      </c>
      <c r="C551">
        <v>11221865</v>
      </c>
      <c r="D551" t="s">
        <v>7</v>
      </c>
      <c r="E551">
        <v>1433407</v>
      </c>
      <c r="F551" s="2">
        <v>1433407</v>
      </c>
      <c r="G551" s="2">
        <v>7806</v>
      </c>
      <c r="H551">
        <v>30</v>
      </c>
      <c r="I551" s="1">
        <v>42519</v>
      </c>
      <c r="J551" t="s">
        <v>6</v>
      </c>
      <c r="K551">
        <f>COUNTIFS(GESTIONES!$A:$A, BASE_CUENTAS!$A551, GESTIONES!$B:$B, BASE_CUENTAS!$C551)</f>
        <v>3</v>
      </c>
      <c r="L551">
        <f>COUNTIFS(GESTIONES!$A:$A, BASE_CUENTAS!$A551,GESTIONES!$B:$B, BASE_CUENTAS!$C551,GESTIONES!$E:$E, "S")</f>
        <v>1</v>
      </c>
      <c r="M551">
        <f>COUNTIFS(GESTIONES!$A:$A, BASE_CUENTAS!$A551,GESTIONES!$B:$B, BASE_CUENTAS!$C551,GESTIONES!$E:$E, "N")</f>
        <v>2</v>
      </c>
      <c r="N551">
        <f>COUNTIFS(GESTIONES!$A:$A, BASE_CUENTAS!$A551,GESTIONES!$B:$B, BASE_CUENTAS!$C551,GESTIONES!$D:$D, "SMS")</f>
        <v>0</v>
      </c>
      <c r="O551">
        <f>SUMIFS(PAGOS!$D:$D,PAGOS!$A:$A, BASE_CUENTAS!$A551,PAGOS!$B:$B, BASE_CUENTAS!$C551)</f>
        <v>0</v>
      </c>
      <c r="P551" t="str">
        <f>IF(
VLOOKUP($C551,BASE_CIERRE_MES!$C:$G,5,FALSE)=0,
"Normalización",
IF(
VLOOKUP($C551,BASE_CIERRE_MES!$C:$G,5,FALSE)&lt;$H551,
"Recuperación",
IF(
VLOOKUP($C551,BASE_CIERRE_MES!$C:$G,5,FALSE)=$H551,
"Contención",
"Rodamiento"
)))</f>
        <v>Rodamiento</v>
      </c>
      <c r="Q551">
        <f t="shared" si="8"/>
        <v>0</v>
      </c>
    </row>
    <row r="552" spans="1:17" x14ac:dyDescent="0.25">
      <c r="A552">
        <v>8366773</v>
      </c>
      <c r="B552" t="s">
        <v>18</v>
      </c>
      <c r="C552">
        <v>24385342</v>
      </c>
      <c r="D552" t="s">
        <v>7</v>
      </c>
      <c r="E552">
        <v>623660</v>
      </c>
      <c r="F552" s="2">
        <v>623660</v>
      </c>
      <c r="G552" s="2">
        <v>272011</v>
      </c>
      <c r="H552">
        <v>60</v>
      </c>
      <c r="I552" s="1">
        <v>42491</v>
      </c>
      <c r="J552" t="s">
        <v>6</v>
      </c>
      <c r="K552">
        <f>COUNTIFS(GESTIONES!$A:$A, BASE_CUENTAS!$A552, GESTIONES!$B:$B, BASE_CUENTAS!$C552)</f>
        <v>3</v>
      </c>
      <c r="L552">
        <f>COUNTIFS(GESTIONES!$A:$A, BASE_CUENTAS!$A552,GESTIONES!$B:$B, BASE_CUENTAS!$C552,GESTIONES!$E:$E, "S")</f>
        <v>0</v>
      </c>
      <c r="M552">
        <f>COUNTIFS(GESTIONES!$A:$A, BASE_CUENTAS!$A552,GESTIONES!$B:$B, BASE_CUENTAS!$C552,GESTIONES!$E:$E, "N")</f>
        <v>3</v>
      </c>
      <c r="N552">
        <f>COUNTIFS(GESTIONES!$A:$A, BASE_CUENTAS!$A552,GESTIONES!$B:$B, BASE_CUENTAS!$C552,GESTIONES!$D:$D, "SMS")</f>
        <v>2</v>
      </c>
      <c r="O552">
        <f>SUMIFS(PAGOS!$D:$D,PAGOS!$A:$A, BASE_CUENTAS!$A552,PAGOS!$B:$B, BASE_CUENTAS!$C552)</f>
        <v>272011</v>
      </c>
      <c r="P552" t="str">
        <f>IF(
VLOOKUP($C552,BASE_CIERRE_MES!$C:$G,5,FALSE)=0,
"Normalización",
IF(
VLOOKUP($C552,BASE_CIERRE_MES!$C:$G,5,FALSE)&lt;$H552,
"Recuperación",
IF(
VLOOKUP($C552,BASE_CIERRE_MES!$C:$G,5,FALSE)=$H552,
"Contención",
"Rodamiento"
)))</f>
        <v>Normalización</v>
      </c>
      <c r="Q552">
        <f t="shared" si="8"/>
        <v>0.43615271141327006</v>
      </c>
    </row>
    <row r="553" spans="1:17" x14ac:dyDescent="0.25">
      <c r="A553">
        <v>8367150</v>
      </c>
      <c r="B553" t="s">
        <v>18</v>
      </c>
      <c r="C553">
        <v>18627540</v>
      </c>
      <c r="D553" t="s">
        <v>7</v>
      </c>
      <c r="E553">
        <v>2026615</v>
      </c>
      <c r="F553" s="2">
        <v>1056037</v>
      </c>
      <c r="G553" s="2">
        <v>94508</v>
      </c>
      <c r="H553">
        <v>30</v>
      </c>
      <c r="I553" s="1">
        <v>42509</v>
      </c>
      <c r="J553" t="s">
        <v>6</v>
      </c>
      <c r="K553">
        <f>COUNTIFS(GESTIONES!$A:$A, BASE_CUENTAS!$A553, GESTIONES!$B:$B, BASE_CUENTAS!$C553)</f>
        <v>3</v>
      </c>
      <c r="L553">
        <f>COUNTIFS(GESTIONES!$A:$A, BASE_CUENTAS!$A553,GESTIONES!$B:$B, BASE_CUENTAS!$C553,GESTIONES!$E:$E, "S")</f>
        <v>1</v>
      </c>
      <c r="M553">
        <f>COUNTIFS(GESTIONES!$A:$A, BASE_CUENTAS!$A553,GESTIONES!$B:$B, BASE_CUENTAS!$C553,GESTIONES!$E:$E, "N")</f>
        <v>2</v>
      </c>
      <c r="N553">
        <f>COUNTIFS(GESTIONES!$A:$A, BASE_CUENTAS!$A553,GESTIONES!$B:$B, BASE_CUENTAS!$C553,GESTIONES!$D:$D, "SMS")</f>
        <v>1</v>
      </c>
      <c r="O553">
        <f>SUMIFS(PAGOS!$D:$D,PAGOS!$A:$A, BASE_CUENTAS!$A553,PAGOS!$B:$B, BASE_CUENTAS!$C553)</f>
        <v>0</v>
      </c>
      <c r="P553" t="str">
        <f>IF(
VLOOKUP($C553,BASE_CIERRE_MES!$C:$G,5,FALSE)=0,
"Normalización",
IF(
VLOOKUP($C553,BASE_CIERRE_MES!$C:$G,5,FALSE)&lt;$H553,
"Recuperación",
IF(
VLOOKUP($C553,BASE_CIERRE_MES!$C:$G,5,FALSE)=$H553,
"Contención",
"Rodamiento"
)))</f>
        <v>Rodamiento</v>
      </c>
      <c r="Q553">
        <f t="shared" si="8"/>
        <v>0</v>
      </c>
    </row>
    <row r="554" spans="1:17" x14ac:dyDescent="0.25">
      <c r="A554">
        <v>8367150</v>
      </c>
      <c r="B554" t="s">
        <v>18</v>
      </c>
      <c r="C554">
        <v>18628373</v>
      </c>
      <c r="D554" t="s">
        <v>7</v>
      </c>
      <c r="E554">
        <v>2026615</v>
      </c>
      <c r="F554" s="2">
        <v>970578</v>
      </c>
      <c r="G554" s="2">
        <v>117199</v>
      </c>
      <c r="H554">
        <v>30</v>
      </c>
      <c r="I554" s="1">
        <v>42508</v>
      </c>
      <c r="J554" t="s">
        <v>6</v>
      </c>
      <c r="K554">
        <f>COUNTIFS(GESTIONES!$A:$A, BASE_CUENTAS!$A554, GESTIONES!$B:$B, BASE_CUENTAS!$C554)</f>
        <v>3</v>
      </c>
      <c r="L554">
        <f>COUNTIFS(GESTIONES!$A:$A, BASE_CUENTAS!$A554,GESTIONES!$B:$B, BASE_CUENTAS!$C554,GESTIONES!$E:$E, "S")</f>
        <v>1</v>
      </c>
      <c r="M554">
        <f>COUNTIFS(GESTIONES!$A:$A, BASE_CUENTAS!$A554,GESTIONES!$B:$B, BASE_CUENTAS!$C554,GESTIONES!$E:$E, "N")</f>
        <v>2</v>
      </c>
      <c r="N554">
        <f>COUNTIFS(GESTIONES!$A:$A, BASE_CUENTAS!$A554,GESTIONES!$B:$B, BASE_CUENTAS!$C554,GESTIONES!$D:$D, "SMS")</f>
        <v>1</v>
      </c>
      <c r="O554">
        <f>SUMIFS(PAGOS!$D:$D,PAGOS!$A:$A, BASE_CUENTAS!$A554,PAGOS!$B:$B, BASE_CUENTAS!$C554)</f>
        <v>970578</v>
      </c>
      <c r="P554" t="str">
        <f>IF(
VLOOKUP($C554,BASE_CIERRE_MES!$C:$G,5,FALSE)=0,
"Normalización",
IF(
VLOOKUP($C554,BASE_CIERRE_MES!$C:$G,5,FALSE)&lt;$H554,
"Recuperación",
IF(
VLOOKUP($C554,BASE_CIERRE_MES!$C:$G,5,FALSE)=$H554,
"Contención",
"Rodamiento"
)))</f>
        <v>Normalización</v>
      </c>
      <c r="Q554">
        <f t="shared" si="8"/>
        <v>1</v>
      </c>
    </row>
    <row r="555" spans="1:17" x14ac:dyDescent="0.25">
      <c r="A555">
        <v>8367187</v>
      </c>
      <c r="B555" t="s">
        <v>17</v>
      </c>
      <c r="C555">
        <v>24358512</v>
      </c>
      <c r="D555" t="s">
        <v>7</v>
      </c>
      <c r="E555">
        <v>7338564</v>
      </c>
      <c r="F555" s="2">
        <v>1000435</v>
      </c>
      <c r="G555" s="2">
        <v>999940</v>
      </c>
      <c r="H555">
        <v>120</v>
      </c>
      <c r="I555" s="1">
        <v>42521</v>
      </c>
      <c r="J555" t="s">
        <v>5</v>
      </c>
      <c r="K555">
        <f>COUNTIFS(GESTIONES!$A:$A, BASE_CUENTAS!$A555, GESTIONES!$B:$B, BASE_CUENTAS!$C555)</f>
        <v>3</v>
      </c>
      <c r="L555">
        <f>COUNTIFS(GESTIONES!$A:$A, BASE_CUENTAS!$A555,GESTIONES!$B:$B, BASE_CUENTAS!$C555,GESTIONES!$E:$E, "S")</f>
        <v>1</v>
      </c>
      <c r="M555">
        <f>COUNTIFS(GESTIONES!$A:$A, BASE_CUENTAS!$A555,GESTIONES!$B:$B, BASE_CUENTAS!$C555,GESTIONES!$E:$E, "N")</f>
        <v>2</v>
      </c>
      <c r="N555">
        <f>COUNTIFS(GESTIONES!$A:$A, BASE_CUENTAS!$A555,GESTIONES!$B:$B, BASE_CUENTAS!$C555,GESTIONES!$D:$D, "SMS")</f>
        <v>0</v>
      </c>
      <c r="O555">
        <f>SUMIFS(PAGOS!$D:$D,PAGOS!$A:$A, BASE_CUENTAS!$A555,PAGOS!$B:$B, BASE_CUENTAS!$C555)</f>
        <v>0</v>
      </c>
      <c r="P555" t="str">
        <f>IF(
VLOOKUP($C555,BASE_CIERRE_MES!$C:$G,5,FALSE)=0,
"Normalización",
IF(
VLOOKUP($C555,BASE_CIERRE_MES!$C:$G,5,FALSE)&lt;$H555,
"Recuperación",
IF(
VLOOKUP($C555,BASE_CIERRE_MES!$C:$G,5,FALSE)=$H555,
"Contención",
"Rodamiento"
)))</f>
        <v>Rodamiento</v>
      </c>
      <c r="Q555">
        <f t="shared" si="8"/>
        <v>0</v>
      </c>
    </row>
    <row r="556" spans="1:17" x14ac:dyDescent="0.25">
      <c r="A556">
        <v>8367911</v>
      </c>
      <c r="B556" t="s">
        <v>18</v>
      </c>
      <c r="C556">
        <v>26796195</v>
      </c>
      <c r="D556" t="s">
        <v>7</v>
      </c>
      <c r="E556">
        <v>2861987</v>
      </c>
      <c r="F556" s="2">
        <v>2861987</v>
      </c>
      <c r="G556" s="2">
        <v>400448</v>
      </c>
      <c r="H556">
        <v>30</v>
      </c>
      <c r="I556" s="1">
        <v>42521</v>
      </c>
      <c r="J556" t="s">
        <v>4</v>
      </c>
      <c r="K556">
        <f>COUNTIFS(GESTIONES!$A:$A, BASE_CUENTAS!$A556, GESTIONES!$B:$B, BASE_CUENTAS!$C556)</f>
        <v>3</v>
      </c>
      <c r="L556">
        <f>COUNTIFS(GESTIONES!$A:$A, BASE_CUENTAS!$A556,GESTIONES!$B:$B, BASE_CUENTAS!$C556,GESTIONES!$E:$E, "S")</f>
        <v>1</v>
      </c>
      <c r="M556">
        <f>COUNTIFS(GESTIONES!$A:$A, BASE_CUENTAS!$A556,GESTIONES!$B:$B, BASE_CUENTAS!$C556,GESTIONES!$E:$E, "N")</f>
        <v>2</v>
      </c>
      <c r="N556">
        <f>COUNTIFS(GESTIONES!$A:$A, BASE_CUENTAS!$A556,GESTIONES!$B:$B, BASE_CUENTAS!$C556,GESTIONES!$D:$D, "SMS")</f>
        <v>0</v>
      </c>
      <c r="O556">
        <f>SUMIFS(PAGOS!$D:$D,PAGOS!$A:$A, BASE_CUENTAS!$A556,PAGOS!$B:$B, BASE_CUENTAS!$C556)</f>
        <v>0</v>
      </c>
      <c r="P556" t="str">
        <f>IF(
VLOOKUP($C556,BASE_CIERRE_MES!$C:$G,5,FALSE)=0,
"Normalización",
IF(
VLOOKUP($C556,BASE_CIERRE_MES!$C:$G,5,FALSE)&lt;$H556,
"Recuperación",
IF(
VLOOKUP($C556,BASE_CIERRE_MES!$C:$G,5,FALSE)=$H556,
"Contención",
"Rodamiento"
)))</f>
        <v>Rodamiento</v>
      </c>
      <c r="Q556">
        <f t="shared" si="8"/>
        <v>0</v>
      </c>
    </row>
    <row r="557" spans="1:17" x14ac:dyDescent="0.25">
      <c r="A557">
        <v>8368470</v>
      </c>
      <c r="B557" t="s">
        <v>18</v>
      </c>
      <c r="C557">
        <v>25990958</v>
      </c>
      <c r="D557" t="s">
        <v>7</v>
      </c>
      <c r="E557">
        <v>3166094</v>
      </c>
      <c r="F557" s="2">
        <v>856746</v>
      </c>
      <c r="G557" s="2">
        <v>33493</v>
      </c>
      <c r="H557">
        <v>30</v>
      </c>
      <c r="I557" s="1">
        <v>42521</v>
      </c>
      <c r="J557" t="s">
        <v>4</v>
      </c>
      <c r="K557">
        <f>COUNTIFS(GESTIONES!$A:$A, BASE_CUENTAS!$A557, GESTIONES!$B:$B, BASE_CUENTAS!$C557)</f>
        <v>3</v>
      </c>
      <c r="L557">
        <f>COUNTIFS(GESTIONES!$A:$A, BASE_CUENTAS!$A557,GESTIONES!$B:$B, BASE_CUENTAS!$C557,GESTIONES!$E:$E, "S")</f>
        <v>0</v>
      </c>
      <c r="M557">
        <f>COUNTIFS(GESTIONES!$A:$A, BASE_CUENTAS!$A557,GESTIONES!$B:$B, BASE_CUENTAS!$C557,GESTIONES!$E:$E, "N")</f>
        <v>3</v>
      </c>
      <c r="N557">
        <f>COUNTIFS(GESTIONES!$A:$A, BASE_CUENTAS!$A557,GESTIONES!$B:$B, BASE_CUENTAS!$C557,GESTIONES!$D:$D, "SMS")</f>
        <v>2</v>
      </c>
      <c r="O557">
        <f>SUMIFS(PAGOS!$D:$D,PAGOS!$A:$A, BASE_CUENTAS!$A557,PAGOS!$B:$B, BASE_CUENTAS!$C557)</f>
        <v>16746</v>
      </c>
      <c r="P557" t="str">
        <f>IF(
VLOOKUP($C557,BASE_CIERRE_MES!$C:$G,5,FALSE)=0,
"Normalización",
IF(
VLOOKUP($C557,BASE_CIERRE_MES!$C:$G,5,FALSE)&lt;$H557,
"Recuperación",
IF(
VLOOKUP($C557,BASE_CIERRE_MES!$C:$G,5,FALSE)=$H557,
"Contención",
"Rodamiento"
)))</f>
        <v>Recuperación</v>
      </c>
      <c r="Q557">
        <f t="shared" si="8"/>
        <v>1.9546049821067155E-2</v>
      </c>
    </row>
    <row r="558" spans="1:17" x14ac:dyDescent="0.25">
      <c r="A558">
        <v>8368568</v>
      </c>
      <c r="B558" t="s">
        <v>16</v>
      </c>
      <c r="C558">
        <v>20786848</v>
      </c>
      <c r="D558" t="s">
        <v>7</v>
      </c>
      <c r="E558">
        <v>37091851</v>
      </c>
      <c r="F558" s="2">
        <v>5637698</v>
      </c>
      <c r="G558" s="2">
        <v>106274</v>
      </c>
      <c r="H558">
        <v>30</v>
      </c>
      <c r="I558" s="1">
        <v>42522</v>
      </c>
      <c r="J558" t="s">
        <v>6</v>
      </c>
      <c r="K558">
        <f>COUNTIFS(GESTIONES!$A:$A, BASE_CUENTAS!$A558, GESTIONES!$B:$B, BASE_CUENTAS!$C558)</f>
        <v>3</v>
      </c>
      <c r="L558">
        <f>COUNTIFS(GESTIONES!$A:$A, BASE_CUENTAS!$A558,GESTIONES!$B:$B, BASE_CUENTAS!$C558,GESTIONES!$E:$E, "S")</f>
        <v>1</v>
      </c>
      <c r="M558">
        <f>COUNTIFS(GESTIONES!$A:$A, BASE_CUENTAS!$A558,GESTIONES!$B:$B, BASE_CUENTAS!$C558,GESTIONES!$E:$E, "N")</f>
        <v>2</v>
      </c>
      <c r="N558">
        <f>COUNTIFS(GESTIONES!$A:$A, BASE_CUENTAS!$A558,GESTIONES!$B:$B, BASE_CUENTAS!$C558,GESTIONES!$D:$D, "SMS")</f>
        <v>1</v>
      </c>
      <c r="O558">
        <f>SUMIFS(PAGOS!$D:$D,PAGOS!$A:$A, BASE_CUENTAS!$A558,PAGOS!$B:$B, BASE_CUENTAS!$C558)</f>
        <v>0</v>
      </c>
      <c r="P558" t="str">
        <f>IF(
VLOOKUP($C558,BASE_CIERRE_MES!$C:$G,5,FALSE)=0,
"Normalización",
IF(
VLOOKUP($C558,BASE_CIERRE_MES!$C:$G,5,FALSE)&lt;$H558,
"Recuperación",
IF(
VLOOKUP($C558,BASE_CIERRE_MES!$C:$G,5,FALSE)=$H558,
"Contención",
"Rodamiento"
)))</f>
        <v>Rodamiento</v>
      </c>
      <c r="Q558">
        <f t="shared" si="8"/>
        <v>0</v>
      </c>
    </row>
    <row r="559" spans="1:17" x14ac:dyDescent="0.25">
      <c r="A559">
        <v>8368568</v>
      </c>
      <c r="B559" t="s">
        <v>16</v>
      </c>
      <c r="C559">
        <v>23353967</v>
      </c>
      <c r="D559" t="s">
        <v>7</v>
      </c>
      <c r="E559">
        <v>37091851</v>
      </c>
      <c r="F559" s="2">
        <v>1363821</v>
      </c>
      <c r="G559" s="2">
        <v>295418</v>
      </c>
      <c r="H559">
        <v>30</v>
      </c>
      <c r="I559" s="1">
        <v>42522</v>
      </c>
      <c r="J559" t="s">
        <v>6</v>
      </c>
      <c r="K559">
        <f>COUNTIFS(GESTIONES!$A:$A, BASE_CUENTAS!$A559, GESTIONES!$B:$B, BASE_CUENTAS!$C559)</f>
        <v>3</v>
      </c>
      <c r="L559">
        <f>COUNTIFS(GESTIONES!$A:$A, BASE_CUENTAS!$A559,GESTIONES!$B:$B, BASE_CUENTAS!$C559,GESTIONES!$E:$E, "S")</f>
        <v>1</v>
      </c>
      <c r="M559">
        <f>COUNTIFS(GESTIONES!$A:$A, BASE_CUENTAS!$A559,GESTIONES!$B:$B, BASE_CUENTAS!$C559,GESTIONES!$E:$E, "N")</f>
        <v>2</v>
      </c>
      <c r="N559">
        <f>COUNTIFS(GESTIONES!$A:$A, BASE_CUENTAS!$A559,GESTIONES!$B:$B, BASE_CUENTAS!$C559,GESTIONES!$D:$D, "SMS")</f>
        <v>1</v>
      </c>
      <c r="O559">
        <f>SUMIFS(PAGOS!$D:$D,PAGOS!$A:$A, BASE_CUENTAS!$A559,PAGOS!$B:$B, BASE_CUENTAS!$C559)</f>
        <v>98473</v>
      </c>
      <c r="P559" t="str">
        <f>IF(
VLOOKUP($C559,BASE_CIERRE_MES!$C:$G,5,FALSE)=0,
"Normalización",
IF(
VLOOKUP($C559,BASE_CIERRE_MES!$C:$G,5,FALSE)&lt;$H559,
"Recuperación",
IF(
VLOOKUP($C559,BASE_CIERRE_MES!$C:$G,5,FALSE)=$H559,
"Contención",
"Rodamiento"
)))</f>
        <v>Contención</v>
      </c>
      <c r="Q559">
        <f t="shared" si="8"/>
        <v>7.2203756944643024E-2</v>
      </c>
    </row>
    <row r="560" spans="1:17" x14ac:dyDescent="0.25">
      <c r="A560">
        <v>8368826</v>
      </c>
      <c r="B560" t="s">
        <v>17</v>
      </c>
      <c r="C560">
        <v>11200552</v>
      </c>
      <c r="D560" t="s">
        <v>7</v>
      </c>
      <c r="E560">
        <v>7945699</v>
      </c>
      <c r="F560" s="2">
        <v>2858482</v>
      </c>
      <c r="G560" s="2">
        <v>84289</v>
      </c>
      <c r="H560">
        <v>30</v>
      </c>
      <c r="I560" s="1">
        <v>42490</v>
      </c>
      <c r="J560" t="s">
        <v>6</v>
      </c>
      <c r="K560">
        <f>COUNTIFS(GESTIONES!$A:$A, BASE_CUENTAS!$A560, GESTIONES!$B:$B, BASE_CUENTAS!$C560)</f>
        <v>3</v>
      </c>
      <c r="L560">
        <f>COUNTIFS(GESTIONES!$A:$A, BASE_CUENTAS!$A560,GESTIONES!$B:$B, BASE_CUENTAS!$C560,GESTIONES!$E:$E, "S")</f>
        <v>1</v>
      </c>
      <c r="M560">
        <f>COUNTIFS(GESTIONES!$A:$A, BASE_CUENTAS!$A560,GESTIONES!$B:$B, BASE_CUENTAS!$C560,GESTIONES!$E:$E, "N")</f>
        <v>2</v>
      </c>
      <c r="N560">
        <f>COUNTIFS(GESTIONES!$A:$A, BASE_CUENTAS!$A560,GESTIONES!$B:$B, BASE_CUENTAS!$C560,GESTIONES!$D:$D, "SMS")</f>
        <v>0</v>
      </c>
      <c r="O560">
        <f>SUMIFS(PAGOS!$D:$D,PAGOS!$A:$A, BASE_CUENTAS!$A560,PAGOS!$B:$B, BASE_CUENTAS!$C560)</f>
        <v>84289</v>
      </c>
      <c r="P560" t="str">
        <f>IF(
VLOOKUP($C560,BASE_CIERRE_MES!$C:$G,5,FALSE)=0,
"Normalización",
IF(
VLOOKUP($C560,BASE_CIERRE_MES!$C:$G,5,FALSE)&lt;$H560,
"Recuperación",
IF(
VLOOKUP($C560,BASE_CIERRE_MES!$C:$G,5,FALSE)=$H560,
"Contención",
"Rodamiento"
)))</f>
        <v>Normalización</v>
      </c>
      <c r="Q560">
        <f t="shared" si="8"/>
        <v>2.9487329288762357E-2</v>
      </c>
    </row>
    <row r="561" spans="1:17" x14ac:dyDescent="0.25">
      <c r="A561">
        <v>8368917</v>
      </c>
      <c r="B561" t="s">
        <v>17</v>
      </c>
      <c r="C561">
        <v>15643416</v>
      </c>
      <c r="D561" t="s">
        <v>7</v>
      </c>
      <c r="E561">
        <v>11787227</v>
      </c>
      <c r="F561" s="2">
        <v>5891976</v>
      </c>
      <c r="G561" s="2">
        <v>797773</v>
      </c>
      <c r="H561">
        <v>30</v>
      </c>
      <c r="I561" s="1">
        <v>42508</v>
      </c>
      <c r="J561" t="s">
        <v>6</v>
      </c>
      <c r="K561">
        <f>COUNTIFS(GESTIONES!$A:$A, BASE_CUENTAS!$A561, GESTIONES!$B:$B, BASE_CUENTAS!$C561)</f>
        <v>3</v>
      </c>
      <c r="L561">
        <f>COUNTIFS(GESTIONES!$A:$A, BASE_CUENTAS!$A561,GESTIONES!$B:$B, BASE_CUENTAS!$C561,GESTIONES!$E:$E, "S")</f>
        <v>2</v>
      </c>
      <c r="M561">
        <f>COUNTIFS(GESTIONES!$A:$A, BASE_CUENTAS!$A561,GESTIONES!$B:$B, BASE_CUENTAS!$C561,GESTIONES!$E:$E, "N")</f>
        <v>1</v>
      </c>
      <c r="N561">
        <f>COUNTIFS(GESTIONES!$A:$A, BASE_CUENTAS!$A561,GESTIONES!$B:$B, BASE_CUENTAS!$C561,GESTIONES!$D:$D, "SMS")</f>
        <v>0</v>
      </c>
      <c r="O561">
        <f>SUMIFS(PAGOS!$D:$D,PAGOS!$A:$A, BASE_CUENTAS!$A561,PAGOS!$B:$B, BASE_CUENTAS!$C561)</f>
        <v>265924</v>
      </c>
      <c r="P561" t="str">
        <f>IF(
VLOOKUP($C561,BASE_CIERRE_MES!$C:$G,5,FALSE)=0,
"Normalización",
IF(
VLOOKUP($C561,BASE_CIERRE_MES!$C:$G,5,FALSE)&lt;$H561,
"Recuperación",
IF(
VLOOKUP($C561,BASE_CIERRE_MES!$C:$G,5,FALSE)=$H561,
"Contención",
"Rodamiento"
)))</f>
        <v>Contención</v>
      </c>
      <c r="Q561">
        <f t="shared" si="8"/>
        <v>4.5133245620823985E-2</v>
      </c>
    </row>
    <row r="562" spans="1:17" x14ac:dyDescent="0.25">
      <c r="A562">
        <v>8368917</v>
      </c>
      <c r="B562" t="s">
        <v>17</v>
      </c>
      <c r="C562">
        <v>15644864</v>
      </c>
      <c r="D562" t="s">
        <v>7</v>
      </c>
      <c r="E562">
        <v>11787227</v>
      </c>
      <c r="F562" s="2">
        <v>5895251</v>
      </c>
      <c r="G562" s="2">
        <v>685129</v>
      </c>
      <c r="H562">
        <v>30</v>
      </c>
      <c r="I562" s="1">
        <v>42509</v>
      </c>
      <c r="J562" t="s">
        <v>6</v>
      </c>
      <c r="K562">
        <f>COUNTIFS(GESTIONES!$A:$A, BASE_CUENTAS!$A562, GESTIONES!$B:$B, BASE_CUENTAS!$C562)</f>
        <v>3</v>
      </c>
      <c r="L562">
        <f>COUNTIFS(GESTIONES!$A:$A, BASE_CUENTAS!$A562,GESTIONES!$B:$B, BASE_CUENTAS!$C562,GESTIONES!$E:$E, "S")</f>
        <v>1</v>
      </c>
      <c r="M562">
        <f>COUNTIFS(GESTIONES!$A:$A, BASE_CUENTAS!$A562,GESTIONES!$B:$B, BASE_CUENTAS!$C562,GESTIONES!$E:$E, "N")</f>
        <v>2</v>
      </c>
      <c r="N562">
        <f>COUNTIFS(GESTIONES!$A:$A, BASE_CUENTAS!$A562,GESTIONES!$B:$B, BASE_CUENTAS!$C562,GESTIONES!$D:$D, "SMS")</f>
        <v>1</v>
      </c>
      <c r="O562">
        <f>SUMIFS(PAGOS!$D:$D,PAGOS!$A:$A, BASE_CUENTAS!$A562,PAGOS!$B:$B, BASE_CUENTAS!$C562)</f>
        <v>0</v>
      </c>
      <c r="P562" t="str">
        <f>IF(
VLOOKUP($C562,BASE_CIERRE_MES!$C:$G,5,FALSE)=0,
"Normalización",
IF(
VLOOKUP($C562,BASE_CIERRE_MES!$C:$G,5,FALSE)&lt;$H562,
"Recuperación",
IF(
VLOOKUP($C562,BASE_CIERRE_MES!$C:$G,5,FALSE)=$H562,
"Contención",
"Rodamiento"
)))</f>
        <v>Rodamiento</v>
      </c>
      <c r="Q562">
        <f t="shared" si="8"/>
        <v>0</v>
      </c>
    </row>
    <row r="563" spans="1:17" x14ac:dyDescent="0.25">
      <c r="A563">
        <v>8368961</v>
      </c>
      <c r="B563" t="s">
        <v>17</v>
      </c>
      <c r="C563">
        <v>23801774</v>
      </c>
      <c r="D563" t="s">
        <v>7</v>
      </c>
      <c r="E563">
        <v>9205503</v>
      </c>
      <c r="F563" s="2">
        <v>1832073</v>
      </c>
      <c r="G563" s="2">
        <v>417202</v>
      </c>
      <c r="H563">
        <v>60</v>
      </c>
      <c r="I563" s="1">
        <v>42491</v>
      </c>
      <c r="J563" t="s">
        <v>6</v>
      </c>
      <c r="K563">
        <f>COUNTIFS(GESTIONES!$A:$A, BASE_CUENTAS!$A563, GESTIONES!$B:$B, BASE_CUENTAS!$C563)</f>
        <v>3</v>
      </c>
      <c r="L563">
        <f>COUNTIFS(GESTIONES!$A:$A, BASE_CUENTAS!$A563,GESTIONES!$B:$B, BASE_CUENTAS!$C563,GESTIONES!$E:$E, "S")</f>
        <v>0</v>
      </c>
      <c r="M563">
        <f>COUNTIFS(GESTIONES!$A:$A, BASE_CUENTAS!$A563,GESTIONES!$B:$B, BASE_CUENTAS!$C563,GESTIONES!$E:$E, "N")</f>
        <v>3</v>
      </c>
      <c r="N563">
        <f>COUNTIFS(GESTIONES!$A:$A, BASE_CUENTAS!$A563,GESTIONES!$B:$B, BASE_CUENTAS!$C563,GESTIONES!$D:$D, "SMS")</f>
        <v>1</v>
      </c>
      <c r="O563">
        <f>SUMIFS(PAGOS!$D:$D,PAGOS!$A:$A, BASE_CUENTAS!$A563,PAGOS!$B:$B, BASE_CUENTAS!$C563)</f>
        <v>0</v>
      </c>
      <c r="P563" t="str">
        <f>IF(
VLOOKUP($C563,BASE_CIERRE_MES!$C:$G,5,FALSE)=0,
"Normalización",
IF(
VLOOKUP($C563,BASE_CIERRE_MES!$C:$G,5,FALSE)&lt;$H563,
"Recuperación",
IF(
VLOOKUP($C563,BASE_CIERRE_MES!$C:$G,5,FALSE)=$H563,
"Contención",
"Rodamiento"
)))</f>
        <v>Rodamiento</v>
      </c>
      <c r="Q563">
        <f t="shared" si="8"/>
        <v>0</v>
      </c>
    </row>
    <row r="564" spans="1:17" x14ac:dyDescent="0.25">
      <c r="A564">
        <v>8369021</v>
      </c>
      <c r="B564" t="s">
        <v>17</v>
      </c>
      <c r="C564">
        <v>24967953</v>
      </c>
      <c r="D564" t="s">
        <v>7</v>
      </c>
      <c r="E564">
        <v>5470361</v>
      </c>
      <c r="F564" s="2">
        <v>2735181</v>
      </c>
      <c r="G564" s="2">
        <v>62433</v>
      </c>
      <c r="H564">
        <v>30</v>
      </c>
      <c r="I564" s="1">
        <v>42524</v>
      </c>
      <c r="J564" t="s">
        <v>6</v>
      </c>
      <c r="K564">
        <f>COUNTIFS(GESTIONES!$A:$A, BASE_CUENTAS!$A564, GESTIONES!$B:$B, BASE_CUENTAS!$C564)</f>
        <v>3</v>
      </c>
      <c r="L564">
        <f>COUNTIFS(GESTIONES!$A:$A, BASE_CUENTAS!$A564,GESTIONES!$B:$B, BASE_CUENTAS!$C564,GESTIONES!$E:$E, "S")</f>
        <v>1</v>
      </c>
      <c r="M564">
        <f>COUNTIFS(GESTIONES!$A:$A, BASE_CUENTAS!$A564,GESTIONES!$B:$B, BASE_CUENTAS!$C564,GESTIONES!$E:$E, "N")</f>
        <v>2</v>
      </c>
      <c r="N564">
        <f>COUNTIFS(GESTIONES!$A:$A, BASE_CUENTAS!$A564,GESTIONES!$B:$B, BASE_CUENTAS!$C564,GESTIONES!$D:$D, "SMS")</f>
        <v>2</v>
      </c>
      <c r="O564">
        <f>SUMIFS(PAGOS!$D:$D,PAGOS!$A:$A, BASE_CUENTAS!$A564,PAGOS!$B:$B, BASE_CUENTAS!$C564)</f>
        <v>0</v>
      </c>
      <c r="P564" t="str">
        <f>IF(
VLOOKUP($C564,BASE_CIERRE_MES!$C:$G,5,FALSE)=0,
"Normalización",
IF(
VLOOKUP($C564,BASE_CIERRE_MES!$C:$G,5,FALSE)&lt;$H564,
"Recuperación",
IF(
VLOOKUP($C564,BASE_CIERRE_MES!$C:$G,5,FALSE)=$H564,
"Contención",
"Rodamiento"
)))</f>
        <v>Rodamiento</v>
      </c>
      <c r="Q564">
        <f t="shared" si="8"/>
        <v>0</v>
      </c>
    </row>
    <row r="565" spans="1:17" x14ac:dyDescent="0.25">
      <c r="A565">
        <v>8369548</v>
      </c>
      <c r="B565" t="s">
        <v>18</v>
      </c>
      <c r="C565">
        <v>21722911</v>
      </c>
      <c r="D565" t="s">
        <v>7</v>
      </c>
      <c r="E565">
        <v>4783523</v>
      </c>
      <c r="F565" s="2">
        <v>1289329</v>
      </c>
      <c r="G565" s="2">
        <v>1289329</v>
      </c>
      <c r="H565">
        <v>300</v>
      </c>
      <c r="I565" s="1">
        <v>42487</v>
      </c>
      <c r="J565" t="s">
        <v>5</v>
      </c>
      <c r="K565">
        <f>COUNTIFS(GESTIONES!$A:$A, BASE_CUENTAS!$A565, GESTIONES!$B:$B, BASE_CUENTAS!$C565)</f>
        <v>3</v>
      </c>
      <c r="L565">
        <f>COUNTIFS(GESTIONES!$A:$A, BASE_CUENTAS!$A565,GESTIONES!$B:$B, BASE_CUENTAS!$C565,GESTIONES!$E:$E, "S")</f>
        <v>1</v>
      </c>
      <c r="M565">
        <f>COUNTIFS(GESTIONES!$A:$A, BASE_CUENTAS!$A565,GESTIONES!$B:$B, BASE_CUENTAS!$C565,GESTIONES!$E:$E, "N")</f>
        <v>2</v>
      </c>
      <c r="N565">
        <f>COUNTIFS(GESTIONES!$A:$A, BASE_CUENTAS!$A565,GESTIONES!$B:$B, BASE_CUENTAS!$C565,GESTIONES!$D:$D, "SMS")</f>
        <v>0</v>
      </c>
      <c r="O565">
        <f>SUMIFS(PAGOS!$D:$D,PAGOS!$A:$A, BASE_CUENTAS!$A565,PAGOS!$B:$B, BASE_CUENTAS!$C565)</f>
        <v>1289329</v>
      </c>
      <c r="P565" t="str">
        <f>IF(
VLOOKUP($C565,BASE_CIERRE_MES!$C:$G,5,FALSE)=0,
"Normalización",
IF(
VLOOKUP($C565,BASE_CIERRE_MES!$C:$G,5,FALSE)&lt;$H565,
"Recuperación",
IF(
VLOOKUP($C565,BASE_CIERRE_MES!$C:$G,5,FALSE)=$H565,
"Contención",
"Rodamiento"
)))</f>
        <v>Normalización</v>
      </c>
      <c r="Q565">
        <f t="shared" si="8"/>
        <v>1</v>
      </c>
    </row>
    <row r="566" spans="1:17" x14ac:dyDescent="0.25">
      <c r="A566">
        <v>8369921</v>
      </c>
      <c r="B566" t="s">
        <v>17</v>
      </c>
      <c r="C566">
        <v>18804236</v>
      </c>
      <c r="D566" t="s">
        <v>7</v>
      </c>
      <c r="E566">
        <v>5853172</v>
      </c>
      <c r="F566" s="2">
        <v>1883060</v>
      </c>
      <c r="G566" s="2">
        <v>48927</v>
      </c>
      <c r="H566">
        <v>30</v>
      </c>
      <c r="I566" s="1">
        <v>42521</v>
      </c>
      <c r="J566" t="s">
        <v>4</v>
      </c>
      <c r="K566">
        <f>COUNTIFS(GESTIONES!$A:$A, BASE_CUENTAS!$A566, GESTIONES!$B:$B, BASE_CUENTAS!$C566)</f>
        <v>3</v>
      </c>
      <c r="L566">
        <f>COUNTIFS(GESTIONES!$A:$A, BASE_CUENTAS!$A566,GESTIONES!$B:$B, BASE_CUENTAS!$C566,GESTIONES!$E:$E, "S")</f>
        <v>1</v>
      </c>
      <c r="M566">
        <f>COUNTIFS(GESTIONES!$A:$A, BASE_CUENTAS!$A566,GESTIONES!$B:$B, BASE_CUENTAS!$C566,GESTIONES!$E:$E, "N")</f>
        <v>2</v>
      </c>
      <c r="N566">
        <f>COUNTIFS(GESTIONES!$A:$A, BASE_CUENTAS!$A566,GESTIONES!$B:$B, BASE_CUENTAS!$C566,GESTIONES!$D:$D, "SMS")</f>
        <v>0</v>
      </c>
      <c r="O566">
        <f>SUMIFS(PAGOS!$D:$D,PAGOS!$A:$A, BASE_CUENTAS!$A566,PAGOS!$B:$B, BASE_CUENTAS!$C566)</f>
        <v>48927</v>
      </c>
      <c r="P566" t="str">
        <f>IF(
VLOOKUP($C566,BASE_CIERRE_MES!$C:$G,5,FALSE)=0,
"Normalización",
IF(
VLOOKUP($C566,BASE_CIERRE_MES!$C:$G,5,FALSE)&lt;$H566,
"Recuperación",
IF(
VLOOKUP($C566,BASE_CIERRE_MES!$C:$G,5,FALSE)=$H566,
"Contención",
"Rodamiento"
)))</f>
        <v>Normalización</v>
      </c>
      <c r="Q566">
        <f t="shared" si="8"/>
        <v>2.5982708994933778E-2</v>
      </c>
    </row>
    <row r="567" spans="1:17" x14ac:dyDescent="0.25">
      <c r="A567">
        <v>8370142</v>
      </c>
      <c r="B567" t="s">
        <v>17</v>
      </c>
      <c r="C567">
        <v>19935967</v>
      </c>
      <c r="D567" t="s">
        <v>7</v>
      </c>
      <c r="E567">
        <v>5797763</v>
      </c>
      <c r="F567" s="2">
        <v>885904</v>
      </c>
      <c r="G567" s="2">
        <v>33649</v>
      </c>
      <c r="H567">
        <v>30</v>
      </c>
      <c r="I567" s="1">
        <v>42521</v>
      </c>
      <c r="J567" t="s">
        <v>4</v>
      </c>
      <c r="K567">
        <f>COUNTIFS(GESTIONES!$A:$A, BASE_CUENTAS!$A567, GESTIONES!$B:$B, BASE_CUENTAS!$C567)</f>
        <v>3</v>
      </c>
      <c r="L567">
        <f>COUNTIFS(GESTIONES!$A:$A, BASE_CUENTAS!$A567,GESTIONES!$B:$B, BASE_CUENTAS!$C567,GESTIONES!$E:$E, "S")</f>
        <v>1</v>
      </c>
      <c r="M567">
        <f>COUNTIFS(GESTIONES!$A:$A, BASE_CUENTAS!$A567,GESTIONES!$B:$B, BASE_CUENTAS!$C567,GESTIONES!$E:$E, "N")</f>
        <v>2</v>
      </c>
      <c r="N567">
        <f>COUNTIFS(GESTIONES!$A:$A, BASE_CUENTAS!$A567,GESTIONES!$B:$B, BASE_CUENTAS!$C567,GESTIONES!$D:$D, "SMS")</f>
        <v>1</v>
      </c>
      <c r="O567">
        <f>SUMIFS(PAGOS!$D:$D,PAGOS!$A:$A, BASE_CUENTAS!$A567,PAGOS!$B:$B, BASE_CUENTAS!$C567)</f>
        <v>0</v>
      </c>
      <c r="P567" t="str">
        <f>IF(
VLOOKUP($C567,BASE_CIERRE_MES!$C:$G,5,FALSE)=0,
"Normalización",
IF(
VLOOKUP($C567,BASE_CIERRE_MES!$C:$G,5,FALSE)&lt;$H567,
"Recuperación",
IF(
VLOOKUP($C567,BASE_CIERRE_MES!$C:$G,5,FALSE)=$H567,
"Contención",
"Rodamiento"
)))</f>
        <v>Rodamiento</v>
      </c>
      <c r="Q567">
        <f t="shared" si="8"/>
        <v>0</v>
      </c>
    </row>
    <row r="568" spans="1:17" x14ac:dyDescent="0.25">
      <c r="A568">
        <v>8370142</v>
      </c>
      <c r="B568" t="s">
        <v>17</v>
      </c>
      <c r="C568">
        <v>19937520</v>
      </c>
      <c r="D568" t="s">
        <v>7</v>
      </c>
      <c r="E568">
        <v>5797763</v>
      </c>
      <c r="F568" s="2">
        <v>2208042</v>
      </c>
      <c r="G568" s="2">
        <v>56716</v>
      </c>
      <c r="H568">
        <v>30</v>
      </c>
      <c r="I568" s="1">
        <v>42521</v>
      </c>
      <c r="J568" t="s">
        <v>4</v>
      </c>
      <c r="K568">
        <f>COUNTIFS(GESTIONES!$A:$A, BASE_CUENTAS!$A568, GESTIONES!$B:$B, BASE_CUENTAS!$C568)</f>
        <v>3</v>
      </c>
      <c r="L568">
        <f>COUNTIFS(GESTIONES!$A:$A, BASE_CUENTAS!$A568,GESTIONES!$B:$B, BASE_CUENTAS!$C568,GESTIONES!$E:$E, "S")</f>
        <v>0</v>
      </c>
      <c r="M568">
        <f>COUNTIFS(GESTIONES!$A:$A, BASE_CUENTAS!$A568,GESTIONES!$B:$B, BASE_CUENTAS!$C568,GESTIONES!$E:$E, "N")</f>
        <v>3</v>
      </c>
      <c r="N568">
        <f>COUNTIFS(GESTIONES!$A:$A, BASE_CUENTAS!$A568,GESTIONES!$B:$B, BASE_CUENTAS!$C568,GESTIONES!$D:$D, "SMS")</f>
        <v>1</v>
      </c>
      <c r="O568">
        <f>SUMIFS(PAGOS!$D:$D,PAGOS!$A:$A, BASE_CUENTAS!$A568,PAGOS!$B:$B, BASE_CUENTAS!$C568)</f>
        <v>0</v>
      </c>
      <c r="P568" t="str">
        <f>IF(
VLOOKUP($C568,BASE_CIERRE_MES!$C:$G,5,FALSE)=0,
"Normalización",
IF(
VLOOKUP($C568,BASE_CIERRE_MES!$C:$G,5,FALSE)&lt;$H568,
"Recuperación",
IF(
VLOOKUP($C568,BASE_CIERRE_MES!$C:$G,5,FALSE)=$H568,
"Contención",
"Rodamiento"
)))</f>
        <v>Rodamiento</v>
      </c>
      <c r="Q568">
        <f t="shared" si="8"/>
        <v>0</v>
      </c>
    </row>
    <row r="569" spans="1:17" x14ac:dyDescent="0.25">
      <c r="A569">
        <v>8370436</v>
      </c>
      <c r="B569" t="s">
        <v>18</v>
      </c>
      <c r="C569">
        <v>25911475</v>
      </c>
      <c r="D569" t="s">
        <v>7</v>
      </c>
      <c r="E569">
        <v>907040</v>
      </c>
      <c r="F569" s="2">
        <v>907040</v>
      </c>
      <c r="G569" s="2">
        <v>203743</v>
      </c>
      <c r="H569">
        <v>90</v>
      </c>
      <c r="I569" s="1">
        <v>42508</v>
      </c>
      <c r="J569" t="s">
        <v>6</v>
      </c>
      <c r="K569">
        <f>COUNTIFS(GESTIONES!$A:$A, BASE_CUENTAS!$A569, GESTIONES!$B:$B, BASE_CUENTAS!$C569)</f>
        <v>3</v>
      </c>
      <c r="L569">
        <f>COUNTIFS(GESTIONES!$A:$A, BASE_CUENTAS!$A569,GESTIONES!$B:$B, BASE_CUENTAS!$C569,GESTIONES!$E:$E, "S")</f>
        <v>1</v>
      </c>
      <c r="M569">
        <f>COUNTIFS(GESTIONES!$A:$A, BASE_CUENTAS!$A569,GESTIONES!$B:$B, BASE_CUENTAS!$C569,GESTIONES!$E:$E, "N")</f>
        <v>2</v>
      </c>
      <c r="N569">
        <f>COUNTIFS(GESTIONES!$A:$A, BASE_CUENTAS!$A569,GESTIONES!$B:$B, BASE_CUENTAS!$C569,GESTIONES!$D:$D, "SMS")</f>
        <v>2</v>
      </c>
      <c r="O569">
        <f>SUMIFS(PAGOS!$D:$D,PAGOS!$A:$A, BASE_CUENTAS!$A569,PAGOS!$B:$B, BASE_CUENTAS!$C569)</f>
        <v>0</v>
      </c>
      <c r="P569" t="str">
        <f>IF(
VLOOKUP($C569,BASE_CIERRE_MES!$C:$G,5,FALSE)=0,
"Normalización",
IF(
VLOOKUP($C569,BASE_CIERRE_MES!$C:$G,5,FALSE)&lt;$H569,
"Recuperación",
IF(
VLOOKUP($C569,BASE_CIERRE_MES!$C:$G,5,FALSE)=$H569,
"Contención",
"Rodamiento"
)))</f>
        <v>Rodamiento</v>
      </c>
      <c r="Q569">
        <f t="shared" si="8"/>
        <v>0</v>
      </c>
    </row>
    <row r="570" spans="1:17" x14ac:dyDescent="0.25">
      <c r="A570">
        <v>8370964</v>
      </c>
      <c r="B570" t="s">
        <v>18</v>
      </c>
      <c r="C570">
        <v>14853592</v>
      </c>
      <c r="D570" t="s">
        <v>7</v>
      </c>
      <c r="E570">
        <v>1763477</v>
      </c>
      <c r="F570" s="2">
        <v>1763477</v>
      </c>
      <c r="G570" s="2">
        <v>1763477</v>
      </c>
      <c r="H570">
        <v>120</v>
      </c>
      <c r="I570" s="1">
        <v>42519</v>
      </c>
      <c r="J570" t="s">
        <v>5</v>
      </c>
      <c r="K570">
        <f>COUNTIFS(GESTIONES!$A:$A, BASE_CUENTAS!$A570, GESTIONES!$B:$B, BASE_CUENTAS!$C570)</f>
        <v>3</v>
      </c>
      <c r="L570">
        <f>COUNTIFS(GESTIONES!$A:$A, BASE_CUENTAS!$A570,GESTIONES!$B:$B, BASE_CUENTAS!$C570,GESTIONES!$E:$E, "S")</f>
        <v>1</v>
      </c>
      <c r="M570">
        <f>COUNTIFS(GESTIONES!$A:$A, BASE_CUENTAS!$A570,GESTIONES!$B:$B, BASE_CUENTAS!$C570,GESTIONES!$E:$E, "N")</f>
        <v>2</v>
      </c>
      <c r="N570">
        <f>COUNTIFS(GESTIONES!$A:$A, BASE_CUENTAS!$A570,GESTIONES!$B:$B, BASE_CUENTAS!$C570,GESTIONES!$D:$D, "SMS")</f>
        <v>0</v>
      </c>
      <c r="O570">
        <f>SUMIFS(PAGOS!$D:$D,PAGOS!$A:$A, BASE_CUENTAS!$A570,PAGOS!$B:$B, BASE_CUENTAS!$C570)</f>
        <v>0</v>
      </c>
      <c r="P570" t="str">
        <f>IF(
VLOOKUP($C570,BASE_CIERRE_MES!$C:$G,5,FALSE)=0,
"Normalización",
IF(
VLOOKUP($C570,BASE_CIERRE_MES!$C:$G,5,FALSE)&lt;$H570,
"Recuperación",
IF(
VLOOKUP($C570,BASE_CIERRE_MES!$C:$G,5,FALSE)=$H570,
"Contención",
"Rodamiento"
)))</f>
        <v>Recuperación</v>
      </c>
      <c r="Q570">
        <f t="shared" si="8"/>
        <v>0</v>
      </c>
    </row>
    <row r="571" spans="1:17" x14ac:dyDescent="0.25">
      <c r="A571">
        <v>8371020</v>
      </c>
      <c r="B571" t="s">
        <v>18</v>
      </c>
      <c r="C571">
        <v>26228993</v>
      </c>
      <c r="D571" t="s">
        <v>7</v>
      </c>
      <c r="E571">
        <v>719953</v>
      </c>
      <c r="F571" s="2">
        <v>719953</v>
      </c>
      <c r="G571" s="2">
        <v>272465</v>
      </c>
      <c r="H571">
        <v>30</v>
      </c>
      <c r="I571" s="1">
        <v>42521</v>
      </c>
      <c r="J571" t="s">
        <v>4</v>
      </c>
      <c r="K571">
        <f>COUNTIFS(GESTIONES!$A:$A, BASE_CUENTAS!$A571, GESTIONES!$B:$B, BASE_CUENTAS!$C571)</f>
        <v>3</v>
      </c>
      <c r="L571">
        <f>COUNTIFS(GESTIONES!$A:$A, BASE_CUENTAS!$A571,GESTIONES!$B:$B, BASE_CUENTAS!$C571,GESTIONES!$E:$E, "S")</f>
        <v>1</v>
      </c>
      <c r="M571">
        <f>COUNTIFS(GESTIONES!$A:$A, BASE_CUENTAS!$A571,GESTIONES!$B:$B, BASE_CUENTAS!$C571,GESTIONES!$E:$E, "N")</f>
        <v>2</v>
      </c>
      <c r="N571">
        <f>COUNTIFS(GESTIONES!$A:$A, BASE_CUENTAS!$A571,GESTIONES!$B:$B, BASE_CUENTAS!$C571,GESTIONES!$D:$D, "SMS")</f>
        <v>0</v>
      </c>
      <c r="O571">
        <f>SUMIFS(PAGOS!$D:$D,PAGOS!$A:$A, BASE_CUENTAS!$A571,PAGOS!$B:$B, BASE_CUENTAS!$C571)</f>
        <v>272465</v>
      </c>
      <c r="P571" t="str">
        <f>IF(
VLOOKUP($C571,BASE_CIERRE_MES!$C:$G,5,FALSE)=0,
"Normalización",
IF(
VLOOKUP($C571,BASE_CIERRE_MES!$C:$G,5,FALSE)&lt;$H571,
"Recuperación",
IF(
VLOOKUP($C571,BASE_CIERRE_MES!$C:$G,5,FALSE)=$H571,
"Contención",
"Rodamiento"
)))</f>
        <v>Normalización</v>
      </c>
      <c r="Q571">
        <f t="shared" si="8"/>
        <v>0.3784483153761426</v>
      </c>
    </row>
    <row r="572" spans="1:17" x14ac:dyDescent="0.25">
      <c r="A572">
        <v>8371143</v>
      </c>
      <c r="B572" t="s">
        <v>17</v>
      </c>
      <c r="C572">
        <v>2778342</v>
      </c>
      <c r="D572" t="s">
        <v>10</v>
      </c>
      <c r="E572">
        <v>10896228</v>
      </c>
      <c r="F572" s="2">
        <v>87912</v>
      </c>
      <c r="G572" s="2">
        <v>87912</v>
      </c>
      <c r="H572">
        <v>38</v>
      </c>
      <c r="I572" s="1">
        <v>42523</v>
      </c>
      <c r="J572" t="s">
        <v>6</v>
      </c>
      <c r="K572">
        <f>COUNTIFS(GESTIONES!$A:$A, BASE_CUENTAS!$A572, GESTIONES!$B:$B, BASE_CUENTAS!$C572)</f>
        <v>3</v>
      </c>
      <c r="L572">
        <f>COUNTIFS(GESTIONES!$A:$A, BASE_CUENTAS!$A572,GESTIONES!$B:$B, BASE_CUENTAS!$C572,GESTIONES!$E:$E, "S")</f>
        <v>1</v>
      </c>
      <c r="M572">
        <f>COUNTIFS(GESTIONES!$A:$A, BASE_CUENTAS!$A572,GESTIONES!$B:$B, BASE_CUENTAS!$C572,GESTIONES!$E:$E, "N")</f>
        <v>2</v>
      </c>
      <c r="N572">
        <f>COUNTIFS(GESTIONES!$A:$A, BASE_CUENTAS!$A572,GESTIONES!$B:$B, BASE_CUENTAS!$C572,GESTIONES!$D:$D, "SMS")</f>
        <v>1</v>
      </c>
      <c r="O572">
        <f>SUMIFS(PAGOS!$D:$D,PAGOS!$A:$A, BASE_CUENTAS!$A572,PAGOS!$B:$B, BASE_CUENTAS!$C572)</f>
        <v>0</v>
      </c>
      <c r="P572" t="str">
        <f>IF(
VLOOKUP($C572,BASE_CIERRE_MES!$C:$G,5,FALSE)=0,
"Normalización",
IF(
VLOOKUP($C572,BASE_CIERRE_MES!$C:$G,5,FALSE)&lt;$H572,
"Recuperación",
IF(
VLOOKUP($C572,BASE_CIERRE_MES!$C:$G,5,FALSE)=$H572,
"Contención",
"Rodamiento"
)))</f>
        <v>Rodamiento</v>
      </c>
      <c r="Q572">
        <f t="shared" si="8"/>
        <v>0</v>
      </c>
    </row>
    <row r="573" spans="1:17" x14ac:dyDescent="0.25">
      <c r="A573">
        <v>8371143</v>
      </c>
      <c r="B573" t="s">
        <v>17</v>
      </c>
      <c r="C573">
        <v>4910388</v>
      </c>
      <c r="D573" t="s">
        <v>7</v>
      </c>
      <c r="E573">
        <v>10896228</v>
      </c>
      <c r="F573" s="2">
        <v>5256516</v>
      </c>
      <c r="G573" s="2">
        <v>681340</v>
      </c>
      <c r="H573">
        <v>30</v>
      </c>
      <c r="I573" s="1">
        <v>42523</v>
      </c>
      <c r="J573" t="s">
        <v>6</v>
      </c>
      <c r="K573">
        <f>COUNTIFS(GESTIONES!$A:$A, BASE_CUENTAS!$A573, GESTIONES!$B:$B, BASE_CUENTAS!$C573)</f>
        <v>3</v>
      </c>
      <c r="L573">
        <f>COUNTIFS(GESTIONES!$A:$A, BASE_CUENTAS!$A573,GESTIONES!$B:$B, BASE_CUENTAS!$C573,GESTIONES!$E:$E, "S")</f>
        <v>0</v>
      </c>
      <c r="M573">
        <f>COUNTIFS(GESTIONES!$A:$A, BASE_CUENTAS!$A573,GESTIONES!$B:$B, BASE_CUENTAS!$C573,GESTIONES!$E:$E, "N")</f>
        <v>3</v>
      </c>
      <c r="N573">
        <f>COUNTIFS(GESTIONES!$A:$A, BASE_CUENTAS!$A573,GESTIONES!$B:$B, BASE_CUENTAS!$C573,GESTIONES!$D:$D, "SMS")</f>
        <v>1</v>
      </c>
      <c r="O573">
        <f>SUMIFS(PAGOS!$D:$D,PAGOS!$A:$A, BASE_CUENTAS!$A573,PAGOS!$B:$B, BASE_CUENTAS!$C573)</f>
        <v>0</v>
      </c>
      <c r="P573" t="str">
        <f>IF(
VLOOKUP($C573,BASE_CIERRE_MES!$C:$G,5,FALSE)=0,
"Normalización",
IF(
VLOOKUP($C573,BASE_CIERRE_MES!$C:$G,5,FALSE)&lt;$H573,
"Recuperación",
IF(
VLOOKUP($C573,BASE_CIERRE_MES!$C:$G,5,FALSE)=$H573,
"Contención",
"Rodamiento"
)))</f>
        <v>Rodamiento</v>
      </c>
      <c r="Q573">
        <f t="shared" si="8"/>
        <v>0</v>
      </c>
    </row>
    <row r="574" spans="1:17" x14ac:dyDescent="0.25">
      <c r="A574">
        <v>8371487</v>
      </c>
      <c r="B574" t="s">
        <v>18</v>
      </c>
      <c r="C574">
        <v>14446684</v>
      </c>
      <c r="D574" t="s">
        <v>7</v>
      </c>
      <c r="E574">
        <v>3063006</v>
      </c>
      <c r="F574" s="2">
        <v>3063006</v>
      </c>
      <c r="G574" s="2">
        <v>206599</v>
      </c>
      <c r="H574">
        <v>30</v>
      </c>
      <c r="I574" s="1">
        <v>42522</v>
      </c>
      <c r="J574" t="s">
        <v>6</v>
      </c>
      <c r="K574">
        <f>COUNTIFS(GESTIONES!$A:$A, BASE_CUENTAS!$A574, GESTIONES!$B:$B, BASE_CUENTAS!$C574)</f>
        <v>3</v>
      </c>
      <c r="L574">
        <f>COUNTIFS(GESTIONES!$A:$A, BASE_CUENTAS!$A574,GESTIONES!$B:$B, BASE_CUENTAS!$C574,GESTIONES!$E:$E, "S")</f>
        <v>1</v>
      </c>
      <c r="M574">
        <f>COUNTIFS(GESTIONES!$A:$A, BASE_CUENTAS!$A574,GESTIONES!$B:$B, BASE_CUENTAS!$C574,GESTIONES!$E:$E, "N")</f>
        <v>2</v>
      </c>
      <c r="N574">
        <f>COUNTIFS(GESTIONES!$A:$A, BASE_CUENTAS!$A574,GESTIONES!$B:$B, BASE_CUENTAS!$C574,GESTIONES!$D:$D, "SMS")</f>
        <v>2</v>
      </c>
      <c r="O574">
        <f>SUMIFS(PAGOS!$D:$D,PAGOS!$A:$A, BASE_CUENTAS!$A574,PAGOS!$B:$B, BASE_CUENTAS!$C574)</f>
        <v>206599</v>
      </c>
      <c r="P574" t="str">
        <f>IF(
VLOOKUP($C574,BASE_CIERRE_MES!$C:$G,5,FALSE)=0,
"Normalización",
IF(
VLOOKUP($C574,BASE_CIERRE_MES!$C:$G,5,FALSE)&lt;$H574,
"Recuperación",
IF(
VLOOKUP($C574,BASE_CIERRE_MES!$C:$G,5,FALSE)=$H574,
"Contención",
"Rodamiento"
)))</f>
        <v>Normalización</v>
      </c>
      <c r="Q574">
        <f t="shared" si="8"/>
        <v>6.7449753608056925E-2</v>
      </c>
    </row>
    <row r="575" spans="1:17" x14ac:dyDescent="0.25">
      <c r="A575">
        <v>8372113</v>
      </c>
      <c r="B575" t="s">
        <v>16</v>
      </c>
      <c r="C575">
        <v>12527109</v>
      </c>
      <c r="D575" t="s">
        <v>7</v>
      </c>
      <c r="E575">
        <v>5714769</v>
      </c>
      <c r="F575" s="2">
        <v>2067749</v>
      </c>
      <c r="G575" s="2">
        <v>2067749</v>
      </c>
      <c r="H575">
        <v>180</v>
      </c>
      <c r="I575" s="1">
        <v>42490</v>
      </c>
      <c r="J575" t="s">
        <v>5</v>
      </c>
      <c r="K575">
        <f>COUNTIFS(GESTIONES!$A:$A, BASE_CUENTAS!$A575, GESTIONES!$B:$B, BASE_CUENTAS!$C575)</f>
        <v>3</v>
      </c>
      <c r="L575">
        <f>COUNTIFS(GESTIONES!$A:$A, BASE_CUENTAS!$A575,GESTIONES!$B:$B, BASE_CUENTAS!$C575,GESTIONES!$E:$E, "S")</f>
        <v>1</v>
      </c>
      <c r="M575">
        <f>COUNTIFS(GESTIONES!$A:$A, BASE_CUENTAS!$A575,GESTIONES!$B:$B, BASE_CUENTAS!$C575,GESTIONES!$E:$E, "N")</f>
        <v>2</v>
      </c>
      <c r="N575">
        <f>COUNTIFS(GESTIONES!$A:$A, BASE_CUENTAS!$A575,GESTIONES!$B:$B, BASE_CUENTAS!$C575,GESTIONES!$D:$D, "SMS")</f>
        <v>0</v>
      </c>
      <c r="O575">
        <f>SUMIFS(PAGOS!$D:$D,PAGOS!$A:$A, BASE_CUENTAS!$A575,PAGOS!$B:$B, BASE_CUENTAS!$C575)</f>
        <v>2067749</v>
      </c>
      <c r="P575" t="str">
        <f>IF(
VLOOKUP($C575,BASE_CIERRE_MES!$C:$G,5,FALSE)=0,
"Normalización",
IF(
VLOOKUP($C575,BASE_CIERRE_MES!$C:$G,5,FALSE)&lt;$H575,
"Recuperación",
IF(
VLOOKUP($C575,BASE_CIERRE_MES!$C:$G,5,FALSE)=$H575,
"Contención",
"Rodamiento"
)))</f>
        <v>Normalización</v>
      </c>
      <c r="Q575">
        <f t="shared" si="8"/>
        <v>1</v>
      </c>
    </row>
    <row r="576" spans="1:17" x14ac:dyDescent="0.25">
      <c r="A576">
        <v>8372113</v>
      </c>
      <c r="B576" t="s">
        <v>16</v>
      </c>
      <c r="C576">
        <v>20852636</v>
      </c>
      <c r="D576" t="s">
        <v>7</v>
      </c>
      <c r="E576">
        <v>5714769</v>
      </c>
      <c r="F576" s="2">
        <v>1913968</v>
      </c>
      <c r="G576" s="2">
        <v>1913968</v>
      </c>
      <c r="H576">
        <v>150</v>
      </c>
      <c r="I576" s="1">
        <v>42519</v>
      </c>
      <c r="J576" t="s">
        <v>5</v>
      </c>
      <c r="K576">
        <f>COUNTIFS(GESTIONES!$A:$A, BASE_CUENTAS!$A576, GESTIONES!$B:$B, BASE_CUENTAS!$C576)</f>
        <v>3</v>
      </c>
      <c r="L576">
        <f>COUNTIFS(GESTIONES!$A:$A, BASE_CUENTAS!$A576,GESTIONES!$B:$B, BASE_CUENTAS!$C576,GESTIONES!$E:$E, "S")</f>
        <v>1</v>
      </c>
      <c r="M576">
        <f>COUNTIFS(GESTIONES!$A:$A, BASE_CUENTAS!$A576,GESTIONES!$B:$B, BASE_CUENTAS!$C576,GESTIONES!$E:$E, "N")</f>
        <v>2</v>
      </c>
      <c r="N576">
        <f>COUNTIFS(GESTIONES!$A:$A, BASE_CUENTAS!$A576,GESTIONES!$B:$B, BASE_CUENTAS!$C576,GESTIONES!$D:$D, "SMS")</f>
        <v>0</v>
      </c>
      <c r="O576">
        <f>SUMIFS(PAGOS!$D:$D,PAGOS!$A:$A, BASE_CUENTAS!$A576,PAGOS!$B:$B, BASE_CUENTAS!$C576)</f>
        <v>956985</v>
      </c>
      <c r="P576" t="str">
        <f>IF(
VLOOKUP($C576,BASE_CIERRE_MES!$C:$G,5,FALSE)=0,
"Normalización",
IF(
VLOOKUP($C576,BASE_CIERRE_MES!$C:$G,5,FALSE)&lt;$H576,
"Recuperación",
IF(
VLOOKUP($C576,BASE_CIERRE_MES!$C:$G,5,FALSE)=$H576,
"Contención",
"Rodamiento"
)))</f>
        <v>Recuperación</v>
      </c>
      <c r="Q576">
        <f t="shared" si="8"/>
        <v>0.50000052247477489</v>
      </c>
    </row>
    <row r="577" spans="1:17" x14ac:dyDescent="0.25">
      <c r="A577">
        <v>8372113</v>
      </c>
      <c r="B577" t="s">
        <v>16</v>
      </c>
      <c r="C577">
        <v>21187094</v>
      </c>
      <c r="D577" t="s">
        <v>7</v>
      </c>
      <c r="E577">
        <v>5714769</v>
      </c>
      <c r="F577" s="2">
        <v>1434324</v>
      </c>
      <c r="G577" s="2">
        <v>1434324</v>
      </c>
      <c r="H577">
        <v>180</v>
      </c>
      <c r="I577" s="1">
        <v>42490</v>
      </c>
      <c r="J577" t="s">
        <v>5</v>
      </c>
      <c r="K577">
        <f>COUNTIFS(GESTIONES!$A:$A, BASE_CUENTAS!$A577, GESTIONES!$B:$B, BASE_CUENTAS!$C577)</f>
        <v>3</v>
      </c>
      <c r="L577">
        <f>COUNTIFS(GESTIONES!$A:$A, BASE_CUENTAS!$A577,GESTIONES!$B:$B, BASE_CUENTAS!$C577,GESTIONES!$E:$E, "S")</f>
        <v>2</v>
      </c>
      <c r="M577">
        <f>COUNTIFS(GESTIONES!$A:$A, BASE_CUENTAS!$A577,GESTIONES!$B:$B, BASE_CUENTAS!$C577,GESTIONES!$E:$E, "N")</f>
        <v>1</v>
      </c>
      <c r="N577">
        <f>COUNTIFS(GESTIONES!$A:$A, BASE_CUENTAS!$A577,GESTIONES!$B:$B, BASE_CUENTAS!$C577,GESTIONES!$D:$D, "SMS")</f>
        <v>1</v>
      </c>
      <c r="O577">
        <f>SUMIFS(PAGOS!$D:$D,PAGOS!$A:$A, BASE_CUENTAS!$A577,PAGOS!$B:$B, BASE_CUENTAS!$C577)</f>
        <v>478108</v>
      </c>
      <c r="P577" t="str">
        <f>IF(
VLOOKUP($C577,BASE_CIERRE_MES!$C:$G,5,FALSE)=0,
"Normalización",
IF(
VLOOKUP($C577,BASE_CIERRE_MES!$C:$G,5,FALSE)&lt;$H577,
"Recuperación",
IF(
VLOOKUP($C577,BASE_CIERRE_MES!$C:$G,5,FALSE)=$H577,
"Contención",
"Rodamiento"
)))</f>
        <v>Contención</v>
      </c>
      <c r="Q577">
        <f t="shared" si="8"/>
        <v>0.33333333333333331</v>
      </c>
    </row>
    <row r="578" spans="1:17" x14ac:dyDescent="0.25">
      <c r="A578">
        <v>8372113</v>
      </c>
      <c r="B578" t="s">
        <v>16</v>
      </c>
      <c r="C578">
        <v>23287162</v>
      </c>
      <c r="D578" t="s">
        <v>12</v>
      </c>
      <c r="E578">
        <v>5714769</v>
      </c>
      <c r="F578" s="2">
        <v>298727</v>
      </c>
      <c r="G578" s="2">
        <v>298727</v>
      </c>
      <c r="H578">
        <v>145</v>
      </c>
      <c r="I578" s="1">
        <v>42504</v>
      </c>
      <c r="J578" t="s">
        <v>5</v>
      </c>
      <c r="K578">
        <f>COUNTIFS(GESTIONES!$A:$A, BASE_CUENTAS!$A578, GESTIONES!$B:$B, BASE_CUENTAS!$C578)</f>
        <v>3</v>
      </c>
      <c r="L578">
        <f>COUNTIFS(GESTIONES!$A:$A, BASE_CUENTAS!$A578,GESTIONES!$B:$B, BASE_CUENTAS!$C578,GESTIONES!$E:$E, "S")</f>
        <v>1</v>
      </c>
      <c r="M578">
        <f>COUNTIFS(GESTIONES!$A:$A, BASE_CUENTAS!$A578,GESTIONES!$B:$B, BASE_CUENTAS!$C578,GESTIONES!$E:$E, "N")</f>
        <v>2</v>
      </c>
      <c r="N578">
        <f>COUNTIFS(GESTIONES!$A:$A, BASE_CUENTAS!$A578,GESTIONES!$B:$B, BASE_CUENTAS!$C578,GESTIONES!$D:$D, "SMS")</f>
        <v>0</v>
      </c>
      <c r="O578">
        <f>SUMIFS(PAGOS!$D:$D,PAGOS!$A:$A, BASE_CUENTAS!$A578,PAGOS!$B:$B, BASE_CUENTAS!$C578)</f>
        <v>298727</v>
      </c>
      <c r="P578" t="str">
        <f>IF(
VLOOKUP($C578,BASE_CIERRE_MES!$C:$G,5,FALSE)=0,
"Normalización",
IF(
VLOOKUP($C578,BASE_CIERRE_MES!$C:$G,5,FALSE)&lt;$H578,
"Recuperación",
IF(
VLOOKUP($C578,BASE_CIERRE_MES!$C:$G,5,FALSE)=$H578,
"Contención",
"Rodamiento"
)))</f>
        <v>Normalización</v>
      </c>
      <c r="Q578">
        <f t="shared" si="8"/>
        <v>1</v>
      </c>
    </row>
    <row r="579" spans="1:17" x14ac:dyDescent="0.25">
      <c r="A579">
        <v>8372256</v>
      </c>
      <c r="B579" t="s">
        <v>18</v>
      </c>
      <c r="C579">
        <v>24368698</v>
      </c>
      <c r="D579" t="s">
        <v>7</v>
      </c>
      <c r="E579">
        <v>1934128</v>
      </c>
      <c r="F579" s="2">
        <v>1934128</v>
      </c>
      <c r="G579" s="2">
        <v>32397</v>
      </c>
      <c r="H579">
        <v>30</v>
      </c>
      <c r="I579" s="1">
        <v>42509</v>
      </c>
      <c r="J579" t="s">
        <v>6</v>
      </c>
      <c r="K579">
        <f>COUNTIFS(GESTIONES!$A:$A, BASE_CUENTAS!$A579, GESTIONES!$B:$B, BASE_CUENTAS!$C579)</f>
        <v>3</v>
      </c>
      <c r="L579">
        <f>COUNTIFS(GESTIONES!$A:$A, BASE_CUENTAS!$A579,GESTIONES!$B:$B, BASE_CUENTAS!$C579,GESTIONES!$E:$E, "S")</f>
        <v>0</v>
      </c>
      <c r="M579">
        <f>COUNTIFS(GESTIONES!$A:$A, BASE_CUENTAS!$A579,GESTIONES!$B:$B, BASE_CUENTAS!$C579,GESTIONES!$E:$E, "N")</f>
        <v>3</v>
      </c>
      <c r="N579">
        <f>COUNTIFS(GESTIONES!$A:$A, BASE_CUENTAS!$A579,GESTIONES!$B:$B, BASE_CUENTAS!$C579,GESTIONES!$D:$D, "SMS")</f>
        <v>2</v>
      </c>
      <c r="O579">
        <f>SUMIFS(PAGOS!$D:$D,PAGOS!$A:$A, BASE_CUENTAS!$A579,PAGOS!$B:$B, BASE_CUENTAS!$C579)</f>
        <v>16199</v>
      </c>
      <c r="P579" t="str">
        <f>IF(
VLOOKUP($C579,BASE_CIERRE_MES!$C:$G,5,FALSE)=0,
"Normalización",
IF(
VLOOKUP($C579,BASE_CIERRE_MES!$C:$G,5,FALSE)&lt;$H579,
"Recuperación",
IF(
VLOOKUP($C579,BASE_CIERRE_MES!$C:$G,5,FALSE)=$H579,
"Contención",
"Rodamiento"
)))</f>
        <v>Recuperación</v>
      </c>
      <c r="Q579">
        <f t="shared" ref="Q579:Q642" si="9">IF(F579=0,0,VALUE(O579)/VALUE(F579))</f>
        <v>8.3753505455688559E-3</v>
      </c>
    </row>
    <row r="580" spans="1:17" x14ac:dyDescent="0.25">
      <c r="A580">
        <v>8372294</v>
      </c>
      <c r="B580" t="s">
        <v>18</v>
      </c>
      <c r="C580">
        <v>26217632</v>
      </c>
      <c r="D580" t="s">
        <v>7</v>
      </c>
      <c r="E580">
        <v>356940</v>
      </c>
      <c r="F580" s="2">
        <v>356940</v>
      </c>
      <c r="G580" s="2">
        <v>85705</v>
      </c>
      <c r="H580">
        <v>30</v>
      </c>
      <c r="I580" s="1">
        <v>42508</v>
      </c>
      <c r="J580" t="s">
        <v>6</v>
      </c>
      <c r="K580">
        <f>COUNTIFS(GESTIONES!$A:$A, BASE_CUENTAS!$A580, GESTIONES!$B:$B, BASE_CUENTAS!$C580)</f>
        <v>3</v>
      </c>
      <c r="L580">
        <f>COUNTIFS(GESTIONES!$A:$A, BASE_CUENTAS!$A580,GESTIONES!$B:$B, BASE_CUENTAS!$C580,GESTIONES!$E:$E, "S")</f>
        <v>1</v>
      </c>
      <c r="M580">
        <f>COUNTIFS(GESTIONES!$A:$A, BASE_CUENTAS!$A580,GESTIONES!$B:$B, BASE_CUENTAS!$C580,GESTIONES!$E:$E, "N")</f>
        <v>2</v>
      </c>
      <c r="N580">
        <f>COUNTIFS(GESTIONES!$A:$A, BASE_CUENTAS!$A580,GESTIONES!$B:$B, BASE_CUENTAS!$C580,GESTIONES!$D:$D, "SMS")</f>
        <v>1</v>
      </c>
      <c r="O580">
        <f>SUMIFS(PAGOS!$D:$D,PAGOS!$A:$A, BASE_CUENTAS!$A580,PAGOS!$B:$B, BASE_CUENTAS!$C580)</f>
        <v>0</v>
      </c>
      <c r="P580" t="str">
        <f>IF(
VLOOKUP($C580,BASE_CIERRE_MES!$C:$G,5,FALSE)=0,
"Normalización",
IF(
VLOOKUP($C580,BASE_CIERRE_MES!$C:$G,5,FALSE)&lt;$H580,
"Recuperación",
IF(
VLOOKUP($C580,BASE_CIERRE_MES!$C:$G,5,FALSE)=$H580,
"Contención",
"Rodamiento"
)))</f>
        <v>Rodamiento</v>
      </c>
      <c r="Q580">
        <f t="shared" si="9"/>
        <v>0</v>
      </c>
    </row>
    <row r="581" spans="1:17" x14ac:dyDescent="0.25">
      <c r="A581">
        <v>8372484</v>
      </c>
      <c r="B581" t="s">
        <v>16</v>
      </c>
      <c r="C581">
        <v>19916641</v>
      </c>
      <c r="D581" t="s">
        <v>7</v>
      </c>
      <c r="E581">
        <v>42910041</v>
      </c>
      <c r="F581" s="2">
        <v>2324248</v>
      </c>
      <c r="G581" s="2">
        <v>782788</v>
      </c>
      <c r="H581">
        <v>30</v>
      </c>
      <c r="I581" s="1">
        <v>42515</v>
      </c>
      <c r="J581" t="s">
        <v>6</v>
      </c>
      <c r="K581">
        <f>COUNTIFS(GESTIONES!$A:$A, BASE_CUENTAS!$A581, GESTIONES!$B:$B, BASE_CUENTAS!$C581)</f>
        <v>3</v>
      </c>
      <c r="L581">
        <f>COUNTIFS(GESTIONES!$A:$A, BASE_CUENTAS!$A581,GESTIONES!$B:$B, BASE_CUENTAS!$C581,GESTIONES!$E:$E, "S")</f>
        <v>1</v>
      </c>
      <c r="M581">
        <f>COUNTIFS(GESTIONES!$A:$A, BASE_CUENTAS!$A581,GESTIONES!$B:$B, BASE_CUENTAS!$C581,GESTIONES!$E:$E, "N")</f>
        <v>2</v>
      </c>
      <c r="N581">
        <f>COUNTIFS(GESTIONES!$A:$A, BASE_CUENTAS!$A581,GESTIONES!$B:$B, BASE_CUENTAS!$C581,GESTIONES!$D:$D, "SMS")</f>
        <v>0</v>
      </c>
      <c r="O581">
        <f>SUMIFS(PAGOS!$D:$D,PAGOS!$A:$A, BASE_CUENTAS!$A581,PAGOS!$B:$B, BASE_CUENTAS!$C581)</f>
        <v>782788</v>
      </c>
      <c r="P581" t="str">
        <f>IF(
VLOOKUP($C581,BASE_CIERRE_MES!$C:$G,5,FALSE)=0,
"Normalización",
IF(
VLOOKUP($C581,BASE_CIERRE_MES!$C:$G,5,FALSE)&lt;$H581,
"Recuperación",
IF(
VLOOKUP($C581,BASE_CIERRE_MES!$C:$G,5,FALSE)=$H581,
"Contención",
"Rodamiento"
)))</f>
        <v>Normalización</v>
      </c>
      <c r="Q581">
        <f t="shared" si="9"/>
        <v>0.33679194302845478</v>
      </c>
    </row>
    <row r="582" spans="1:17" x14ac:dyDescent="0.25">
      <c r="A582">
        <v>8372759</v>
      </c>
      <c r="B582" t="s">
        <v>18</v>
      </c>
      <c r="C582">
        <v>11400568</v>
      </c>
      <c r="D582" t="s">
        <v>7</v>
      </c>
      <c r="E582">
        <v>2511962</v>
      </c>
      <c r="F582" s="2">
        <v>2511962</v>
      </c>
      <c r="G582" s="2">
        <v>2511962</v>
      </c>
      <c r="H582">
        <v>120</v>
      </c>
      <c r="I582" s="1">
        <v>42508</v>
      </c>
      <c r="J582" t="s">
        <v>5</v>
      </c>
      <c r="K582">
        <f>COUNTIFS(GESTIONES!$A:$A, BASE_CUENTAS!$A582, GESTIONES!$B:$B, BASE_CUENTAS!$C582)</f>
        <v>3</v>
      </c>
      <c r="L582">
        <f>COUNTIFS(GESTIONES!$A:$A, BASE_CUENTAS!$A582,GESTIONES!$B:$B, BASE_CUENTAS!$C582,GESTIONES!$E:$E, "S")</f>
        <v>1</v>
      </c>
      <c r="M582">
        <f>COUNTIFS(GESTIONES!$A:$A, BASE_CUENTAS!$A582,GESTIONES!$B:$B, BASE_CUENTAS!$C582,GESTIONES!$E:$E, "N")</f>
        <v>2</v>
      </c>
      <c r="N582">
        <f>COUNTIFS(GESTIONES!$A:$A, BASE_CUENTAS!$A582,GESTIONES!$B:$B, BASE_CUENTAS!$C582,GESTIONES!$D:$D, "SMS")</f>
        <v>1</v>
      </c>
      <c r="O582">
        <f>SUMIFS(PAGOS!$D:$D,PAGOS!$A:$A, BASE_CUENTAS!$A582,PAGOS!$B:$B, BASE_CUENTAS!$C582)</f>
        <v>0</v>
      </c>
      <c r="P582" t="str">
        <f>IF(
VLOOKUP($C582,BASE_CIERRE_MES!$C:$G,5,FALSE)=0,
"Normalización",
IF(
VLOOKUP($C582,BASE_CIERRE_MES!$C:$G,5,FALSE)&lt;$H582,
"Recuperación",
IF(
VLOOKUP($C582,BASE_CIERRE_MES!$C:$G,5,FALSE)=$H582,
"Contención",
"Rodamiento"
)))</f>
        <v>Recuperación</v>
      </c>
      <c r="Q582">
        <f t="shared" si="9"/>
        <v>0</v>
      </c>
    </row>
    <row r="583" spans="1:17" x14ac:dyDescent="0.25">
      <c r="A583">
        <v>8372819</v>
      </c>
      <c r="B583" t="s">
        <v>17</v>
      </c>
      <c r="C583">
        <v>23753030</v>
      </c>
      <c r="D583" t="s">
        <v>7</v>
      </c>
      <c r="E583">
        <v>8134181</v>
      </c>
      <c r="F583" s="2">
        <v>1773908</v>
      </c>
      <c r="G583" s="2">
        <v>11709</v>
      </c>
      <c r="H583">
        <v>30</v>
      </c>
      <c r="I583" s="1">
        <v>42508</v>
      </c>
      <c r="J583" t="s">
        <v>6</v>
      </c>
      <c r="K583">
        <f>COUNTIFS(GESTIONES!$A:$A, BASE_CUENTAS!$A583, GESTIONES!$B:$B, BASE_CUENTAS!$C583)</f>
        <v>3</v>
      </c>
      <c r="L583">
        <f>COUNTIFS(GESTIONES!$A:$A, BASE_CUENTAS!$A583,GESTIONES!$B:$B, BASE_CUENTAS!$C583,GESTIONES!$E:$E, "S")</f>
        <v>1</v>
      </c>
      <c r="M583">
        <f>COUNTIFS(GESTIONES!$A:$A, BASE_CUENTAS!$A583,GESTIONES!$B:$B, BASE_CUENTAS!$C583,GESTIONES!$E:$E, "N")</f>
        <v>2</v>
      </c>
      <c r="N583">
        <f>COUNTIFS(GESTIONES!$A:$A, BASE_CUENTAS!$A583,GESTIONES!$B:$B, BASE_CUENTAS!$C583,GESTIONES!$D:$D, "SMS")</f>
        <v>0</v>
      </c>
      <c r="O583">
        <f>SUMIFS(PAGOS!$D:$D,PAGOS!$A:$A, BASE_CUENTAS!$A583,PAGOS!$B:$B, BASE_CUENTAS!$C583)</f>
        <v>5855</v>
      </c>
      <c r="P583" t="str">
        <f>IF(
VLOOKUP($C583,BASE_CIERRE_MES!$C:$G,5,FALSE)=0,
"Normalización",
IF(
VLOOKUP($C583,BASE_CIERRE_MES!$C:$G,5,FALSE)&lt;$H583,
"Recuperación",
IF(
VLOOKUP($C583,BASE_CIERRE_MES!$C:$G,5,FALSE)=$H583,
"Contención",
"Rodamiento"
)))</f>
        <v>Recuperación</v>
      </c>
      <c r="Q583">
        <f t="shared" si="9"/>
        <v>3.300622129219779E-3</v>
      </c>
    </row>
    <row r="584" spans="1:17" x14ac:dyDescent="0.25">
      <c r="A584">
        <v>8372852</v>
      </c>
      <c r="B584" t="s">
        <v>17</v>
      </c>
      <c r="C584">
        <v>23768795</v>
      </c>
      <c r="D584" t="s">
        <v>7</v>
      </c>
      <c r="E584">
        <v>18507237</v>
      </c>
      <c r="F584" s="2">
        <v>18507237</v>
      </c>
      <c r="G584" s="2">
        <v>465555</v>
      </c>
      <c r="H584">
        <v>30</v>
      </c>
      <c r="I584" s="1">
        <v>42519</v>
      </c>
      <c r="J584" t="s">
        <v>5</v>
      </c>
      <c r="K584">
        <f>COUNTIFS(GESTIONES!$A:$A, BASE_CUENTAS!$A584, GESTIONES!$B:$B, BASE_CUENTAS!$C584)</f>
        <v>3</v>
      </c>
      <c r="L584">
        <f>COUNTIFS(GESTIONES!$A:$A, BASE_CUENTAS!$A584,GESTIONES!$B:$B, BASE_CUENTAS!$C584,GESTIONES!$E:$E, "S")</f>
        <v>0</v>
      </c>
      <c r="M584">
        <f>COUNTIFS(GESTIONES!$A:$A, BASE_CUENTAS!$A584,GESTIONES!$B:$B, BASE_CUENTAS!$C584,GESTIONES!$E:$E, "N")</f>
        <v>3</v>
      </c>
      <c r="N584">
        <f>COUNTIFS(GESTIONES!$A:$A, BASE_CUENTAS!$A584,GESTIONES!$B:$B, BASE_CUENTAS!$C584,GESTIONES!$D:$D, "SMS")</f>
        <v>2</v>
      </c>
      <c r="O584">
        <f>SUMIFS(PAGOS!$D:$D,PAGOS!$A:$A, BASE_CUENTAS!$A584,PAGOS!$B:$B, BASE_CUENTAS!$C584)</f>
        <v>465555</v>
      </c>
      <c r="P584" t="str">
        <f>IF(
VLOOKUP($C584,BASE_CIERRE_MES!$C:$G,5,FALSE)=0,
"Normalización",
IF(
VLOOKUP($C584,BASE_CIERRE_MES!$C:$G,5,FALSE)&lt;$H584,
"Recuperación",
IF(
VLOOKUP($C584,BASE_CIERRE_MES!$C:$G,5,FALSE)=$H584,
"Contención",
"Rodamiento"
)))</f>
        <v>Normalización</v>
      </c>
      <c r="Q584">
        <f t="shared" si="9"/>
        <v>2.5155294655814911E-2</v>
      </c>
    </row>
    <row r="585" spans="1:17" x14ac:dyDescent="0.25">
      <c r="A585">
        <v>8372876</v>
      </c>
      <c r="B585" t="s">
        <v>18</v>
      </c>
      <c r="C585">
        <v>27056383</v>
      </c>
      <c r="D585" t="s">
        <v>7</v>
      </c>
      <c r="E585">
        <v>409405</v>
      </c>
      <c r="F585" s="2">
        <v>409405</v>
      </c>
      <c r="G585" s="2">
        <v>40907</v>
      </c>
      <c r="H585">
        <v>30</v>
      </c>
      <c r="I585" s="1">
        <v>42509</v>
      </c>
      <c r="J585" t="s">
        <v>6</v>
      </c>
      <c r="K585">
        <f>COUNTIFS(GESTIONES!$A:$A, BASE_CUENTAS!$A585, GESTIONES!$B:$B, BASE_CUENTAS!$C585)</f>
        <v>3</v>
      </c>
      <c r="L585">
        <f>COUNTIFS(GESTIONES!$A:$A, BASE_CUENTAS!$A585,GESTIONES!$B:$B, BASE_CUENTAS!$C585,GESTIONES!$E:$E, "S")</f>
        <v>1</v>
      </c>
      <c r="M585">
        <f>COUNTIFS(GESTIONES!$A:$A, BASE_CUENTAS!$A585,GESTIONES!$B:$B, BASE_CUENTAS!$C585,GESTIONES!$E:$E, "N")</f>
        <v>2</v>
      </c>
      <c r="N585">
        <f>COUNTIFS(GESTIONES!$A:$A, BASE_CUENTAS!$A585,GESTIONES!$B:$B, BASE_CUENTAS!$C585,GESTIONES!$D:$D, "SMS")</f>
        <v>1</v>
      </c>
      <c r="O585">
        <f>SUMIFS(PAGOS!$D:$D,PAGOS!$A:$A, BASE_CUENTAS!$A585,PAGOS!$B:$B, BASE_CUENTAS!$C585)</f>
        <v>40907</v>
      </c>
      <c r="P585" t="str">
        <f>IF(
VLOOKUP($C585,BASE_CIERRE_MES!$C:$G,5,FALSE)=0,
"Normalización",
IF(
VLOOKUP($C585,BASE_CIERRE_MES!$C:$G,5,FALSE)&lt;$H585,
"Recuperación",
IF(
VLOOKUP($C585,BASE_CIERRE_MES!$C:$G,5,FALSE)=$H585,
"Contención",
"Rodamiento"
)))</f>
        <v>Normalización</v>
      </c>
      <c r="Q585">
        <f t="shared" si="9"/>
        <v>9.9918173935345189E-2</v>
      </c>
    </row>
    <row r="586" spans="1:17" x14ac:dyDescent="0.25">
      <c r="A586">
        <v>8373109</v>
      </c>
      <c r="B586" t="s">
        <v>18</v>
      </c>
      <c r="C586">
        <v>25110940</v>
      </c>
      <c r="D586" t="s">
        <v>7</v>
      </c>
      <c r="E586">
        <v>57196</v>
      </c>
      <c r="F586" s="2">
        <v>57196</v>
      </c>
      <c r="G586" s="2">
        <v>47021</v>
      </c>
      <c r="H586">
        <v>30</v>
      </c>
      <c r="I586" s="1">
        <v>42521</v>
      </c>
      <c r="J586" t="s">
        <v>4</v>
      </c>
      <c r="K586">
        <f>COUNTIFS(GESTIONES!$A:$A, BASE_CUENTAS!$A586, GESTIONES!$B:$B, BASE_CUENTAS!$C586)</f>
        <v>3</v>
      </c>
      <c r="L586">
        <f>COUNTIFS(GESTIONES!$A:$A, BASE_CUENTAS!$A586,GESTIONES!$B:$B, BASE_CUENTAS!$C586,GESTIONES!$E:$E, "S")</f>
        <v>1</v>
      </c>
      <c r="M586">
        <f>COUNTIFS(GESTIONES!$A:$A, BASE_CUENTAS!$A586,GESTIONES!$B:$B, BASE_CUENTAS!$C586,GESTIONES!$E:$E, "N")</f>
        <v>2</v>
      </c>
      <c r="N586">
        <f>COUNTIFS(GESTIONES!$A:$A, BASE_CUENTAS!$A586,GESTIONES!$B:$B, BASE_CUENTAS!$C586,GESTIONES!$D:$D, "SMS")</f>
        <v>0</v>
      </c>
      <c r="O586">
        <f>SUMIFS(PAGOS!$D:$D,PAGOS!$A:$A, BASE_CUENTAS!$A586,PAGOS!$B:$B, BASE_CUENTAS!$C586)</f>
        <v>15674</v>
      </c>
      <c r="P586" t="str">
        <f>IF(
VLOOKUP($C586,BASE_CIERRE_MES!$C:$G,5,FALSE)=0,
"Normalización",
IF(
VLOOKUP($C586,BASE_CIERRE_MES!$C:$G,5,FALSE)&lt;$H586,
"Recuperación",
IF(
VLOOKUP($C586,BASE_CIERRE_MES!$C:$G,5,FALSE)=$H586,
"Contención",
"Rodamiento"
)))</f>
        <v>Contención</v>
      </c>
      <c r="Q586">
        <f t="shared" si="9"/>
        <v>0.27404014266731941</v>
      </c>
    </row>
    <row r="587" spans="1:17" x14ac:dyDescent="0.25">
      <c r="A587">
        <v>8373110</v>
      </c>
      <c r="B587" t="s">
        <v>18</v>
      </c>
      <c r="C587">
        <v>20837646</v>
      </c>
      <c r="D587" t="s">
        <v>7</v>
      </c>
      <c r="E587">
        <v>4138490</v>
      </c>
      <c r="F587" s="2">
        <v>4138490</v>
      </c>
      <c r="G587" s="2">
        <v>2835880</v>
      </c>
      <c r="H587">
        <v>60</v>
      </c>
      <c r="I587" s="1">
        <v>42491</v>
      </c>
      <c r="J587" t="s">
        <v>6</v>
      </c>
      <c r="K587">
        <f>COUNTIFS(GESTIONES!$A:$A, BASE_CUENTAS!$A587, GESTIONES!$B:$B, BASE_CUENTAS!$C587)</f>
        <v>3</v>
      </c>
      <c r="L587">
        <f>COUNTIFS(GESTIONES!$A:$A, BASE_CUENTAS!$A587,GESTIONES!$B:$B, BASE_CUENTAS!$C587,GESTIONES!$E:$E, "S")</f>
        <v>1</v>
      </c>
      <c r="M587">
        <f>COUNTIFS(GESTIONES!$A:$A, BASE_CUENTAS!$A587,GESTIONES!$B:$B, BASE_CUENTAS!$C587,GESTIONES!$E:$E, "N")</f>
        <v>2</v>
      </c>
      <c r="N587">
        <f>COUNTIFS(GESTIONES!$A:$A, BASE_CUENTAS!$A587,GESTIONES!$B:$B, BASE_CUENTAS!$C587,GESTIONES!$D:$D, "SMS")</f>
        <v>1</v>
      </c>
      <c r="O587">
        <f>SUMIFS(PAGOS!$D:$D,PAGOS!$A:$A, BASE_CUENTAS!$A587,PAGOS!$B:$B, BASE_CUENTAS!$C587)</f>
        <v>0</v>
      </c>
      <c r="P587" t="str">
        <f>IF(
VLOOKUP($C587,BASE_CIERRE_MES!$C:$G,5,FALSE)=0,
"Normalización",
IF(
VLOOKUP($C587,BASE_CIERRE_MES!$C:$G,5,FALSE)&lt;$H587,
"Recuperación",
IF(
VLOOKUP($C587,BASE_CIERRE_MES!$C:$G,5,FALSE)=$H587,
"Contención",
"Rodamiento"
)))</f>
        <v>Rodamiento</v>
      </c>
      <c r="Q587">
        <f t="shared" si="9"/>
        <v>0</v>
      </c>
    </row>
    <row r="588" spans="1:17" x14ac:dyDescent="0.25">
      <c r="A588">
        <v>8373305</v>
      </c>
      <c r="B588" t="s">
        <v>18</v>
      </c>
      <c r="C588">
        <v>21807022</v>
      </c>
      <c r="D588" t="s">
        <v>7</v>
      </c>
      <c r="E588">
        <v>3634425</v>
      </c>
      <c r="F588" s="2">
        <v>3634425</v>
      </c>
      <c r="G588" s="2">
        <v>267402</v>
      </c>
      <c r="H588">
        <v>30</v>
      </c>
      <c r="I588" s="1">
        <v>42521</v>
      </c>
      <c r="J588" t="s">
        <v>4</v>
      </c>
      <c r="K588">
        <f>COUNTIFS(GESTIONES!$A:$A, BASE_CUENTAS!$A588, GESTIONES!$B:$B, BASE_CUENTAS!$C588)</f>
        <v>3</v>
      </c>
      <c r="L588">
        <f>COUNTIFS(GESTIONES!$A:$A, BASE_CUENTAS!$A588,GESTIONES!$B:$B, BASE_CUENTAS!$C588,GESTIONES!$E:$E, "S")</f>
        <v>1</v>
      </c>
      <c r="M588">
        <f>COUNTIFS(GESTIONES!$A:$A, BASE_CUENTAS!$A588,GESTIONES!$B:$B, BASE_CUENTAS!$C588,GESTIONES!$E:$E, "N")</f>
        <v>2</v>
      </c>
      <c r="N588">
        <f>COUNTIFS(GESTIONES!$A:$A, BASE_CUENTAS!$A588,GESTIONES!$B:$B, BASE_CUENTAS!$C588,GESTIONES!$D:$D, "SMS")</f>
        <v>0</v>
      </c>
      <c r="O588">
        <f>SUMIFS(PAGOS!$D:$D,PAGOS!$A:$A, BASE_CUENTAS!$A588,PAGOS!$B:$B, BASE_CUENTAS!$C588)</f>
        <v>0</v>
      </c>
      <c r="P588" t="str">
        <f>IF(
VLOOKUP($C588,BASE_CIERRE_MES!$C:$G,5,FALSE)=0,
"Normalización",
IF(
VLOOKUP($C588,BASE_CIERRE_MES!$C:$G,5,FALSE)&lt;$H588,
"Recuperación",
IF(
VLOOKUP($C588,BASE_CIERRE_MES!$C:$G,5,FALSE)=$H588,
"Contención",
"Rodamiento"
)))</f>
        <v>Rodamiento</v>
      </c>
      <c r="Q588">
        <f t="shared" si="9"/>
        <v>0</v>
      </c>
    </row>
    <row r="589" spans="1:17" x14ac:dyDescent="0.25">
      <c r="A589">
        <v>8373318</v>
      </c>
      <c r="B589" t="s">
        <v>18</v>
      </c>
      <c r="C589">
        <v>23637560</v>
      </c>
      <c r="D589" t="s">
        <v>7</v>
      </c>
      <c r="E589">
        <v>4727990</v>
      </c>
      <c r="F589" s="2">
        <v>4727990</v>
      </c>
      <c r="G589" s="2">
        <v>769024</v>
      </c>
      <c r="H589">
        <v>60</v>
      </c>
      <c r="I589" s="1">
        <v>42490</v>
      </c>
      <c r="J589" t="s">
        <v>6</v>
      </c>
      <c r="K589">
        <f>COUNTIFS(GESTIONES!$A:$A, BASE_CUENTAS!$A589, GESTIONES!$B:$B, BASE_CUENTAS!$C589)</f>
        <v>3</v>
      </c>
      <c r="L589">
        <f>COUNTIFS(GESTIONES!$A:$A, BASE_CUENTAS!$A589,GESTIONES!$B:$B, BASE_CUENTAS!$C589,GESTIONES!$E:$E, "S")</f>
        <v>0</v>
      </c>
      <c r="M589">
        <f>COUNTIFS(GESTIONES!$A:$A, BASE_CUENTAS!$A589,GESTIONES!$B:$B, BASE_CUENTAS!$C589,GESTIONES!$E:$E, "N")</f>
        <v>3</v>
      </c>
      <c r="N589">
        <f>COUNTIFS(GESTIONES!$A:$A, BASE_CUENTAS!$A589,GESTIONES!$B:$B, BASE_CUENTAS!$C589,GESTIONES!$D:$D, "SMS")</f>
        <v>2</v>
      </c>
      <c r="O589">
        <f>SUMIFS(PAGOS!$D:$D,PAGOS!$A:$A, BASE_CUENTAS!$A589,PAGOS!$B:$B, BASE_CUENTAS!$C589)</f>
        <v>0</v>
      </c>
      <c r="P589" t="str">
        <f>IF(
VLOOKUP($C589,BASE_CIERRE_MES!$C:$G,5,FALSE)=0,
"Normalización",
IF(
VLOOKUP($C589,BASE_CIERRE_MES!$C:$G,5,FALSE)&lt;$H589,
"Recuperación",
IF(
VLOOKUP($C589,BASE_CIERRE_MES!$C:$G,5,FALSE)=$H589,
"Contención",
"Rodamiento"
)))</f>
        <v>Rodamiento</v>
      </c>
      <c r="Q589">
        <f t="shared" si="9"/>
        <v>0</v>
      </c>
    </row>
    <row r="590" spans="1:17" x14ac:dyDescent="0.25">
      <c r="A590">
        <v>8373458</v>
      </c>
      <c r="B590" t="s">
        <v>18</v>
      </c>
      <c r="C590">
        <v>26405269</v>
      </c>
      <c r="D590" t="s">
        <v>7</v>
      </c>
      <c r="E590">
        <v>1334852</v>
      </c>
      <c r="F590" s="2">
        <v>1334852</v>
      </c>
      <c r="G590" s="2">
        <v>1334584</v>
      </c>
      <c r="H590">
        <v>120</v>
      </c>
      <c r="I590" s="1">
        <v>42519</v>
      </c>
      <c r="J590" t="s">
        <v>5</v>
      </c>
      <c r="K590">
        <f>COUNTIFS(GESTIONES!$A:$A, BASE_CUENTAS!$A590, GESTIONES!$B:$B, BASE_CUENTAS!$C590)</f>
        <v>3</v>
      </c>
      <c r="L590">
        <f>COUNTIFS(GESTIONES!$A:$A, BASE_CUENTAS!$A590,GESTIONES!$B:$B, BASE_CUENTAS!$C590,GESTIONES!$E:$E, "S")</f>
        <v>1</v>
      </c>
      <c r="M590">
        <f>COUNTIFS(GESTIONES!$A:$A, BASE_CUENTAS!$A590,GESTIONES!$B:$B, BASE_CUENTAS!$C590,GESTIONES!$E:$E, "N")</f>
        <v>2</v>
      </c>
      <c r="N590">
        <f>COUNTIFS(GESTIONES!$A:$A, BASE_CUENTAS!$A590,GESTIONES!$B:$B, BASE_CUENTAS!$C590,GESTIONES!$D:$D, "SMS")</f>
        <v>1</v>
      </c>
      <c r="O590">
        <f>SUMIFS(PAGOS!$D:$D,PAGOS!$A:$A, BASE_CUENTAS!$A590,PAGOS!$B:$B, BASE_CUENTAS!$C590)</f>
        <v>0</v>
      </c>
      <c r="P590" t="str">
        <f>IF(
VLOOKUP($C590,BASE_CIERRE_MES!$C:$G,5,FALSE)=0,
"Normalización",
IF(
VLOOKUP($C590,BASE_CIERRE_MES!$C:$G,5,FALSE)&lt;$H590,
"Recuperación",
IF(
VLOOKUP($C590,BASE_CIERRE_MES!$C:$G,5,FALSE)=$H590,
"Contención",
"Rodamiento"
)))</f>
        <v>Rodamiento</v>
      </c>
      <c r="Q590">
        <f t="shared" si="9"/>
        <v>0</v>
      </c>
    </row>
    <row r="591" spans="1:17" x14ac:dyDescent="0.25">
      <c r="A591">
        <v>8373519</v>
      </c>
      <c r="B591" t="s">
        <v>17</v>
      </c>
      <c r="C591">
        <v>26396786</v>
      </c>
      <c r="D591" t="s">
        <v>7</v>
      </c>
      <c r="E591">
        <v>7389122</v>
      </c>
      <c r="F591" s="2">
        <v>2333609</v>
      </c>
      <c r="G591" s="2">
        <v>3902</v>
      </c>
      <c r="H591">
        <v>30</v>
      </c>
      <c r="I591" s="1">
        <v>42521</v>
      </c>
      <c r="J591" t="s">
        <v>4</v>
      </c>
      <c r="K591">
        <f>COUNTIFS(GESTIONES!$A:$A, BASE_CUENTAS!$A591, GESTIONES!$B:$B, BASE_CUENTAS!$C591)</f>
        <v>3</v>
      </c>
      <c r="L591">
        <f>COUNTIFS(GESTIONES!$A:$A, BASE_CUENTAS!$A591,GESTIONES!$B:$B, BASE_CUENTAS!$C591,GESTIONES!$E:$E, "S")</f>
        <v>1</v>
      </c>
      <c r="M591">
        <f>COUNTIFS(GESTIONES!$A:$A, BASE_CUENTAS!$A591,GESTIONES!$B:$B, BASE_CUENTAS!$C591,GESTIONES!$E:$E, "N")</f>
        <v>2</v>
      </c>
      <c r="N591">
        <f>COUNTIFS(GESTIONES!$A:$A, BASE_CUENTAS!$A591,GESTIONES!$B:$B, BASE_CUENTAS!$C591,GESTIONES!$D:$D, "SMS")</f>
        <v>0</v>
      </c>
      <c r="O591">
        <f>SUMIFS(PAGOS!$D:$D,PAGOS!$A:$A, BASE_CUENTAS!$A591,PAGOS!$B:$B, BASE_CUENTAS!$C591)</f>
        <v>0</v>
      </c>
      <c r="P591" t="str">
        <f>IF(
VLOOKUP($C591,BASE_CIERRE_MES!$C:$G,5,FALSE)=0,
"Normalización",
IF(
VLOOKUP($C591,BASE_CIERRE_MES!$C:$G,5,FALSE)&lt;$H591,
"Recuperación",
IF(
VLOOKUP($C591,BASE_CIERRE_MES!$C:$G,5,FALSE)=$H591,
"Contención",
"Rodamiento"
)))</f>
        <v>Rodamiento</v>
      </c>
      <c r="Q591">
        <f t="shared" si="9"/>
        <v>0</v>
      </c>
    </row>
    <row r="592" spans="1:17" x14ac:dyDescent="0.25">
      <c r="A592">
        <v>8373802</v>
      </c>
      <c r="B592" t="s">
        <v>16</v>
      </c>
      <c r="C592">
        <v>15812251</v>
      </c>
      <c r="D592" t="s">
        <v>7</v>
      </c>
      <c r="E592">
        <v>12160033</v>
      </c>
      <c r="F592" s="2">
        <v>2079277</v>
      </c>
      <c r="G592" s="2">
        <v>2079277</v>
      </c>
      <c r="H592">
        <v>120</v>
      </c>
      <c r="I592" s="1">
        <v>42508</v>
      </c>
      <c r="J592" t="s">
        <v>5</v>
      </c>
      <c r="K592">
        <f>COUNTIFS(GESTIONES!$A:$A, BASE_CUENTAS!$A592, GESTIONES!$B:$B, BASE_CUENTAS!$C592)</f>
        <v>3</v>
      </c>
      <c r="L592">
        <f>COUNTIFS(GESTIONES!$A:$A, BASE_CUENTAS!$A592,GESTIONES!$B:$B, BASE_CUENTAS!$C592,GESTIONES!$E:$E, "S")</f>
        <v>1</v>
      </c>
      <c r="M592">
        <f>COUNTIFS(GESTIONES!$A:$A, BASE_CUENTAS!$A592,GESTIONES!$B:$B, BASE_CUENTAS!$C592,GESTIONES!$E:$E, "N")</f>
        <v>2</v>
      </c>
      <c r="N592">
        <f>COUNTIFS(GESTIONES!$A:$A, BASE_CUENTAS!$A592,GESTIONES!$B:$B, BASE_CUENTAS!$C592,GESTIONES!$D:$D, "SMS")</f>
        <v>1</v>
      </c>
      <c r="O592">
        <f>SUMIFS(PAGOS!$D:$D,PAGOS!$A:$A, BASE_CUENTAS!$A592,PAGOS!$B:$B, BASE_CUENTAS!$C592)</f>
        <v>2079277</v>
      </c>
      <c r="P592" t="str">
        <f>IF(
VLOOKUP($C592,BASE_CIERRE_MES!$C:$G,5,FALSE)=0,
"Normalización",
IF(
VLOOKUP($C592,BASE_CIERRE_MES!$C:$G,5,FALSE)&lt;$H592,
"Recuperación",
IF(
VLOOKUP($C592,BASE_CIERRE_MES!$C:$G,5,FALSE)=$H592,
"Contención",
"Rodamiento"
)))</f>
        <v>Normalización</v>
      </c>
      <c r="Q592">
        <f t="shared" si="9"/>
        <v>1</v>
      </c>
    </row>
    <row r="593" spans="1:17" x14ac:dyDescent="0.25">
      <c r="A593">
        <v>8373802</v>
      </c>
      <c r="B593" t="s">
        <v>16</v>
      </c>
      <c r="C593">
        <v>17302927</v>
      </c>
      <c r="D593" t="s">
        <v>7</v>
      </c>
      <c r="E593">
        <v>12160033</v>
      </c>
      <c r="F593" s="2">
        <v>3584325</v>
      </c>
      <c r="G593" s="2">
        <v>436013</v>
      </c>
      <c r="H593">
        <v>60</v>
      </c>
      <c r="I593" s="1">
        <v>42508</v>
      </c>
      <c r="J593" t="s">
        <v>5</v>
      </c>
      <c r="K593">
        <f>COUNTIFS(GESTIONES!$A:$A, BASE_CUENTAS!$A593, GESTIONES!$B:$B, BASE_CUENTAS!$C593)</f>
        <v>3</v>
      </c>
      <c r="L593">
        <f>COUNTIFS(GESTIONES!$A:$A, BASE_CUENTAS!$A593,GESTIONES!$B:$B, BASE_CUENTAS!$C593,GESTIONES!$E:$E, "S")</f>
        <v>2</v>
      </c>
      <c r="M593">
        <f>COUNTIFS(GESTIONES!$A:$A, BASE_CUENTAS!$A593,GESTIONES!$B:$B, BASE_CUENTAS!$C593,GESTIONES!$E:$E, "N")</f>
        <v>1</v>
      </c>
      <c r="N593">
        <f>COUNTIFS(GESTIONES!$A:$A, BASE_CUENTAS!$A593,GESTIONES!$B:$B, BASE_CUENTAS!$C593,GESTIONES!$D:$D, "SMS")</f>
        <v>0</v>
      </c>
      <c r="O593">
        <f>SUMIFS(PAGOS!$D:$D,PAGOS!$A:$A, BASE_CUENTAS!$A593,PAGOS!$B:$B, BASE_CUENTAS!$C593)</f>
        <v>0</v>
      </c>
      <c r="P593" t="str">
        <f>IF(
VLOOKUP($C593,BASE_CIERRE_MES!$C:$G,5,FALSE)=0,
"Normalización",
IF(
VLOOKUP($C593,BASE_CIERRE_MES!$C:$G,5,FALSE)&lt;$H593,
"Recuperación",
IF(
VLOOKUP($C593,BASE_CIERRE_MES!$C:$G,5,FALSE)=$H593,
"Contención",
"Rodamiento"
)))</f>
        <v>Rodamiento</v>
      </c>
      <c r="Q593">
        <f t="shared" si="9"/>
        <v>0</v>
      </c>
    </row>
    <row r="594" spans="1:17" x14ac:dyDescent="0.25">
      <c r="A594">
        <v>8373802</v>
      </c>
      <c r="B594" t="s">
        <v>16</v>
      </c>
      <c r="C594">
        <v>25509330</v>
      </c>
      <c r="D594" t="s">
        <v>12</v>
      </c>
      <c r="E594">
        <v>12160033</v>
      </c>
      <c r="F594" s="2">
        <v>4748262</v>
      </c>
      <c r="G594" s="2">
        <v>271697</v>
      </c>
      <c r="H594">
        <v>24</v>
      </c>
      <c r="I594" s="1">
        <v>42508</v>
      </c>
      <c r="J594" t="s">
        <v>5</v>
      </c>
      <c r="K594">
        <f>COUNTIFS(GESTIONES!$A:$A, BASE_CUENTAS!$A594, GESTIONES!$B:$B, BASE_CUENTAS!$C594)</f>
        <v>3</v>
      </c>
      <c r="L594">
        <f>COUNTIFS(GESTIONES!$A:$A, BASE_CUENTAS!$A594,GESTIONES!$B:$B, BASE_CUENTAS!$C594,GESTIONES!$E:$E, "S")</f>
        <v>1</v>
      </c>
      <c r="M594">
        <f>COUNTIFS(GESTIONES!$A:$A, BASE_CUENTAS!$A594,GESTIONES!$B:$B, BASE_CUENTAS!$C594,GESTIONES!$E:$E, "N")</f>
        <v>2</v>
      </c>
      <c r="N594">
        <f>COUNTIFS(GESTIONES!$A:$A, BASE_CUENTAS!$A594,GESTIONES!$B:$B, BASE_CUENTAS!$C594,GESTIONES!$D:$D, "SMS")</f>
        <v>1</v>
      </c>
      <c r="O594">
        <f>SUMIFS(PAGOS!$D:$D,PAGOS!$A:$A, BASE_CUENTAS!$A594,PAGOS!$B:$B, BASE_CUENTAS!$C594)</f>
        <v>0</v>
      </c>
      <c r="P594" t="str">
        <f>IF(
VLOOKUP($C594,BASE_CIERRE_MES!$C:$G,5,FALSE)=0,
"Normalización",
IF(
VLOOKUP($C594,BASE_CIERRE_MES!$C:$G,5,FALSE)&lt;$H594,
"Recuperación",
IF(
VLOOKUP($C594,BASE_CIERRE_MES!$C:$G,5,FALSE)=$H594,
"Contención",
"Rodamiento"
)))</f>
        <v>Rodamiento</v>
      </c>
      <c r="Q594">
        <f t="shared" si="9"/>
        <v>0</v>
      </c>
    </row>
    <row r="595" spans="1:17" x14ac:dyDescent="0.25">
      <c r="A595">
        <v>8373802</v>
      </c>
      <c r="B595" t="s">
        <v>16</v>
      </c>
      <c r="C595">
        <v>27399471</v>
      </c>
      <c r="D595" t="s">
        <v>12</v>
      </c>
      <c r="E595">
        <v>12160033</v>
      </c>
      <c r="F595" s="2">
        <v>1436886</v>
      </c>
      <c r="G595" s="2">
        <v>43510</v>
      </c>
      <c r="H595">
        <v>24</v>
      </c>
      <c r="I595" s="1">
        <v>42508</v>
      </c>
      <c r="J595" t="s">
        <v>5</v>
      </c>
      <c r="K595">
        <f>COUNTIFS(GESTIONES!$A:$A, BASE_CUENTAS!$A595, GESTIONES!$B:$B, BASE_CUENTAS!$C595)</f>
        <v>3</v>
      </c>
      <c r="L595">
        <f>COUNTIFS(GESTIONES!$A:$A, BASE_CUENTAS!$A595,GESTIONES!$B:$B, BASE_CUENTAS!$C595,GESTIONES!$E:$E, "S")</f>
        <v>0</v>
      </c>
      <c r="M595">
        <f>COUNTIFS(GESTIONES!$A:$A, BASE_CUENTAS!$A595,GESTIONES!$B:$B, BASE_CUENTAS!$C595,GESTIONES!$E:$E, "N")</f>
        <v>3</v>
      </c>
      <c r="N595">
        <f>COUNTIFS(GESTIONES!$A:$A, BASE_CUENTAS!$A595,GESTIONES!$B:$B, BASE_CUENTAS!$C595,GESTIONES!$D:$D, "SMS")</f>
        <v>1</v>
      </c>
      <c r="O595">
        <f>SUMIFS(PAGOS!$D:$D,PAGOS!$A:$A, BASE_CUENTAS!$A595,PAGOS!$B:$B, BASE_CUENTAS!$C595)</f>
        <v>43510</v>
      </c>
      <c r="P595" t="str">
        <f>IF(
VLOOKUP($C595,BASE_CIERRE_MES!$C:$G,5,FALSE)=0,
"Normalización",
IF(
VLOOKUP($C595,BASE_CIERRE_MES!$C:$G,5,FALSE)&lt;$H595,
"Recuperación",
IF(
VLOOKUP($C595,BASE_CIERRE_MES!$C:$G,5,FALSE)=$H595,
"Contención",
"Rodamiento"
)))</f>
        <v>Normalización</v>
      </c>
      <c r="Q595">
        <f t="shared" si="9"/>
        <v>3.0280759921107171E-2</v>
      </c>
    </row>
    <row r="596" spans="1:17" x14ac:dyDescent="0.25">
      <c r="A596">
        <v>8373802</v>
      </c>
      <c r="B596" t="s">
        <v>16</v>
      </c>
      <c r="C596">
        <v>27745139</v>
      </c>
      <c r="D596" t="s">
        <v>12</v>
      </c>
      <c r="E596">
        <v>12160033</v>
      </c>
      <c r="F596" s="2">
        <v>311282</v>
      </c>
      <c r="G596" s="2">
        <v>9298</v>
      </c>
      <c r="H596">
        <v>24</v>
      </c>
      <c r="I596" s="1">
        <v>42508</v>
      </c>
      <c r="J596" t="s">
        <v>5</v>
      </c>
      <c r="K596">
        <f>COUNTIFS(GESTIONES!$A:$A, BASE_CUENTAS!$A596, GESTIONES!$B:$B, BASE_CUENTAS!$C596)</f>
        <v>3</v>
      </c>
      <c r="L596">
        <f>COUNTIFS(GESTIONES!$A:$A, BASE_CUENTAS!$A596,GESTIONES!$B:$B, BASE_CUENTAS!$C596,GESTIONES!$E:$E, "S")</f>
        <v>1</v>
      </c>
      <c r="M596">
        <f>COUNTIFS(GESTIONES!$A:$A, BASE_CUENTAS!$A596,GESTIONES!$B:$B, BASE_CUENTAS!$C596,GESTIONES!$E:$E, "N")</f>
        <v>2</v>
      </c>
      <c r="N596">
        <f>COUNTIFS(GESTIONES!$A:$A, BASE_CUENTAS!$A596,GESTIONES!$B:$B, BASE_CUENTAS!$C596,GESTIONES!$D:$D, "SMS")</f>
        <v>1</v>
      </c>
      <c r="O596">
        <f>SUMIFS(PAGOS!$D:$D,PAGOS!$A:$A, BASE_CUENTAS!$A596,PAGOS!$B:$B, BASE_CUENTAS!$C596)</f>
        <v>3100</v>
      </c>
      <c r="P596" t="str">
        <f>IF(
VLOOKUP($C596,BASE_CIERRE_MES!$C:$G,5,FALSE)=0,
"Normalización",
IF(
VLOOKUP($C596,BASE_CIERRE_MES!$C:$G,5,FALSE)&lt;$H596,
"Recuperación",
IF(
VLOOKUP($C596,BASE_CIERRE_MES!$C:$G,5,FALSE)=$H596,
"Contención",
"Rodamiento"
)))</f>
        <v>Rodamiento</v>
      </c>
      <c r="Q596">
        <f t="shared" si="9"/>
        <v>9.9588154792117755E-3</v>
      </c>
    </row>
    <row r="597" spans="1:17" x14ac:dyDescent="0.25">
      <c r="A597">
        <v>8373803</v>
      </c>
      <c r="B597" t="s">
        <v>17</v>
      </c>
      <c r="C597">
        <v>16656839</v>
      </c>
      <c r="D597" t="s">
        <v>9</v>
      </c>
      <c r="E597">
        <v>6503338</v>
      </c>
      <c r="F597" s="2">
        <v>651907</v>
      </c>
      <c r="G597" s="2">
        <v>589819</v>
      </c>
      <c r="H597">
        <v>133</v>
      </c>
      <c r="I597" s="1">
        <v>42517</v>
      </c>
      <c r="J597" t="s">
        <v>5</v>
      </c>
      <c r="K597">
        <f>COUNTIFS(GESTIONES!$A:$A, BASE_CUENTAS!$A597, GESTIONES!$B:$B, BASE_CUENTAS!$C597)</f>
        <v>3</v>
      </c>
      <c r="L597">
        <f>COUNTIFS(GESTIONES!$A:$A, BASE_CUENTAS!$A597,GESTIONES!$B:$B, BASE_CUENTAS!$C597,GESTIONES!$E:$E, "S")</f>
        <v>1</v>
      </c>
      <c r="M597">
        <f>COUNTIFS(GESTIONES!$A:$A, BASE_CUENTAS!$A597,GESTIONES!$B:$B, BASE_CUENTAS!$C597,GESTIONES!$E:$E, "N")</f>
        <v>2</v>
      </c>
      <c r="N597">
        <f>COUNTIFS(GESTIONES!$A:$A, BASE_CUENTAS!$A597,GESTIONES!$B:$B, BASE_CUENTAS!$C597,GESTIONES!$D:$D, "SMS")</f>
        <v>1</v>
      </c>
      <c r="O597">
        <f>SUMIFS(PAGOS!$D:$D,PAGOS!$A:$A, BASE_CUENTAS!$A597,PAGOS!$B:$B, BASE_CUENTAS!$C597)</f>
        <v>0</v>
      </c>
      <c r="P597" t="str">
        <f>IF(
VLOOKUP($C597,BASE_CIERRE_MES!$C:$G,5,FALSE)=0,
"Normalización",
IF(
VLOOKUP($C597,BASE_CIERRE_MES!$C:$G,5,FALSE)&lt;$H597,
"Recuperación",
IF(
VLOOKUP($C597,BASE_CIERRE_MES!$C:$G,5,FALSE)=$H597,
"Contención",
"Rodamiento"
)))</f>
        <v>Rodamiento</v>
      </c>
      <c r="Q597">
        <f t="shared" si="9"/>
        <v>0</v>
      </c>
    </row>
    <row r="598" spans="1:17" x14ac:dyDescent="0.25">
      <c r="A598">
        <v>8373803</v>
      </c>
      <c r="B598" t="s">
        <v>17</v>
      </c>
      <c r="C598">
        <v>24836538</v>
      </c>
      <c r="D598" t="s">
        <v>7</v>
      </c>
      <c r="E598">
        <v>6503338</v>
      </c>
      <c r="F598" s="2">
        <v>2470905</v>
      </c>
      <c r="G598" s="2">
        <v>544076</v>
      </c>
      <c r="H598">
        <v>60</v>
      </c>
      <c r="I598" s="1">
        <v>42491</v>
      </c>
      <c r="J598" t="s">
        <v>5</v>
      </c>
      <c r="K598">
        <f>COUNTIFS(GESTIONES!$A:$A, BASE_CUENTAS!$A598, GESTIONES!$B:$B, BASE_CUENTAS!$C598)</f>
        <v>3</v>
      </c>
      <c r="L598">
        <f>COUNTIFS(GESTIONES!$A:$A, BASE_CUENTAS!$A598,GESTIONES!$B:$B, BASE_CUENTAS!$C598,GESTIONES!$E:$E, "S")</f>
        <v>1</v>
      </c>
      <c r="M598">
        <f>COUNTIFS(GESTIONES!$A:$A, BASE_CUENTAS!$A598,GESTIONES!$B:$B, BASE_CUENTAS!$C598,GESTIONES!$E:$E, "N")</f>
        <v>2</v>
      </c>
      <c r="N598">
        <f>COUNTIFS(GESTIONES!$A:$A, BASE_CUENTAS!$A598,GESTIONES!$B:$B, BASE_CUENTAS!$C598,GESTIONES!$D:$D, "SMS")</f>
        <v>0</v>
      </c>
      <c r="O598">
        <f>SUMIFS(PAGOS!$D:$D,PAGOS!$A:$A, BASE_CUENTAS!$A598,PAGOS!$B:$B, BASE_CUENTAS!$C598)</f>
        <v>544076</v>
      </c>
      <c r="P598" t="str">
        <f>IF(
VLOOKUP($C598,BASE_CIERRE_MES!$C:$G,5,FALSE)=0,
"Normalización",
IF(
VLOOKUP($C598,BASE_CIERRE_MES!$C:$G,5,FALSE)&lt;$H598,
"Recuperación",
IF(
VLOOKUP($C598,BASE_CIERRE_MES!$C:$G,5,FALSE)=$H598,
"Contención",
"Rodamiento"
)))</f>
        <v>Normalización</v>
      </c>
      <c r="Q598">
        <f t="shared" si="9"/>
        <v>0.22019300620622809</v>
      </c>
    </row>
    <row r="599" spans="1:17" x14ac:dyDescent="0.25">
      <c r="A599">
        <v>8373922</v>
      </c>
      <c r="B599" t="s">
        <v>17</v>
      </c>
      <c r="C599">
        <v>15451183</v>
      </c>
      <c r="D599" t="s">
        <v>7</v>
      </c>
      <c r="E599">
        <v>3211992</v>
      </c>
      <c r="F599" s="2">
        <v>1101738</v>
      </c>
      <c r="G599" s="2">
        <v>117938</v>
      </c>
      <c r="H599">
        <v>30</v>
      </c>
      <c r="I599" s="1">
        <v>42521</v>
      </c>
      <c r="J599" t="s">
        <v>4</v>
      </c>
      <c r="K599">
        <f>COUNTIFS(GESTIONES!$A:$A, BASE_CUENTAS!$A599, GESTIONES!$B:$B, BASE_CUENTAS!$C599)</f>
        <v>3</v>
      </c>
      <c r="L599">
        <f>COUNTIFS(GESTIONES!$A:$A, BASE_CUENTAS!$A599,GESTIONES!$B:$B, BASE_CUENTAS!$C599,GESTIONES!$E:$E, "S")</f>
        <v>1</v>
      </c>
      <c r="M599">
        <f>COUNTIFS(GESTIONES!$A:$A, BASE_CUENTAS!$A599,GESTIONES!$B:$B, BASE_CUENTAS!$C599,GESTIONES!$E:$E, "N")</f>
        <v>2</v>
      </c>
      <c r="N599">
        <f>COUNTIFS(GESTIONES!$A:$A, BASE_CUENTAS!$A599,GESTIONES!$B:$B, BASE_CUENTAS!$C599,GESTIONES!$D:$D, "SMS")</f>
        <v>1</v>
      </c>
      <c r="O599">
        <f>SUMIFS(PAGOS!$D:$D,PAGOS!$A:$A, BASE_CUENTAS!$A599,PAGOS!$B:$B, BASE_CUENTAS!$C599)</f>
        <v>117938</v>
      </c>
      <c r="P599" t="str">
        <f>IF(
VLOOKUP($C599,BASE_CIERRE_MES!$C:$G,5,FALSE)=0,
"Normalización",
IF(
VLOOKUP($C599,BASE_CIERRE_MES!$C:$G,5,FALSE)&lt;$H599,
"Recuperación",
IF(
VLOOKUP($C599,BASE_CIERRE_MES!$C:$G,5,FALSE)=$H599,
"Contención",
"Rodamiento"
)))</f>
        <v>Normalización</v>
      </c>
      <c r="Q599">
        <f t="shared" si="9"/>
        <v>0.1070472290145207</v>
      </c>
    </row>
    <row r="600" spans="1:17" x14ac:dyDescent="0.25">
      <c r="A600">
        <v>8373922</v>
      </c>
      <c r="B600" t="s">
        <v>17</v>
      </c>
      <c r="C600">
        <v>15452026</v>
      </c>
      <c r="D600" t="s">
        <v>7</v>
      </c>
      <c r="E600">
        <v>3211992</v>
      </c>
      <c r="F600" s="2">
        <v>1205113</v>
      </c>
      <c r="G600" s="2">
        <v>11709</v>
      </c>
      <c r="H600">
        <v>30</v>
      </c>
      <c r="I600" s="1">
        <v>42521</v>
      </c>
      <c r="J600" t="s">
        <v>4</v>
      </c>
      <c r="K600">
        <f>COUNTIFS(GESTIONES!$A:$A, BASE_CUENTAS!$A600, GESTIONES!$B:$B, BASE_CUENTAS!$C600)</f>
        <v>3</v>
      </c>
      <c r="L600">
        <f>COUNTIFS(GESTIONES!$A:$A, BASE_CUENTAS!$A600,GESTIONES!$B:$B, BASE_CUENTAS!$C600,GESTIONES!$E:$E, "S")</f>
        <v>0</v>
      </c>
      <c r="M600">
        <f>COUNTIFS(GESTIONES!$A:$A, BASE_CUENTAS!$A600,GESTIONES!$B:$B, BASE_CUENTAS!$C600,GESTIONES!$E:$E, "N")</f>
        <v>3</v>
      </c>
      <c r="N600">
        <f>COUNTIFS(GESTIONES!$A:$A, BASE_CUENTAS!$A600,GESTIONES!$B:$B, BASE_CUENTAS!$C600,GESTIONES!$D:$D, "SMS")</f>
        <v>1</v>
      </c>
      <c r="O600">
        <f>SUMIFS(PAGOS!$D:$D,PAGOS!$A:$A, BASE_CUENTAS!$A600,PAGOS!$B:$B, BASE_CUENTAS!$C600)</f>
        <v>1205113</v>
      </c>
      <c r="P600" t="str">
        <f>IF(
VLOOKUP($C600,BASE_CIERRE_MES!$C:$G,5,FALSE)=0,
"Normalización",
IF(
VLOOKUP($C600,BASE_CIERRE_MES!$C:$G,5,FALSE)&lt;$H600,
"Recuperación",
IF(
VLOOKUP($C600,BASE_CIERRE_MES!$C:$G,5,FALSE)=$H600,
"Contención",
"Rodamiento"
)))</f>
        <v>Normalización</v>
      </c>
      <c r="Q600">
        <f t="shared" si="9"/>
        <v>1</v>
      </c>
    </row>
    <row r="601" spans="1:17" x14ac:dyDescent="0.25">
      <c r="A601">
        <v>8374077</v>
      </c>
      <c r="B601" t="s">
        <v>16</v>
      </c>
      <c r="C601">
        <v>27041563</v>
      </c>
      <c r="D601" t="s">
        <v>7</v>
      </c>
      <c r="E601">
        <v>38659742</v>
      </c>
      <c r="F601" s="2">
        <v>6050809</v>
      </c>
      <c r="G601" s="2">
        <v>1212987</v>
      </c>
      <c r="H601">
        <v>30</v>
      </c>
      <c r="I601" s="1">
        <v>42509</v>
      </c>
      <c r="J601" t="s">
        <v>5</v>
      </c>
      <c r="K601">
        <f>COUNTIFS(GESTIONES!$A:$A, BASE_CUENTAS!$A601, GESTIONES!$B:$B, BASE_CUENTAS!$C601)</f>
        <v>3</v>
      </c>
      <c r="L601">
        <f>COUNTIFS(GESTIONES!$A:$A, BASE_CUENTAS!$A601,GESTIONES!$B:$B, BASE_CUENTAS!$C601,GESTIONES!$E:$E, "S")</f>
        <v>1</v>
      </c>
      <c r="M601">
        <f>COUNTIFS(GESTIONES!$A:$A, BASE_CUENTAS!$A601,GESTIONES!$B:$B, BASE_CUENTAS!$C601,GESTIONES!$E:$E, "N")</f>
        <v>2</v>
      </c>
      <c r="N601">
        <f>COUNTIFS(GESTIONES!$A:$A, BASE_CUENTAS!$A601,GESTIONES!$B:$B, BASE_CUENTAS!$C601,GESTIONES!$D:$D, "SMS")</f>
        <v>1</v>
      </c>
      <c r="O601">
        <f>SUMIFS(PAGOS!$D:$D,PAGOS!$A:$A, BASE_CUENTAS!$A601,PAGOS!$B:$B, BASE_CUENTAS!$C601)</f>
        <v>0</v>
      </c>
      <c r="P601" t="str">
        <f>IF(
VLOOKUP($C601,BASE_CIERRE_MES!$C:$G,5,FALSE)=0,
"Normalización",
IF(
VLOOKUP($C601,BASE_CIERRE_MES!$C:$G,5,FALSE)&lt;$H601,
"Recuperación",
IF(
VLOOKUP($C601,BASE_CIERRE_MES!$C:$G,5,FALSE)=$H601,
"Contención",
"Rodamiento"
)))</f>
        <v>Rodamiento</v>
      </c>
      <c r="Q601">
        <f t="shared" si="9"/>
        <v>0</v>
      </c>
    </row>
    <row r="602" spans="1:17" x14ac:dyDescent="0.25">
      <c r="A602">
        <v>8374957</v>
      </c>
      <c r="B602" t="s">
        <v>18</v>
      </c>
      <c r="C602">
        <v>26344716</v>
      </c>
      <c r="D602" t="s">
        <v>7</v>
      </c>
      <c r="E602">
        <v>1934121</v>
      </c>
      <c r="F602" s="2">
        <v>1934121</v>
      </c>
      <c r="G602" s="2">
        <v>214989</v>
      </c>
      <c r="H602">
        <v>30</v>
      </c>
      <c r="I602" s="1">
        <v>42521</v>
      </c>
      <c r="J602" t="s">
        <v>4</v>
      </c>
      <c r="K602">
        <f>COUNTIFS(GESTIONES!$A:$A, BASE_CUENTAS!$A602, GESTIONES!$B:$B, BASE_CUENTAS!$C602)</f>
        <v>3</v>
      </c>
      <c r="L602">
        <f>COUNTIFS(GESTIONES!$A:$A, BASE_CUENTAS!$A602,GESTIONES!$B:$B, BASE_CUENTAS!$C602,GESTIONES!$E:$E, "S")</f>
        <v>1</v>
      </c>
      <c r="M602">
        <f>COUNTIFS(GESTIONES!$A:$A, BASE_CUENTAS!$A602,GESTIONES!$B:$B, BASE_CUENTAS!$C602,GESTIONES!$E:$E, "N")</f>
        <v>2</v>
      </c>
      <c r="N602">
        <f>COUNTIFS(GESTIONES!$A:$A, BASE_CUENTAS!$A602,GESTIONES!$B:$B, BASE_CUENTAS!$C602,GESTIONES!$D:$D, "SMS")</f>
        <v>1</v>
      </c>
      <c r="O602">
        <f>SUMIFS(PAGOS!$D:$D,PAGOS!$A:$A, BASE_CUENTAS!$A602,PAGOS!$B:$B, BASE_CUENTAS!$C602)</f>
        <v>107495</v>
      </c>
      <c r="P602" t="str">
        <f>IF(
VLOOKUP($C602,BASE_CIERRE_MES!$C:$G,5,FALSE)=0,
"Normalización",
IF(
VLOOKUP($C602,BASE_CIERRE_MES!$C:$G,5,FALSE)&lt;$H602,
"Recuperación",
IF(
VLOOKUP($C602,BASE_CIERRE_MES!$C:$G,5,FALSE)=$H602,
"Contención",
"Rodamiento"
)))</f>
        <v>Recuperación</v>
      </c>
      <c r="Q602">
        <f t="shared" si="9"/>
        <v>5.5578218736056326E-2</v>
      </c>
    </row>
    <row r="603" spans="1:17" x14ac:dyDescent="0.25">
      <c r="A603">
        <v>8374964</v>
      </c>
      <c r="B603" t="s">
        <v>18</v>
      </c>
      <c r="C603">
        <v>27287287</v>
      </c>
      <c r="D603" t="s">
        <v>7</v>
      </c>
      <c r="E603">
        <v>740311</v>
      </c>
      <c r="F603" s="2">
        <v>310923</v>
      </c>
      <c r="G603" s="2">
        <v>18118</v>
      </c>
      <c r="H603">
        <v>30</v>
      </c>
      <c r="I603" s="1">
        <v>42521</v>
      </c>
      <c r="J603" t="s">
        <v>4</v>
      </c>
      <c r="K603">
        <f>COUNTIFS(GESTIONES!$A:$A, BASE_CUENTAS!$A603, GESTIONES!$B:$B, BASE_CUENTAS!$C603)</f>
        <v>3</v>
      </c>
      <c r="L603">
        <f>COUNTIFS(GESTIONES!$A:$A, BASE_CUENTAS!$A603,GESTIONES!$B:$B, BASE_CUENTAS!$C603,GESTIONES!$E:$E, "S")</f>
        <v>1</v>
      </c>
      <c r="M603">
        <f>COUNTIFS(GESTIONES!$A:$A, BASE_CUENTAS!$A603,GESTIONES!$B:$B, BASE_CUENTAS!$C603,GESTIONES!$E:$E, "N")</f>
        <v>2</v>
      </c>
      <c r="N603">
        <f>COUNTIFS(GESTIONES!$A:$A, BASE_CUENTAS!$A603,GESTIONES!$B:$B, BASE_CUENTAS!$C603,GESTIONES!$D:$D, "SMS")</f>
        <v>0</v>
      </c>
      <c r="O603">
        <f>SUMIFS(PAGOS!$D:$D,PAGOS!$A:$A, BASE_CUENTAS!$A603,PAGOS!$B:$B, BASE_CUENTAS!$C603)</f>
        <v>0</v>
      </c>
      <c r="P603" t="str">
        <f>IF(
VLOOKUP($C603,BASE_CIERRE_MES!$C:$G,5,FALSE)=0,
"Normalización",
IF(
VLOOKUP($C603,BASE_CIERRE_MES!$C:$G,5,FALSE)&lt;$H603,
"Recuperación",
IF(
VLOOKUP($C603,BASE_CIERRE_MES!$C:$G,5,FALSE)=$H603,
"Contención",
"Rodamiento"
)))</f>
        <v>Rodamiento</v>
      </c>
      <c r="Q603">
        <f t="shared" si="9"/>
        <v>0</v>
      </c>
    </row>
    <row r="604" spans="1:17" x14ac:dyDescent="0.25">
      <c r="A604">
        <v>8375157</v>
      </c>
      <c r="B604" t="s">
        <v>18</v>
      </c>
      <c r="C604">
        <v>10604639</v>
      </c>
      <c r="D604" t="s">
        <v>7</v>
      </c>
      <c r="E604">
        <v>610896</v>
      </c>
      <c r="F604" s="2">
        <v>610896</v>
      </c>
      <c r="G604" s="2">
        <v>610897</v>
      </c>
      <c r="H604">
        <v>360</v>
      </c>
      <c r="I604" s="1">
        <v>42443</v>
      </c>
      <c r="J604" t="s">
        <v>5</v>
      </c>
      <c r="K604">
        <f>COUNTIFS(GESTIONES!$A:$A, BASE_CUENTAS!$A604, GESTIONES!$B:$B, BASE_CUENTAS!$C604)</f>
        <v>3</v>
      </c>
      <c r="L604">
        <f>COUNTIFS(GESTIONES!$A:$A, BASE_CUENTAS!$A604,GESTIONES!$B:$B, BASE_CUENTAS!$C604,GESTIONES!$E:$E, "S")</f>
        <v>1</v>
      </c>
      <c r="M604">
        <f>COUNTIFS(GESTIONES!$A:$A, BASE_CUENTAS!$A604,GESTIONES!$B:$B, BASE_CUENTAS!$C604,GESTIONES!$E:$E, "N")</f>
        <v>2</v>
      </c>
      <c r="N604">
        <f>COUNTIFS(GESTIONES!$A:$A, BASE_CUENTAS!$A604,GESTIONES!$B:$B, BASE_CUENTAS!$C604,GESTIONES!$D:$D, "SMS")</f>
        <v>1</v>
      </c>
      <c r="O604">
        <f>SUMIFS(PAGOS!$D:$D,PAGOS!$A:$A, BASE_CUENTAS!$A604,PAGOS!$B:$B, BASE_CUENTAS!$C604)</f>
        <v>0</v>
      </c>
      <c r="P604" t="str">
        <f>IF(
VLOOKUP($C604,BASE_CIERRE_MES!$C:$G,5,FALSE)=0,
"Normalización",
IF(
VLOOKUP($C604,BASE_CIERRE_MES!$C:$G,5,FALSE)&lt;$H604,
"Recuperación",
IF(
VLOOKUP($C604,BASE_CIERRE_MES!$C:$G,5,FALSE)=$H604,
"Contención",
"Rodamiento"
)))</f>
        <v>Rodamiento</v>
      </c>
      <c r="Q604">
        <f t="shared" si="9"/>
        <v>0</v>
      </c>
    </row>
    <row r="605" spans="1:17" x14ac:dyDescent="0.25">
      <c r="A605">
        <v>8375295</v>
      </c>
      <c r="B605" t="s">
        <v>17</v>
      </c>
      <c r="C605">
        <v>23137609</v>
      </c>
      <c r="D605" t="s">
        <v>7</v>
      </c>
      <c r="E605">
        <v>4911087</v>
      </c>
      <c r="F605" s="2">
        <v>1873099</v>
      </c>
      <c r="G605" s="2">
        <v>604385</v>
      </c>
      <c r="H605">
        <v>90</v>
      </c>
      <c r="I605" s="1">
        <v>42490</v>
      </c>
      <c r="J605" t="s">
        <v>5</v>
      </c>
      <c r="K605">
        <f>COUNTIFS(GESTIONES!$A:$A, BASE_CUENTAS!$A605, GESTIONES!$B:$B, BASE_CUENTAS!$C605)</f>
        <v>3</v>
      </c>
      <c r="L605">
        <f>COUNTIFS(GESTIONES!$A:$A, BASE_CUENTAS!$A605,GESTIONES!$B:$B, BASE_CUENTAS!$C605,GESTIONES!$E:$E, "S")</f>
        <v>0</v>
      </c>
      <c r="M605">
        <f>COUNTIFS(GESTIONES!$A:$A, BASE_CUENTAS!$A605,GESTIONES!$B:$B, BASE_CUENTAS!$C605,GESTIONES!$E:$E, "N")</f>
        <v>3</v>
      </c>
      <c r="N605">
        <f>COUNTIFS(GESTIONES!$A:$A, BASE_CUENTAS!$A605,GESTIONES!$B:$B, BASE_CUENTAS!$C605,GESTIONES!$D:$D, "SMS")</f>
        <v>1</v>
      </c>
      <c r="O605">
        <f>SUMIFS(PAGOS!$D:$D,PAGOS!$A:$A, BASE_CUENTAS!$A605,PAGOS!$B:$B, BASE_CUENTAS!$C605)</f>
        <v>0</v>
      </c>
      <c r="P605" t="str">
        <f>IF(
VLOOKUP($C605,BASE_CIERRE_MES!$C:$G,5,FALSE)=0,
"Normalización",
IF(
VLOOKUP($C605,BASE_CIERRE_MES!$C:$G,5,FALSE)&lt;$H605,
"Recuperación",
IF(
VLOOKUP($C605,BASE_CIERRE_MES!$C:$G,5,FALSE)=$H605,
"Contención",
"Rodamiento"
)))</f>
        <v>Rodamiento</v>
      </c>
      <c r="Q605">
        <f t="shared" si="9"/>
        <v>0</v>
      </c>
    </row>
    <row r="606" spans="1:17" x14ac:dyDescent="0.25">
      <c r="A606">
        <v>8375295</v>
      </c>
      <c r="B606" t="s">
        <v>17</v>
      </c>
      <c r="C606">
        <v>23161693</v>
      </c>
      <c r="D606" t="s">
        <v>7</v>
      </c>
      <c r="E606">
        <v>4911087</v>
      </c>
      <c r="F606" s="2">
        <v>3037989</v>
      </c>
      <c r="G606" s="2">
        <v>3037989</v>
      </c>
      <c r="H606">
        <v>150</v>
      </c>
      <c r="I606" s="1">
        <v>42490</v>
      </c>
      <c r="J606" t="s">
        <v>5</v>
      </c>
      <c r="K606">
        <f>COUNTIFS(GESTIONES!$A:$A, BASE_CUENTAS!$A606, GESTIONES!$B:$B, BASE_CUENTAS!$C606)</f>
        <v>3</v>
      </c>
      <c r="L606">
        <f>COUNTIFS(GESTIONES!$A:$A, BASE_CUENTAS!$A606,GESTIONES!$B:$B, BASE_CUENTAS!$C606,GESTIONES!$E:$E, "S")</f>
        <v>1</v>
      </c>
      <c r="M606">
        <f>COUNTIFS(GESTIONES!$A:$A, BASE_CUENTAS!$A606,GESTIONES!$B:$B, BASE_CUENTAS!$C606,GESTIONES!$E:$E, "N")</f>
        <v>2</v>
      </c>
      <c r="N606">
        <f>COUNTIFS(GESTIONES!$A:$A, BASE_CUENTAS!$A606,GESTIONES!$B:$B, BASE_CUENTAS!$C606,GESTIONES!$D:$D, "SMS")</f>
        <v>1</v>
      </c>
      <c r="O606">
        <f>SUMIFS(PAGOS!$D:$D,PAGOS!$A:$A, BASE_CUENTAS!$A606,PAGOS!$B:$B, BASE_CUENTAS!$C606)</f>
        <v>0</v>
      </c>
      <c r="P606" t="str">
        <f>IF(
VLOOKUP($C606,BASE_CIERRE_MES!$C:$G,5,FALSE)=0,
"Normalización",
IF(
VLOOKUP($C606,BASE_CIERRE_MES!$C:$G,5,FALSE)&lt;$H606,
"Recuperación",
IF(
VLOOKUP($C606,BASE_CIERRE_MES!$C:$G,5,FALSE)=$H606,
"Contención",
"Rodamiento"
)))</f>
        <v>Rodamiento</v>
      </c>
      <c r="Q606">
        <f t="shared" si="9"/>
        <v>0</v>
      </c>
    </row>
    <row r="607" spans="1:17" x14ac:dyDescent="0.25">
      <c r="A607">
        <v>8375343</v>
      </c>
      <c r="B607" t="s">
        <v>18</v>
      </c>
      <c r="C607">
        <v>22513953</v>
      </c>
      <c r="D607" t="s">
        <v>7</v>
      </c>
      <c r="E607">
        <v>2468444</v>
      </c>
      <c r="F607" s="2">
        <v>2468444</v>
      </c>
      <c r="G607" s="2">
        <v>2468444</v>
      </c>
      <c r="H607">
        <v>150</v>
      </c>
      <c r="I607" s="1">
        <v>42518</v>
      </c>
      <c r="J607" t="s">
        <v>5</v>
      </c>
      <c r="K607">
        <f>COUNTIFS(GESTIONES!$A:$A, BASE_CUENTAS!$A607, GESTIONES!$B:$B, BASE_CUENTAS!$C607)</f>
        <v>3</v>
      </c>
      <c r="L607">
        <f>COUNTIFS(GESTIONES!$A:$A, BASE_CUENTAS!$A607,GESTIONES!$B:$B, BASE_CUENTAS!$C607,GESTIONES!$E:$E, "S")</f>
        <v>1</v>
      </c>
      <c r="M607">
        <f>COUNTIFS(GESTIONES!$A:$A, BASE_CUENTAS!$A607,GESTIONES!$B:$B, BASE_CUENTAS!$C607,GESTIONES!$E:$E, "N")</f>
        <v>2</v>
      </c>
      <c r="N607">
        <f>COUNTIFS(GESTIONES!$A:$A, BASE_CUENTAS!$A607,GESTIONES!$B:$B, BASE_CUENTAS!$C607,GESTIONES!$D:$D, "SMS")</f>
        <v>1</v>
      </c>
      <c r="O607">
        <f>SUMIFS(PAGOS!$D:$D,PAGOS!$A:$A, BASE_CUENTAS!$A607,PAGOS!$B:$B, BASE_CUENTAS!$C607)</f>
        <v>822815</v>
      </c>
      <c r="P607" t="str">
        <f>IF(
VLOOKUP($C607,BASE_CIERRE_MES!$C:$G,5,FALSE)=0,
"Normalización",
IF(
VLOOKUP($C607,BASE_CIERRE_MES!$C:$G,5,FALSE)&lt;$H607,
"Recuperación",
IF(
VLOOKUP($C607,BASE_CIERRE_MES!$C:$G,5,FALSE)=$H607,
"Contención",
"Rodamiento"
)))</f>
        <v>Contención</v>
      </c>
      <c r="Q607">
        <f t="shared" si="9"/>
        <v>0.33333346837116823</v>
      </c>
    </row>
    <row r="608" spans="1:17" x14ac:dyDescent="0.25">
      <c r="A608">
        <v>8375436</v>
      </c>
      <c r="B608" t="s">
        <v>16</v>
      </c>
      <c r="C608">
        <v>25340832</v>
      </c>
      <c r="D608" t="s">
        <v>7</v>
      </c>
      <c r="E608">
        <v>23004813</v>
      </c>
      <c r="F608" s="2">
        <v>2598794</v>
      </c>
      <c r="G608" s="2">
        <v>72165</v>
      </c>
      <c r="H608">
        <v>30</v>
      </c>
      <c r="I608" s="1">
        <v>42522</v>
      </c>
      <c r="J608" t="s">
        <v>6</v>
      </c>
      <c r="K608">
        <f>COUNTIFS(GESTIONES!$A:$A, BASE_CUENTAS!$A608, GESTIONES!$B:$B, BASE_CUENTAS!$C608)</f>
        <v>3</v>
      </c>
      <c r="L608">
        <f>COUNTIFS(GESTIONES!$A:$A, BASE_CUENTAS!$A608,GESTIONES!$B:$B, BASE_CUENTAS!$C608,GESTIONES!$E:$E, "S")</f>
        <v>1</v>
      </c>
      <c r="M608">
        <f>COUNTIFS(GESTIONES!$A:$A, BASE_CUENTAS!$A608,GESTIONES!$B:$B, BASE_CUENTAS!$C608,GESTIONES!$E:$E, "N")</f>
        <v>2</v>
      </c>
      <c r="N608">
        <f>COUNTIFS(GESTIONES!$A:$A, BASE_CUENTAS!$A608,GESTIONES!$B:$B, BASE_CUENTAS!$C608,GESTIONES!$D:$D, "SMS")</f>
        <v>0</v>
      </c>
      <c r="O608">
        <f>SUMIFS(PAGOS!$D:$D,PAGOS!$A:$A, BASE_CUENTAS!$A608,PAGOS!$B:$B, BASE_CUENTAS!$C608)</f>
        <v>0</v>
      </c>
      <c r="P608" t="str">
        <f>IF(
VLOOKUP($C608,BASE_CIERRE_MES!$C:$G,5,FALSE)=0,
"Normalización",
IF(
VLOOKUP($C608,BASE_CIERRE_MES!$C:$G,5,FALSE)&lt;$H608,
"Recuperación",
IF(
VLOOKUP($C608,BASE_CIERRE_MES!$C:$G,5,FALSE)=$H608,
"Contención",
"Rodamiento"
)))</f>
        <v>Rodamiento</v>
      </c>
      <c r="Q608">
        <f t="shared" si="9"/>
        <v>0</v>
      </c>
    </row>
    <row r="609" spans="1:17" x14ac:dyDescent="0.25">
      <c r="A609">
        <v>8375436</v>
      </c>
      <c r="B609" t="s">
        <v>16</v>
      </c>
      <c r="C609">
        <v>28584174</v>
      </c>
      <c r="D609" t="s">
        <v>7</v>
      </c>
      <c r="E609">
        <v>23004813</v>
      </c>
      <c r="F609" s="2">
        <v>2574419</v>
      </c>
      <c r="G609" s="2">
        <v>48193</v>
      </c>
      <c r="H609">
        <v>30</v>
      </c>
      <c r="I609" s="1">
        <v>42523</v>
      </c>
      <c r="J609" t="s">
        <v>6</v>
      </c>
      <c r="K609">
        <f>COUNTIFS(GESTIONES!$A:$A, BASE_CUENTAS!$A609, GESTIONES!$B:$B, BASE_CUENTAS!$C609)</f>
        <v>3</v>
      </c>
      <c r="L609">
        <f>COUNTIFS(GESTIONES!$A:$A, BASE_CUENTAS!$A609,GESTIONES!$B:$B, BASE_CUENTAS!$C609,GESTIONES!$E:$E, "S")</f>
        <v>2</v>
      </c>
      <c r="M609">
        <f>COUNTIFS(GESTIONES!$A:$A, BASE_CUENTAS!$A609,GESTIONES!$B:$B, BASE_CUENTAS!$C609,GESTIONES!$E:$E, "N")</f>
        <v>1</v>
      </c>
      <c r="N609">
        <f>COUNTIFS(GESTIONES!$A:$A, BASE_CUENTAS!$A609,GESTIONES!$B:$B, BASE_CUENTAS!$C609,GESTIONES!$D:$D, "SMS")</f>
        <v>1</v>
      </c>
      <c r="O609">
        <f>SUMIFS(PAGOS!$D:$D,PAGOS!$A:$A, BASE_CUENTAS!$A609,PAGOS!$B:$B, BASE_CUENTAS!$C609)</f>
        <v>48193</v>
      </c>
      <c r="P609" t="str">
        <f>IF(
VLOOKUP($C609,BASE_CIERRE_MES!$C:$G,5,FALSE)=0,
"Normalización",
IF(
VLOOKUP($C609,BASE_CIERRE_MES!$C:$G,5,FALSE)&lt;$H609,
"Recuperación",
IF(
VLOOKUP($C609,BASE_CIERRE_MES!$C:$G,5,FALSE)=$H609,
"Contención",
"Rodamiento"
)))</f>
        <v>Normalización</v>
      </c>
      <c r="Q609">
        <f t="shared" si="9"/>
        <v>1.8719951958092292E-2</v>
      </c>
    </row>
    <row r="610" spans="1:17" x14ac:dyDescent="0.25">
      <c r="A610">
        <v>8375486</v>
      </c>
      <c r="B610" t="s">
        <v>18</v>
      </c>
      <c r="C610">
        <v>15746667</v>
      </c>
      <c r="D610" t="s">
        <v>7</v>
      </c>
      <c r="E610">
        <v>701221</v>
      </c>
      <c r="F610" s="2">
        <v>701221</v>
      </c>
      <c r="G610" s="2">
        <v>136072</v>
      </c>
      <c r="H610">
        <v>30</v>
      </c>
      <c r="I610" s="1">
        <v>42521</v>
      </c>
      <c r="J610" t="s">
        <v>4</v>
      </c>
      <c r="K610">
        <f>COUNTIFS(GESTIONES!$A:$A, BASE_CUENTAS!$A610, GESTIONES!$B:$B, BASE_CUENTAS!$C610)</f>
        <v>3</v>
      </c>
      <c r="L610">
        <f>COUNTIFS(GESTIONES!$A:$A, BASE_CUENTAS!$A610,GESTIONES!$B:$B, BASE_CUENTAS!$C610,GESTIONES!$E:$E, "S")</f>
        <v>1</v>
      </c>
      <c r="M610">
        <f>COUNTIFS(GESTIONES!$A:$A, BASE_CUENTAS!$A610,GESTIONES!$B:$B, BASE_CUENTAS!$C610,GESTIONES!$E:$E, "N")</f>
        <v>2</v>
      </c>
      <c r="N610">
        <f>COUNTIFS(GESTIONES!$A:$A, BASE_CUENTAS!$A610,GESTIONES!$B:$B, BASE_CUENTAS!$C610,GESTIONES!$D:$D, "SMS")</f>
        <v>0</v>
      </c>
      <c r="O610">
        <f>SUMIFS(PAGOS!$D:$D,PAGOS!$A:$A, BASE_CUENTAS!$A610,PAGOS!$B:$B, BASE_CUENTAS!$C610)</f>
        <v>0</v>
      </c>
      <c r="P610" t="str">
        <f>IF(
VLOOKUP($C610,BASE_CIERRE_MES!$C:$G,5,FALSE)=0,
"Normalización",
IF(
VLOOKUP($C610,BASE_CIERRE_MES!$C:$G,5,FALSE)&lt;$H610,
"Recuperación",
IF(
VLOOKUP($C610,BASE_CIERRE_MES!$C:$G,5,FALSE)=$H610,
"Contención",
"Rodamiento"
)))</f>
        <v>Rodamiento</v>
      </c>
      <c r="Q610">
        <f t="shared" si="9"/>
        <v>0</v>
      </c>
    </row>
    <row r="611" spans="1:17" x14ac:dyDescent="0.25">
      <c r="A611">
        <v>8375778</v>
      </c>
      <c r="B611" t="s">
        <v>17</v>
      </c>
      <c r="C611">
        <v>16122004</v>
      </c>
      <c r="D611" t="s">
        <v>7</v>
      </c>
      <c r="E611">
        <v>9923786</v>
      </c>
      <c r="F611" s="2">
        <v>4549196</v>
      </c>
      <c r="G611" s="2">
        <v>98984</v>
      </c>
      <c r="H611">
        <v>30</v>
      </c>
      <c r="I611" s="1">
        <v>42508</v>
      </c>
      <c r="J611" t="s">
        <v>6</v>
      </c>
      <c r="K611">
        <f>COUNTIFS(GESTIONES!$A:$A, BASE_CUENTAS!$A611, GESTIONES!$B:$B, BASE_CUENTAS!$C611)</f>
        <v>3</v>
      </c>
      <c r="L611">
        <f>COUNTIFS(GESTIONES!$A:$A, BASE_CUENTAS!$A611,GESTIONES!$B:$B, BASE_CUENTAS!$C611,GESTIONES!$E:$E, "S")</f>
        <v>0</v>
      </c>
      <c r="M611">
        <f>COUNTIFS(GESTIONES!$A:$A, BASE_CUENTAS!$A611,GESTIONES!$B:$B, BASE_CUENTAS!$C611,GESTIONES!$E:$E, "N")</f>
        <v>3</v>
      </c>
      <c r="N611">
        <f>COUNTIFS(GESTIONES!$A:$A, BASE_CUENTAS!$A611,GESTIONES!$B:$B, BASE_CUENTAS!$C611,GESTIONES!$D:$D, "SMS")</f>
        <v>1</v>
      </c>
      <c r="O611">
        <f>SUMIFS(PAGOS!$D:$D,PAGOS!$A:$A, BASE_CUENTAS!$A611,PAGOS!$B:$B, BASE_CUENTAS!$C611)</f>
        <v>0</v>
      </c>
      <c r="P611" t="str">
        <f>IF(
VLOOKUP($C611,BASE_CIERRE_MES!$C:$G,5,FALSE)=0,
"Normalización",
IF(
VLOOKUP($C611,BASE_CIERRE_MES!$C:$G,5,FALSE)&lt;$H611,
"Recuperación",
IF(
VLOOKUP($C611,BASE_CIERRE_MES!$C:$G,5,FALSE)=$H611,
"Contención",
"Rodamiento"
)))</f>
        <v>Rodamiento</v>
      </c>
      <c r="Q611">
        <f t="shared" si="9"/>
        <v>0</v>
      </c>
    </row>
    <row r="612" spans="1:17" x14ac:dyDescent="0.25">
      <c r="A612">
        <v>8375887</v>
      </c>
      <c r="B612" t="s">
        <v>18</v>
      </c>
      <c r="C612">
        <v>21569268</v>
      </c>
      <c r="D612" t="s">
        <v>7</v>
      </c>
      <c r="E612">
        <v>3968552</v>
      </c>
      <c r="F612" s="2">
        <v>723227</v>
      </c>
      <c r="G612" s="2">
        <v>135623</v>
      </c>
      <c r="H612">
        <v>30</v>
      </c>
      <c r="I612" s="1">
        <v>42521</v>
      </c>
      <c r="J612" t="s">
        <v>4</v>
      </c>
      <c r="K612">
        <f>COUNTIFS(GESTIONES!$A:$A, BASE_CUENTAS!$A612, GESTIONES!$B:$B, BASE_CUENTAS!$C612)</f>
        <v>3</v>
      </c>
      <c r="L612">
        <f>COUNTIFS(GESTIONES!$A:$A, BASE_CUENTAS!$A612,GESTIONES!$B:$B, BASE_CUENTAS!$C612,GESTIONES!$E:$E, "S")</f>
        <v>1</v>
      </c>
      <c r="M612">
        <f>COUNTIFS(GESTIONES!$A:$A, BASE_CUENTAS!$A612,GESTIONES!$B:$B, BASE_CUENTAS!$C612,GESTIONES!$E:$E, "N")</f>
        <v>2</v>
      </c>
      <c r="N612">
        <f>COUNTIFS(GESTIONES!$A:$A, BASE_CUENTAS!$A612,GESTIONES!$B:$B, BASE_CUENTAS!$C612,GESTIONES!$D:$D, "SMS")</f>
        <v>2</v>
      </c>
      <c r="O612">
        <f>SUMIFS(PAGOS!$D:$D,PAGOS!$A:$A, BASE_CUENTAS!$A612,PAGOS!$B:$B, BASE_CUENTAS!$C612)</f>
        <v>0</v>
      </c>
      <c r="P612" t="str">
        <f>IF(
VLOOKUP($C612,BASE_CIERRE_MES!$C:$G,5,FALSE)=0,
"Normalización",
IF(
VLOOKUP($C612,BASE_CIERRE_MES!$C:$G,5,FALSE)&lt;$H612,
"Recuperación",
IF(
VLOOKUP($C612,BASE_CIERRE_MES!$C:$G,5,FALSE)=$H612,
"Contención",
"Rodamiento"
)))</f>
        <v>Rodamiento</v>
      </c>
      <c r="Q612">
        <f t="shared" si="9"/>
        <v>0</v>
      </c>
    </row>
    <row r="613" spans="1:17" x14ac:dyDescent="0.25">
      <c r="A613">
        <v>8375899</v>
      </c>
      <c r="B613" t="s">
        <v>18</v>
      </c>
      <c r="C613">
        <v>25529213</v>
      </c>
      <c r="D613" t="s">
        <v>7</v>
      </c>
      <c r="E613">
        <v>284166</v>
      </c>
      <c r="F613" s="2">
        <v>284166</v>
      </c>
      <c r="G613" s="2">
        <v>22144</v>
      </c>
      <c r="H613">
        <v>30</v>
      </c>
      <c r="I613" s="1">
        <v>42521</v>
      </c>
      <c r="J613" t="s">
        <v>4</v>
      </c>
      <c r="K613">
        <f>COUNTIFS(GESTIONES!$A:$A, BASE_CUENTAS!$A613, GESTIONES!$B:$B, BASE_CUENTAS!$C613)</f>
        <v>3</v>
      </c>
      <c r="L613">
        <f>COUNTIFS(GESTIONES!$A:$A, BASE_CUENTAS!$A613,GESTIONES!$B:$B, BASE_CUENTAS!$C613,GESTIONES!$E:$E, "S")</f>
        <v>1</v>
      </c>
      <c r="M613">
        <f>COUNTIFS(GESTIONES!$A:$A, BASE_CUENTAS!$A613,GESTIONES!$B:$B, BASE_CUENTAS!$C613,GESTIONES!$E:$E, "N")</f>
        <v>2</v>
      </c>
      <c r="N613">
        <f>COUNTIFS(GESTIONES!$A:$A, BASE_CUENTAS!$A613,GESTIONES!$B:$B, BASE_CUENTAS!$C613,GESTIONES!$D:$D, "SMS")</f>
        <v>0</v>
      </c>
      <c r="O613">
        <f>SUMIFS(PAGOS!$D:$D,PAGOS!$A:$A, BASE_CUENTAS!$A613,PAGOS!$B:$B, BASE_CUENTAS!$C613)</f>
        <v>7381</v>
      </c>
      <c r="P613" t="str">
        <f>IF(
VLOOKUP($C613,BASE_CIERRE_MES!$C:$G,5,FALSE)=0,
"Normalización",
IF(
VLOOKUP($C613,BASE_CIERRE_MES!$C:$G,5,FALSE)&lt;$H613,
"Recuperación",
IF(
VLOOKUP($C613,BASE_CIERRE_MES!$C:$G,5,FALSE)=$H613,
"Contención",
"Rodamiento"
)))</f>
        <v>Contención</v>
      </c>
      <c r="Q613">
        <f t="shared" si="9"/>
        <v>2.5974254485054509E-2</v>
      </c>
    </row>
    <row r="614" spans="1:17" x14ac:dyDescent="0.25">
      <c r="A614">
        <v>8376101</v>
      </c>
      <c r="B614" t="s">
        <v>17</v>
      </c>
      <c r="C614">
        <v>26856140</v>
      </c>
      <c r="D614" t="s">
        <v>7</v>
      </c>
      <c r="E614">
        <v>19396849</v>
      </c>
      <c r="F614" s="2">
        <v>3713691</v>
      </c>
      <c r="G614" s="2">
        <v>411472</v>
      </c>
      <c r="H614">
        <v>30</v>
      </c>
      <c r="I614" s="1">
        <v>42509</v>
      </c>
      <c r="J614" t="s">
        <v>6</v>
      </c>
      <c r="K614">
        <f>COUNTIFS(GESTIONES!$A:$A, BASE_CUENTAS!$A614, GESTIONES!$B:$B, BASE_CUENTAS!$C614)</f>
        <v>3</v>
      </c>
      <c r="L614">
        <f>COUNTIFS(GESTIONES!$A:$A, BASE_CUENTAS!$A614,GESTIONES!$B:$B, BASE_CUENTAS!$C614,GESTIONES!$E:$E, "S")</f>
        <v>1</v>
      </c>
      <c r="M614">
        <f>COUNTIFS(GESTIONES!$A:$A, BASE_CUENTAS!$A614,GESTIONES!$B:$B, BASE_CUENTAS!$C614,GESTIONES!$E:$E, "N")</f>
        <v>2</v>
      </c>
      <c r="N614">
        <f>COUNTIFS(GESTIONES!$A:$A, BASE_CUENTAS!$A614,GESTIONES!$B:$B, BASE_CUENTAS!$C614,GESTIONES!$D:$D, "SMS")</f>
        <v>1</v>
      </c>
      <c r="O614">
        <f>SUMIFS(PAGOS!$D:$D,PAGOS!$A:$A, BASE_CUENTAS!$A614,PAGOS!$B:$B, BASE_CUENTAS!$C614)</f>
        <v>0</v>
      </c>
      <c r="P614" t="str">
        <f>IF(
VLOOKUP($C614,BASE_CIERRE_MES!$C:$G,5,FALSE)=0,
"Normalización",
IF(
VLOOKUP($C614,BASE_CIERRE_MES!$C:$G,5,FALSE)&lt;$H614,
"Recuperación",
IF(
VLOOKUP($C614,BASE_CIERRE_MES!$C:$G,5,FALSE)=$H614,
"Contención",
"Rodamiento"
)))</f>
        <v>Rodamiento</v>
      </c>
      <c r="Q614">
        <f t="shared" si="9"/>
        <v>0</v>
      </c>
    </row>
    <row r="615" spans="1:17" x14ac:dyDescent="0.25">
      <c r="A615">
        <v>8376429</v>
      </c>
      <c r="B615" t="s">
        <v>16</v>
      </c>
      <c r="C615">
        <v>2931482</v>
      </c>
      <c r="D615" t="s">
        <v>8</v>
      </c>
      <c r="E615">
        <v>38842759</v>
      </c>
      <c r="F615" s="2">
        <v>33648680</v>
      </c>
      <c r="G615" s="2">
        <v>2529274</v>
      </c>
      <c r="H615">
        <v>114</v>
      </c>
      <c r="I615" s="1">
        <v>42476</v>
      </c>
      <c r="J615" t="s">
        <v>5</v>
      </c>
      <c r="K615">
        <f>COUNTIFS(GESTIONES!$A:$A, BASE_CUENTAS!$A615, GESTIONES!$B:$B, BASE_CUENTAS!$C615)</f>
        <v>3</v>
      </c>
      <c r="L615">
        <f>COUNTIFS(GESTIONES!$A:$A, BASE_CUENTAS!$A615,GESTIONES!$B:$B, BASE_CUENTAS!$C615,GESTIONES!$E:$E, "S")</f>
        <v>1</v>
      </c>
      <c r="M615">
        <f>COUNTIFS(GESTIONES!$A:$A, BASE_CUENTAS!$A615,GESTIONES!$B:$B, BASE_CUENTAS!$C615,GESTIONES!$E:$E, "N")</f>
        <v>2</v>
      </c>
      <c r="N615">
        <f>COUNTIFS(GESTIONES!$A:$A, BASE_CUENTAS!$A615,GESTIONES!$B:$B, BASE_CUENTAS!$C615,GESTIONES!$D:$D, "SMS")</f>
        <v>0</v>
      </c>
      <c r="O615">
        <f>SUMIFS(PAGOS!$D:$D,PAGOS!$A:$A, BASE_CUENTAS!$A615,PAGOS!$B:$B, BASE_CUENTAS!$C615)</f>
        <v>843091</v>
      </c>
      <c r="P615" t="str">
        <f>IF(
VLOOKUP($C615,BASE_CIERRE_MES!$C:$G,5,FALSE)=0,
"Normalización",
IF(
VLOOKUP($C615,BASE_CIERRE_MES!$C:$G,5,FALSE)&lt;$H615,
"Recuperación",
IF(
VLOOKUP($C615,BASE_CIERRE_MES!$C:$G,5,FALSE)=$H615,
"Contención",
"Rodamiento"
)))</f>
        <v>Rodamiento</v>
      </c>
      <c r="Q615">
        <f t="shared" si="9"/>
        <v>2.5055693120799985E-2</v>
      </c>
    </row>
    <row r="616" spans="1:17" x14ac:dyDescent="0.25">
      <c r="A616">
        <v>8376429</v>
      </c>
      <c r="B616" t="s">
        <v>16</v>
      </c>
      <c r="C616">
        <v>11036696</v>
      </c>
      <c r="D616" t="s">
        <v>7</v>
      </c>
      <c r="E616">
        <v>38842759</v>
      </c>
      <c r="F616" s="2">
        <v>5194078</v>
      </c>
      <c r="G616" s="2">
        <v>1981969</v>
      </c>
      <c r="H616">
        <v>60</v>
      </c>
      <c r="I616" s="1">
        <v>42481</v>
      </c>
      <c r="J616" t="s">
        <v>5</v>
      </c>
      <c r="K616">
        <f>COUNTIFS(GESTIONES!$A:$A, BASE_CUENTAS!$A616, GESTIONES!$B:$B, BASE_CUENTAS!$C616)</f>
        <v>3</v>
      </c>
      <c r="L616">
        <f>COUNTIFS(GESTIONES!$A:$A, BASE_CUENTAS!$A616,GESTIONES!$B:$B, BASE_CUENTAS!$C616,GESTIONES!$E:$E, "S")</f>
        <v>0</v>
      </c>
      <c r="M616">
        <f>COUNTIFS(GESTIONES!$A:$A, BASE_CUENTAS!$A616,GESTIONES!$B:$B, BASE_CUENTAS!$C616,GESTIONES!$E:$E, "N")</f>
        <v>3</v>
      </c>
      <c r="N616">
        <f>COUNTIFS(GESTIONES!$A:$A, BASE_CUENTAS!$A616,GESTIONES!$B:$B, BASE_CUENTAS!$C616,GESTIONES!$D:$D, "SMS")</f>
        <v>1</v>
      </c>
      <c r="O616">
        <f>SUMIFS(PAGOS!$D:$D,PAGOS!$A:$A, BASE_CUENTAS!$A616,PAGOS!$B:$B, BASE_CUENTAS!$C616)</f>
        <v>660657</v>
      </c>
      <c r="P616" t="str">
        <f>IF(
VLOOKUP($C616,BASE_CIERRE_MES!$C:$G,5,FALSE)=0,
"Normalización",
IF(
VLOOKUP($C616,BASE_CIERRE_MES!$C:$G,5,FALSE)&lt;$H616,
"Recuperación",
IF(
VLOOKUP($C616,BASE_CIERRE_MES!$C:$G,5,FALSE)=$H616,
"Contención",
"Rodamiento"
)))</f>
        <v>Contención</v>
      </c>
      <c r="Q616">
        <f t="shared" si="9"/>
        <v>0.12719427779097656</v>
      </c>
    </row>
    <row r="617" spans="1:17" x14ac:dyDescent="0.25">
      <c r="A617">
        <v>8376469</v>
      </c>
      <c r="B617" t="s">
        <v>18</v>
      </c>
      <c r="C617">
        <v>27404462</v>
      </c>
      <c r="D617" t="s">
        <v>7</v>
      </c>
      <c r="E617">
        <v>3494437</v>
      </c>
      <c r="F617" s="2">
        <v>1668050</v>
      </c>
      <c r="G617" s="2">
        <v>27236</v>
      </c>
      <c r="H617">
        <v>30</v>
      </c>
      <c r="I617" s="1">
        <v>42521</v>
      </c>
      <c r="J617" t="s">
        <v>4</v>
      </c>
      <c r="K617">
        <f>COUNTIFS(GESTIONES!$A:$A, BASE_CUENTAS!$A617, GESTIONES!$B:$B, BASE_CUENTAS!$C617)</f>
        <v>3</v>
      </c>
      <c r="L617">
        <f>COUNTIFS(GESTIONES!$A:$A, BASE_CUENTAS!$A617,GESTIONES!$B:$B, BASE_CUENTAS!$C617,GESTIONES!$E:$E, "S")</f>
        <v>1</v>
      </c>
      <c r="M617">
        <f>COUNTIFS(GESTIONES!$A:$A, BASE_CUENTAS!$A617,GESTIONES!$B:$B, BASE_CUENTAS!$C617,GESTIONES!$E:$E, "N")</f>
        <v>2</v>
      </c>
      <c r="N617">
        <f>COUNTIFS(GESTIONES!$A:$A, BASE_CUENTAS!$A617,GESTIONES!$B:$B, BASE_CUENTAS!$C617,GESTIONES!$D:$D, "SMS")</f>
        <v>2</v>
      </c>
      <c r="O617">
        <f>SUMIFS(PAGOS!$D:$D,PAGOS!$A:$A, BASE_CUENTAS!$A617,PAGOS!$B:$B, BASE_CUENTAS!$C617)</f>
        <v>27236</v>
      </c>
      <c r="P617" t="str">
        <f>IF(
VLOOKUP($C617,BASE_CIERRE_MES!$C:$G,5,FALSE)=0,
"Normalización",
IF(
VLOOKUP($C617,BASE_CIERRE_MES!$C:$G,5,FALSE)&lt;$H617,
"Recuperación",
IF(
VLOOKUP($C617,BASE_CIERRE_MES!$C:$G,5,FALSE)=$H617,
"Contención",
"Rodamiento"
)))</f>
        <v>Normalización</v>
      </c>
      <c r="Q617">
        <f t="shared" si="9"/>
        <v>1.6328047720392074E-2</v>
      </c>
    </row>
    <row r="618" spans="1:17" x14ac:dyDescent="0.25">
      <c r="A618">
        <v>8376705</v>
      </c>
      <c r="B618" t="s">
        <v>18</v>
      </c>
      <c r="C618">
        <v>26836468</v>
      </c>
      <c r="D618" t="s">
        <v>7</v>
      </c>
      <c r="E618">
        <v>1289877</v>
      </c>
      <c r="F618" s="2">
        <v>1289877</v>
      </c>
      <c r="G618" s="2">
        <v>98811</v>
      </c>
      <c r="H618">
        <v>30</v>
      </c>
      <c r="I618" s="1">
        <v>42508</v>
      </c>
      <c r="J618" t="s">
        <v>6</v>
      </c>
      <c r="K618">
        <f>COUNTIFS(GESTIONES!$A:$A, BASE_CUENTAS!$A618, GESTIONES!$B:$B, BASE_CUENTAS!$C618)</f>
        <v>3</v>
      </c>
      <c r="L618">
        <f>COUNTIFS(GESTIONES!$A:$A, BASE_CUENTAS!$A618,GESTIONES!$B:$B, BASE_CUENTAS!$C618,GESTIONES!$E:$E, "S")</f>
        <v>1</v>
      </c>
      <c r="M618">
        <f>COUNTIFS(GESTIONES!$A:$A, BASE_CUENTAS!$A618,GESTIONES!$B:$B, BASE_CUENTAS!$C618,GESTIONES!$E:$E, "N")</f>
        <v>2</v>
      </c>
      <c r="N618">
        <f>COUNTIFS(GESTIONES!$A:$A, BASE_CUENTAS!$A618,GESTIONES!$B:$B, BASE_CUENTAS!$C618,GESTIONES!$D:$D, "SMS")</f>
        <v>0</v>
      </c>
      <c r="O618">
        <f>SUMIFS(PAGOS!$D:$D,PAGOS!$A:$A, BASE_CUENTAS!$A618,PAGOS!$B:$B, BASE_CUENTAS!$C618)</f>
        <v>0</v>
      </c>
      <c r="P618" t="str">
        <f>IF(
VLOOKUP($C618,BASE_CIERRE_MES!$C:$G,5,FALSE)=0,
"Normalización",
IF(
VLOOKUP($C618,BASE_CIERRE_MES!$C:$G,5,FALSE)&lt;$H618,
"Recuperación",
IF(
VLOOKUP($C618,BASE_CIERRE_MES!$C:$G,5,FALSE)=$H618,
"Contención",
"Rodamiento"
)))</f>
        <v>Rodamiento</v>
      </c>
      <c r="Q618">
        <f t="shared" si="9"/>
        <v>0</v>
      </c>
    </row>
    <row r="619" spans="1:17" x14ac:dyDescent="0.25">
      <c r="A619">
        <v>8376794</v>
      </c>
      <c r="B619" t="s">
        <v>16</v>
      </c>
      <c r="C619">
        <v>23391044</v>
      </c>
      <c r="D619" t="s">
        <v>7</v>
      </c>
      <c r="E619">
        <v>13783105</v>
      </c>
      <c r="F619" s="2">
        <v>2978400</v>
      </c>
      <c r="G619" s="2">
        <v>425945</v>
      </c>
      <c r="H619">
        <v>60</v>
      </c>
      <c r="I619" s="1">
        <v>42491</v>
      </c>
      <c r="J619" t="s">
        <v>5</v>
      </c>
      <c r="K619">
        <f>COUNTIFS(GESTIONES!$A:$A, BASE_CUENTAS!$A619, GESTIONES!$B:$B, BASE_CUENTAS!$C619)</f>
        <v>3</v>
      </c>
      <c r="L619">
        <f>COUNTIFS(GESTIONES!$A:$A, BASE_CUENTAS!$A619,GESTIONES!$B:$B, BASE_CUENTAS!$C619,GESTIONES!$E:$E, "S")</f>
        <v>1</v>
      </c>
      <c r="M619">
        <f>COUNTIFS(GESTIONES!$A:$A, BASE_CUENTAS!$A619,GESTIONES!$B:$B, BASE_CUENTAS!$C619,GESTIONES!$E:$E, "N")</f>
        <v>2</v>
      </c>
      <c r="N619">
        <f>COUNTIFS(GESTIONES!$A:$A, BASE_CUENTAS!$A619,GESTIONES!$B:$B, BASE_CUENTAS!$C619,GESTIONES!$D:$D, "SMS")</f>
        <v>1</v>
      </c>
      <c r="O619">
        <f>SUMIFS(PAGOS!$D:$D,PAGOS!$A:$A, BASE_CUENTAS!$A619,PAGOS!$B:$B, BASE_CUENTAS!$C619)</f>
        <v>141982</v>
      </c>
      <c r="P619" t="str">
        <f>IF(
VLOOKUP($C619,BASE_CIERRE_MES!$C:$G,5,FALSE)=0,
"Normalización",
IF(
VLOOKUP($C619,BASE_CIERRE_MES!$C:$G,5,FALSE)&lt;$H619,
"Recuperación",
IF(
VLOOKUP($C619,BASE_CIERRE_MES!$C:$G,5,FALSE)=$H619,
"Contención",
"Rodamiento"
)))</f>
        <v>Contención</v>
      </c>
      <c r="Q619">
        <f t="shared" si="9"/>
        <v>4.7670561375235024E-2</v>
      </c>
    </row>
    <row r="620" spans="1:17" x14ac:dyDescent="0.25">
      <c r="A620">
        <v>8376794</v>
      </c>
      <c r="B620" t="s">
        <v>16</v>
      </c>
      <c r="C620">
        <v>23391228</v>
      </c>
      <c r="D620" t="s">
        <v>7</v>
      </c>
      <c r="E620">
        <v>13783105</v>
      </c>
      <c r="F620" s="2">
        <v>6768847</v>
      </c>
      <c r="G620" s="2">
        <v>6768847</v>
      </c>
      <c r="H620">
        <v>150</v>
      </c>
      <c r="I620" s="1">
        <v>42480</v>
      </c>
      <c r="J620" t="s">
        <v>5</v>
      </c>
      <c r="K620">
        <f>COUNTIFS(GESTIONES!$A:$A, BASE_CUENTAS!$A620, GESTIONES!$B:$B, BASE_CUENTAS!$C620)</f>
        <v>3</v>
      </c>
      <c r="L620">
        <f>COUNTIFS(GESTIONES!$A:$A, BASE_CUENTAS!$A620,GESTIONES!$B:$B, BASE_CUENTAS!$C620,GESTIONES!$E:$E, "S")</f>
        <v>1</v>
      </c>
      <c r="M620">
        <f>COUNTIFS(GESTIONES!$A:$A, BASE_CUENTAS!$A620,GESTIONES!$B:$B, BASE_CUENTAS!$C620,GESTIONES!$E:$E, "N")</f>
        <v>2</v>
      </c>
      <c r="N620">
        <f>COUNTIFS(GESTIONES!$A:$A, BASE_CUENTAS!$A620,GESTIONES!$B:$B, BASE_CUENTAS!$C620,GESTIONES!$D:$D, "SMS")</f>
        <v>0</v>
      </c>
      <c r="O620">
        <f>SUMIFS(PAGOS!$D:$D,PAGOS!$A:$A, BASE_CUENTAS!$A620,PAGOS!$B:$B, BASE_CUENTAS!$C620)</f>
        <v>6768847</v>
      </c>
      <c r="P620" t="str">
        <f>IF(
VLOOKUP($C620,BASE_CIERRE_MES!$C:$G,5,FALSE)=0,
"Normalización",
IF(
VLOOKUP($C620,BASE_CIERRE_MES!$C:$G,5,FALSE)&lt;$H620,
"Recuperación",
IF(
VLOOKUP($C620,BASE_CIERRE_MES!$C:$G,5,FALSE)=$H620,
"Contención",
"Rodamiento"
)))</f>
        <v>Normalización</v>
      </c>
      <c r="Q620">
        <f t="shared" si="9"/>
        <v>1</v>
      </c>
    </row>
    <row r="621" spans="1:17" x14ac:dyDescent="0.25">
      <c r="A621">
        <v>8376794</v>
      </c>
      <c r="B621" t="s">
        <v>16</v>
      </c>
      <c r="C621">
        <v>23812937</v>
      </c>
      <c r="D621" t="s">
        <v>7</v>
      </c>
      <c r="E621">
        <v>13783105</v>
      </c>
      <c r="F621" s="2">
        <v>4035858</v>
      </c>
      <c r="G621" s="2">
        <v>4035858</v>
      </c>
      <c r="H621">
        <v>150</v>
      </c>
      <c r="I621" s="1">
        <v>42487</v>
      </c>
      <c r="J621" t="s">
        <v>5</v>
      </c>
      <c r="K621">
        <f>COUNTIFS(GESTIONES!$A:$A, BASE_CUENTAS!$A621, GESTIONES!$B:$B, BASE_CUENTAS!$C621)</f>
        <v>3</v>
      </c>
      <c r="L621">
        <f>COUNTIFS(GESTIONES!$A:$A, BASE_CUENTAS!$A621,GESTIONES!$B:$B, BASE_CUENTAS!$C621,GESTIONES!$E:$E, "S")</f>
        <v>0</v>
      </c>
      <c r="M621">
        <f>COUNTIFS(GESTIONES!$A:$A, BASE_CUENTAS!$A621,GESTIONES!$B:$B, BASE_CUENTAS!$C621,GESTIONES!$E:$E, "N")</f>
        <v>3</v>
      </c>
      <c r="N621">
        <f>COUNTIFS(GESTIONES!$A:$A, BASE_CUENTAS!$A621,GESTIONES!$B:$B, BASE_CUENTAS!$C621,GESTIONES!$D:$D, "SMS")</f>
        <v>1</v>
      </c>
      <c r="O621">
        <f>SUMIFS(PAGOS!$D:$D,PAGOS!$A:$A, BASE_CUENTAS!$A621,PAGOS!$B:$B, BASE_CUENTAS!$C621)</f>
        <v>0</v>
      </c>
      <c r="P621" t="str">
        <f>IF(
VLOOKUP($C621,BASE_CIERRE_MES!$C:$G,5,FALSE)=0,
"Normalización",
IF(
VLOOKUP($C621,BASE_CIERRE_MES!$C:$G,5,FALSE)&lt;$H621,
"Recuperación",
IF(
VLOOKUP($C621,BASE_CIERRE_MES!$C:$G,5,FALSE)=$H621,
"Contención",
"Rodamiento"
)))</f>
        <v>Rodamiento</v>
      </c>
      <c r="Q621">
        <f t="shared" si="9"/>
        <v>0</v>
      </c>
    </row>
    <row r="622" spans="1:17" x14ac:dyDescent="0.25">
      <c r="A622">
        <v>8376891</v>
      </c>
      <c r="B622" t="s">
        <v>18</v>
      </c>
      <c r="C622">
        <v>19336726</v>
      </c>
      <c r="D622" t="s">
        <v>7</v>
      </c>
      <c r="E622">
        <v>3774425</v>
      </c>
      <c r="F622" s="2">
        <v>3749370</v>
      </c>
      <c r="G622" s="2">
        <v>496623</v>
      </c>
      <c r="H622">
        <v>30</v>
      </c>
      <c r="I622" s="1">
        <v>42521</v>
      </c>
      <c r="J622" t="s">
        <v>4</v>
      </c>
      <c r="K622">
        <f>COUNTIFS(GESTIONES!$A:$A, BASE_CUENTAS!$A622, GESTIONES!$B:$B, BASE_CUENTAS!$C622)</f>
        <v>3</v>
      </c>
      <c r="L622">
        <f>COUNTIFS(GESTIONES!$A:$A, BASE_CUENTAS!$A622,GESTIONES!$B:$B, BASE_CUENTAS!$C622,GESTIONES!$E:$E, "S")</f>
        <v>1</v>
      </c>
      <c r="M622">
        <f>COUNTIFS(GESTIONES!$A:$A, BASE_CUENTAS!$A622,GESTIONES!$B:$B, BASE_CUENTAS!$C622,GESTIONES!$E:$E, "N")</f>
        <v>2</v>
      </c>
      <c r="N622">
        <f>COUNTIFS(GESTIONES!$A:$A, BASE_CUENTAS!$A622,GESTIONES!$B:$B, BASE_CUENTAS!$C622,GESTIONES!$D:$D, "SMS")</f>
        <v>2</v>
      </c>
      <c r="O622">
        <f>SUMIFS(PAGOS!$D:$D,PAGOS!$A:$A, BASE_CUENTAS!$A622,PAGOS!$B:$B, BASE_CUENTAS!$C622)</f>
        <v>0</v>
      </c>
      <c r="P622" t="str">
        <f>IF(
VLOOKUP($C622,BASE_CIERRE_MES!$C:$G,5,FALSE)=0,
"Normalización",
IF(
VLOOKUP($C622,BASE_CIERRE_MES!$C:$G,5,FALSE)&lt;$H622,
"Recuperación",
IF(
VLOOKUP($C622,BASE_CIERRE_MES!$C:$G,5,FALSE)=$H622,
"Contención",
"Rodamiento"
)))</f>
        <v>Rodamiento</v>
      </c>
      <c r="Q622">
        <f t="shared" si="9"/>
        <v>0</v>
      </c>
    </row>
    <row r="623" spans="1:17" x14ac:dyDescent="0.25">
      <c r="A623">
        <v>8377130</v>
      </c>
      <c r="B623" t="s">
        <v>18</v>
      </c>
      <c r="C623">
        <v>26512445</v>
      </c>
      <c r="D623" t="s">
        <v>7</v>
      </c>
      <c r="E623">
        <v>551516</v>
      </c>
      <c r="F623" s="2">
        <v>551516</v>
      </c>
      <c r="G623" s="2">
        <v>23821</v>
      </c>
      <c r="H623">
        <v>30</v>
      </c>
      <c r="I623" s="1">
        <v>42521</v>
      </c>
      <c r="J623" t="s">
        <v>4</v>
      </c>
      <c r="K623">
        <f>COUNTIFS(GESTIONES!$A:$A, BASE_CUENTAS!$A623, GESTIONES!$B:$B, BASE_CUENTAS!$C623)</f>
        <v>3</v>
      </c>
      <c r="L623">
        <f>COUNTIFS(GESTIONES!$A:$A, BASE_CUENTAS!$A623,GESTIONES!$B:$B, BASE_CUENTAS!$C623,GESTIONES!$E:$E, "S")</f>
        <v>1</v>
      </c>
      <c r="M623">
        <f>COUNTIFS(GESTIONES!$A:$A, BASE_CUENTAS!$A623,GESTIONES!$B:$B, BASE_CUENTAS!$C623,GESTIONES!$E:$E, "N")</f>
        <v>2</v>
      </c>
      <c r="N623">
        <f>COUNTIFS(GESTIONES!$A:$A, BASE_CUENTAS!$A623,GESTIONES!$B:$B, BASE_CUENTAS!$C623,GESTIONES!$D:$D, "SMS")</f>
        <v>0</v>
      </c>
      <c r="O623">
        <f>SUMIFS(PAGOS!$D:$D,PAGOS!$A:$A, BASE_CUENTAS!$A623,PAGOS!$B:$B, BASE_CUENTAS!$C623)</f>
        <v>0</v>
      </c>
      <c r="P623" t="str">
        <f>IF(
VLOOKUP($C623,BASE_CIERRE_MES!$C:$G,5,FALSE)=0,
"Normalización",
IF(
VLOOKUP($C623,BASE_CIERRE_MES!$C:$G,5,FALSE)&lt;$H623,
"Recuperación",
IF(
VLOOKUP($C623,BASE_CIERRE_MES!$C:$G,5,FALSE)=$H623,
"Contención",
"Rodamiento"
)))</f>
        <v>Rodamiento</v>
      </c>
      <c r="Q623">
        <f t="shared" si="9"/>
        <v>0</v>
      </c>
    </row>
    <row r="624" spans="1:17" x14ac:dyDescent="0.25">
      <c r="A624">
        <v>8377227</v>
      </c>
      <c r="B624" t="s">
        <v>18</v>
      </c>
      <c r="C624">
        <v>24816925</v>
      </c>
      <c r="D624" t="s">
        <v>7</v>
      </c>
      <c r="E624">
        <v>1083760</v>
      </c>
      <c r="F624" s="2">
        <v>1083760</v>
      </c>
      <c r="G624" s="2">
        <v>93147</v>
      </c>
      <c r="H624">
        <v>30</v>
      </c>
      <c r="I624" s="1">
        <v>42508</v>
      </c>
      <c r="J624" t="s">
        <v>6</v>
      </c>
      <c r="K624">
        <f>COUNTIFS(GESTIONES!$A:$A, BASE_CUENTAS!$A624, GESTIONES!$B:$B, BASE_CUENTAS!$C624)</f>
        <v>3</v>
      </c>
      <c r="L624">
        <f>COUNTIFS(GESTIONES!$A:$A, BASE_CUENTAS!$A624,GESTIONES!$B:$B, BASE_CUENTAS!$C624,GESTIONES!$E:$E, "S")</f>
        <v>1</v>
      </c>
      <c r="M624">
        <f>COUNTIFS(GESTIONES!$A:$A, BASE_CUENTAS!$A624,GESTIONES!$B:$B, BASE_CUENTAS!$C624,GESTIONES!$E:$E, "N")</f>
        <v>2</v>
      </c>
      <c r="N624">
        <f>COUNTIFS(GESTIONES!$A:$A, BASE_CUENTAS!$A624,GESTIONES!$B:$B, BASE_CUENTAS!$C624,GESTIONES!$D:$D, "SMS")</f>
        <v>1</v>
      </c>
      <c r="O624">
        <f>SUMIFS(PAGOS!$D:$D,PAGOS!$A:$A, BASE_CUENTAS!$A624,PAGOS!$B:$B, BASE_CUENTAS!$C624)</f>
        <v>93147</v>
      </c>
      <c r="P624" t="str">
        <f>IF(
VLOOKUP($C624,BASE_CIERRE_MES!$C:$G,5,FALSE)=0,
"Normalización",
IF(
VLOOKUP($C624,BASE_CIERRE_MES!$C:$G,5,FALSE)&lt;$H624,
"Recuperación",
IF(
VLOOKUP($C624,BASE_CIERRE_MES!$C:$G,5,FALSE)=$H624,
"Contención",
"Rodamiento"
)))</f>
        <v>Normalización</v>
      </c>
      <c r="Q624">
        <f t="shared" si="9"/>
        <v>8.5947995866243451E-2</v>
      </c>
    </row>
    <row r="625" spans="1:17" x14ac:dyDescent="0.25">
      <c r="A625">
        <v>8377292</v>
      </c>
      <c r="B625" t="s">
        <v>18</v>
      </c>
      <c r="C625">
        <v>26246020</v>
      </c>
      <c r="D625" t="s">
        <v>7</v>
      </c>
      <c r="E625">
        <v>3716702</v>
      </c>
      <c r="F625" s="2">
        <v>1249723</v>
      </c>
      <c r="G625" s="2">
        <v>369898</v>
      </c>
      <c r="H625">
        <v>60</v>
      </c>
      <c r="I625" s="1">
        <v>42524</v>
      </c>
      <c r="J625" t="s">
        <v>6</v>
      </c>
      <c r="K625">
        <f>COUNTIFS(GESTIONES!$A:$A, BASE_CUENTAS!$A625, GESTIONES!$B:$B, BASE_CUENTAS!$C625)</f>
        <v>3</v>
      </c>
      <c r="L625">
        <f>COUNTIFS(GESTIONES!$A:$A, BASE_CUENTAS!$A625,GESTIONES!$B:$B, BASE_CUENTAS!$C625,GESTIONES!$E:$E, "S")</f>
        <v>2</v>
      </c>
      <c r="M625">
        <f>COUNTIFS(GESTIONES!$A:$A, BASE_CUENTAS!$A625,GESTIONES!$B:$B, BASE_CUENTAS!$C625,GESTIONES!$E:$E, "N")</f>
        <v>1</v>
      </c>
      <c r="N625">
        <f>COUNTIFS(GESTIONES!$A:$A, BASE_CUENTAS!$A625,GESTIONES!$B:$B, BASE_CUENTAS!$C625,GESTIONES!$D:$D, "SMS")</f>
        <v>0</v>
      </c>
      <c r="O625">
        <f>SUMIFS(PAGOS!$D:$D,PAGOS!$A:$A, BASE_CUENTAS!$A625,PAGOS!$B:$B, BASE_CUENTAS!$C625)</f>
        <v>369898</v>
      </c>
      <c r="P625" t="str">
        <f>IF(
VLOOKUP($C625,BASE_CIERRE_MES!$C:$G,5,FALSE)=0,
"Normalización",
IF(
VLOOKUP($C625,BASE_CIERRE_MES!$C:$G,5,FALSE)&lt;$H625,
"Recuperación",
IF(
VLOOKUP($C625,BASE_CIERRE_MES!$C:$G,5,FALSE)=$H625,
"Contención",
"Rodamiento"
)))</f>
        <v>Normalización</v>
      </c>
      <c r="Q625">
        <f t="shared" si="9"/>
        <v>0.29598399005219556</v>
      </c>
    </row>
    <row r="626" spans="1:17" x14ac:dyDescent="0.25">
      <c r="A626">
        <v>8377553</v>
      </c>
      <c r="B626" t="s">
        <v>17</v>
      </c>
      <c r="C626">
        <v>25413634</v>
      </c>
      <c r="D626" t="s">
        <v>11</v>
      </c>
      <c r="E626">
        <v>4865647</v>
      </c>
      <c r="F626" s="2">
        <v>4467765</v>
      </c>
      <c r="G626" s="2">
        <v>882011</v>
      </c>
      <c r="H626">
        <v>191</v>
      </c>
      <c r="I626" s="1">
        <v>42459</v>
      </c>
      <c r="J626" t="s">
        <v>5</v>
      </c>
      <c r="K626">
        <f>COUNTIFS(GESTIONES!$A:$A, BASE_CUENTAS!$A626, GESTIONES!$B:$B, BASE_CUENTAS!$C626)</f>
        <v>3</v>
      </c>
      <c r="L626">
        <f>COUNTIFS(GESTIONES!$A:$A, BASE_CUENTAS!$A626,GESTIONES!$B:$B, BASE_CUENTAS!$C626,GESTIONES!$E:$E, "S")</f>
        <v>1</v>
      </c>
      <c r="M626">
        <f>COUNTIFS(GESTIONES!$A:$A, BASE_CUENTAS!$A626,GESTIONES!$B:$B, BASE_CUENTAS!$C626,GESTIONES!$E:$E, "N")</f>
        <v>2</v>
      </c>
      <c r="N626">
        <f>COUNTIFS(GESTIONES!$A:$A, BASE_CUENTAS!$A626,GESTIONES!$B:$B, BASE_CUENTAS!$C626,GESTIONES!$D:$D, "SMS")</f>
        <v>0</v>
      </c>
      <c r="O626">
        <f>SUMIFS(PAGOS!$D:$D,PAGOS!$A:$A, BASE_CUENTAS!$A626,PAGOS!$B:$B, BASE_CUENTAS!$C626)</f>
        <v>294004</v>
      </c>
      <c r="P626" t="str">
        <f>IF(
VLOOKUP($C626,BASE_CIERRE_MES!$C:$G,5,FALSE)=0,
"Normalización",
IF(
VLOOKUP($C626,BASE_CIERRE_MES!$C:$G,5,FALSE)&lt;$H626,
"Recuperación",
IF(
VLOOKUP($C626,BASE_CIERRE_MES!$C:$G,5,FALSE)=$H626,
"Contención",
"Rodamiento"
)))</f>
        <v>Contención</v>
      </c>
      <c r="Q626">
        <f t="shared" si="9"/>
        <v>6.580560973999304E-2</v>
      </c>
    </row>
    <row r="627" spans="1:17" x14ac:dyDescent="0.25">
      <c r="A627">
        <v>8377553</v>
      </c>
      <c r="B627" t="s">
        <v>17</v>
      </c>
      <c r="C627">
        <v>26862382</v>
      </c>
      <c r="D627" t="s">
        <v>7</v>
      </c>
      <c r="E627">
        <v>4865647</v>
      </c>
      <c r="F627" s="2">
        <v>397881</v>
      </c>
      <c r="G627" s="2">
        <v>153708</v>
      </c>
      <c r="H627">
        <v>90</v>
      </c>
      <c r="I627" s="1">
        <v>42450</v>
      </c>
      <c r="J627" t="s">
        <v>5</v>
      </c>
      <c r="K627">
        <f>COUNTIFS(GESTIONES!$A:$A, BASE_CUENTAS!$A627, GESTIONES!$B:$B, BASE_CUENTAS!$C627)</f>
        <v>3</v>
      </c>
      <c r="L627">
        <f>COUNTIFS(GESTIONES!$A:$A, BASE_CUENTAS!$A627,GESTIONES!$B:$B, BASE_CUENTAS!$C627,GESTIONES!$E:$E, "S")</f>
        <v>0</v>
      </c>
      <c r="M627">
        <f>COUNTIFS(GESTIONES!$A:$A, BASE_CUENTAS!$A627,GESTIONES!$B:$B, BASE_CUENTAS!$C627,GESTIONES!$E:$E, "N")</f>
        <v>3</v>
      </c>
      <c r="N627">
        <f>COUNTIFS(GESTIONES!$A:$A, BASE_CUENTAS!$A627,GESTIONES!$B:$B, BASE_CUENTAS!$C627,GESTIONES!$D:$D, "SMS")</f>
        <v>2</v>
      </c>
      <c r="O627">
        <f>SUMIFS(PAGOS!$D:$D,PAGOS!$A:$A, BASE_CUENTAS!$A627,PAGOS!$B:$B, BASE_CUENTAS!$C627)</f>
        <v>153708</v>
      </c>
      <c r="P627" t="str">
        <f>IF(
VLOOKUP($C627,BASE_CIERRE_MES!$C:$G,5,FALSE)=0,
"Normalización",
IF(
VLOOKUP($C627,BASE_CIERRE_MES!$C:$G,5,FALSE)&lt;$H627,
"Recuperación",
IF(
VLOOKUP($C627,BASE_CIERRE_MES!$C:$G,5,FALSE)=$H627,
"Contención",
"Rodamiento"
)))</f>
        <v>Normalización</v>
      </c>
      <c r="Q627">
        <f t="shared" si="9"/>
        <v>0.38631651172084114</v>
      </c>
    </row>
    <row r="628" spans="1:17" x14ac:dyDescent="0.25">
      <c r="A628">
        <v>8377729</v>
      </c>
      <c r="B628" t="s">
        <v>17</v>
      </c>
      <c r="C628">
        <v>21626178</v>
      </c>
      <c r="D628" t="s">
        <v>7</v>
      </c>
      <c r="E628">
        <v>23173720</v>
      </c>
      <c r="F628" s="2">
        <v>3369065</v>
      </c>
      <c r="G628" s="2">
        <v>3902</v>
      </c>
      <c r="H628">
        <v>30</v>
      </c>
      <c r="I628" s="1">
        <v>42521</v>
      </c>
      <c r="J628" t="s">
        <v>4</v>
      </c>
      <c r="K628">
        <f>COUNTIFS(GESTIONES!$A:$A, BASE_CUENTAS!$A628, GESTIONES!$B:$B, BASE_CUENTAS!$C628)</f>
        <v>3</v>
      </c>
      <c r="L628">
        <f>COUNTIFS(GESTIONES!$A:$A, BASE_CUENTAS!$A628,GESTIONES!$B:$B, BASE_CUENTAS!$C628,GESTIONES!$E:$E, "S")</f>
        <v>1</v>
      </c>
      <c r="M628">
        <f>COUNTIFS(GESTIONES!$A:$A, BASE_CUENTAS!$A628,GESTIONES!$B:$B, BASE_CUENTAS!$C628,GESTIONES!$E:$E, "N")</f>
        <v>2</v>
      </c>
      <c r="N628">
        <f>COUNTIFS(GESTIONES!$A:$A, BASE_CUENTAS!$A628,GESTIONES!$B:$B, BASE_CUENTAS!$C628,GESTIONES!$D:$D, "SMS")</f>
        <v>1</v>
      </c>
      <c r="O628">
        <f>SUMIFS(PAGOS!$D:$D,PAGOS!$A:$A, BASE_CUENTAS!$A628,PAGOS!$B:$B, BASE_CUENTAS!$C628)</f>
        <v>3902</v>
      </c>
      <c r="P628" t="str">
        <f>IF(
VLOOKUP($C628,BASE_CIERRE_MES!$C:$G,5,FALSE)=0,
"Normalización",
IF(
VLOOKUP($C628,BASE_CIERRE_MES!$C:$G,5,FALSE)&lt;$H628,
"Recuperación",
IF(
VLOOKUP($C628,BASE_CIERRE_MES!$C:$G,5,FALSE)=$H628,
"Contención",
"Rodamiento"
)))</f>
        <v>Normalización</v>
      </c>
      <c r="Q628">
        <f t="shared" si="9"/>
        <v>1.1581848376329932E-3</v>
      </c>
    </row>
    <row r="629" spans="1:17" x14ac:dyDescent="0.25">
      <c r="A629">
        <v>8377815</v>
      </c>
      <c r="B629" t="s">
        <v>18</v>
      </c>
      <c r="C629">
        <v>23968455</v>
      </c>
      <c r="D629" t="s">
        <v>7</v>
      </c>
      <c r="E629">
        <v>282300</v>
      </c>
      <c r="F629" s="2">
        <v>282300</v>
      </c>
      <c r="G629" s="2">
        <v>90793</v>
      </c>
      <c r="H629">
        <v>30</v>
      </c>
      <c r="I629" s="1">
        <v>42521</v>
      </c>
      <c r="J629" t="s">
        <v>4</v>
      </c>
      <c r="K629">
        <f>COUNTIFS(GESTIONES!$A:$A, BASE_CUENTAS!$A629, GESTIONES!$B:$B, BASE_CUENTAS!$C629)</f>
        <v>3</v>
      </c>
      <c r="L629">
        <f>COUNTIFS(GESTIONES!$A:$A, BASE_CUENTAS!$A629,GESTIONES!$B:$B, BASE_CUENTAS!$C629,GESTIONES!$E:$E, "S")</f>
        <v>1</v>
      </c>
      <c r="M629">
        <f>COUNTIFS(GESTIONES!$A:$A, BASE_CUENTAS!$A629,GESTIONES!$B:$B, BASE_CUENTAS!$C629,GESTIONES!$E:$E, "N")</f>
        <v>2</v>
      </c>
      <c r="N629">
        <f>COUNTIFS(GESTIONES!$A:$A, BASE_CUENTAS!$A629,GESTIONES!$B:$B, BASE_CUENTAS!$C629,GESTIONES!$D:$D, "SMS")</f>
        <v>1</v>
      </c>
      <c r="O629">
        <f>SUMIFS(PAGOS!$D:$D,PAGOS!$A:$A, BASE_CUENTAS!$A629,PAGOS!$B:$B, BASE_CUENTAS!$C629)</f>
        <v>45397</v>
      </c>
      <c r="P629" t="str">
        <f>IF(
VLOOKUP($C629,BASE_CIERRE_MES!$C:$G,5,FALSE)=0,
"Normalización",
IF(
VLOOKUP($C629,BASE_CIERRE_MES!$C:$G,5,FALSE)&lt;$H629,
"Recuperación",
IF(
VLOOKUP($C629,BASE_CIERRE_MES!$C:$G,5,FALSE)=$H629,
"Contención",
"Rodamiento"
)))</f>
        <v>Recuperación</v>
      </c>
      <c r="Q629">
        <f t="shared" si="9"/>
        <v>0.16081119376549768</v>
      </c>
    </row>
    <row r="630" spans="1:17" x14ac:dyDescent="0.25">
      <c r="A630">
        <v>8377851</v>
      </c>
      <c r="B630" t="s">
        <v>17</v>
      </c>
      <c r="C630">
        <v>23919595</v>
      </c>
      <c r="D630" t="s">
        <v>7</v>
      </c>
      <c r="E630">
        <v>6319524</v>
      </c>
      <c r="F630" s="2">
        <v>428572</v>
      </c>
      <c r="G630" s="2">
        <v>167285</v>
      </c>
      <c r="H630">
        <v>90</v>
      </c>
      <c r="I630" s="1">
        <v>42508</v>
      </c>
      <c r="J630" t="s">
        <v>6</v>
      </c>
      <c r="K630">
        <f>COUNTIFS(GESTIONES!$A:$A, BASE_CUENTAS!$A630, GESTIONES!$B:$B, BASE_CUENTAS!$C630)</f>
        <v>3</v>
      </c>
      <c r="L630">
        <f>COUNTIFS(GESTIONES!$A:$A, BASE_CUENTAS!$A630,GESTIONES!$B:$B, BASE_CUENTAS!$C630,GESTIONES!$E:$E, "S")</f>
        <v>1</v>
      </c>
      <c r="M630">
        <f>COUNTIFS(GESTIONES!$A:$A, BASE_CUENTAS!$A630,GESTIONES!$B:$B, BASE_CUENTAS!$C630,GESTIONES!$E:$E, "N")</f>
        <v>2</v>
      </c>
      <c r="N630">
        <f>COUNTIFS(GESTIONES!$A:$A, BASE_CUENTAS!$A630,GESTIONES!$B:$B, BASE_CUENTAS!$C630,GESTIONES!$D:$D, "SMS")</f>
        <v>0</v>
      </c>
      <c r="O630">
        <f>SUMIFS(PAGOS!$D:$D,PAGOS!$A:$A, BASE_CUENTAS!$A630,PAGOS!$B:$B, BASE_CUENTAS!$C630)</f>
        <v>428572</v>
      </c>
      <c r="P630" t="str">
        <f>IF(
VLOOKUP($C630,BASE_CIERRE_MES!$C:$G,5,FALSE)=0,
"Normalización",
IF(
VLOOKUP($C630,BASE_CIERRE_MES!$C:$G,5,FALSE)&lt;$H630,
"Recuperación",
IF(
VLOOKUP($C630,BASE_CIERRE_MES!$C:$G,5,FALSE)=$H630,
"Contención",
"Rodamiento"
)))</f>
        <v>Normalización</v>
      </c>
      <c r="Q630">
        <f t="shared" si="9"/>
        <v>1</v>
      </c>
    </row>
    <row r="631" spans="1:17" x14ac:dyDescent="0.25">
      <c r="A631">
        <v>8377968</v>
      </c>
      <c r="B631" t="s">
        <v>17</v>
      </c>
      <c r="C631">
        <v>27872972</v>
      </c>
      <c r="D631" t="s">
        <v>7</v>
      </c>
      <c r="E631">
        <v>8355027</v>
      </c>
      <c r="F631" s="2">
        <v>8355027</v>
      </c>
      <c r="G631" s="2">
        <v>500770</v>
      </c>
      <c r="H631">
        <v>30</v>
      </c>
      <c r="I631" s="1">
        <v>42521</v>
      </c>
      <c r="J631" t="s">
        <v>4</v>
      </c>
      <c r="K631">
        <f>COUNTIFS(GESTIONES!$A:$A, BASE_CUENTAS!$A631, GESTIONES!$B:$B, BASE_CUENTAS!$C631)</f>
        <v>3</v>
      </c>
      <c r="L631">
        <f>COUNTIFS(GESTIONES!$A:$A, BASE_CUENTAS!$A631,GESTIONES!$B:$B, BASE_CUENTAS!$C631,GESTIONES!$E:$E, "S")</f>
        <v>1</v>
      </c>
      <c r="M631">
        <f>COUNTIFS(GESTIONES!$A:$A, BASE_CUENTAS!$A631,GESTIONES!$B:$B, BASE_CUENTAS!$C631,GESTIONES!$E:$E, "N")</f>
        <v>2</v>
      </c>
      <c r="N631">
        <f>COUNTIFS(GESTIONES!$A:$A, BASE_CUENTAS!$A631,GESTIONES!$B:$B, BASE_CUENTAS!$C631,GESTIONES!$D:$D, "SMS")</f>
        <v>0</v>
      </c>
      <c r="O631">
        <f>SUMIFS(PAGOS!$D:$D,PAGOS!$A:$A, BASE_CUENTAS!$A631,PAGOS!$B:$B, BASE_CUENTAS!$C631)</f>
        <v>0</v>
      </c>
      <c r="P631" t="str">
        <f>IF(
VLOOKUP($C631,BASE_CIERRE_MES!$C:$G,5,FALSE)=0,
"Normalización",
IF(
VLOOKUP($C631,BASE_CIERRE_MES!$C:$G,5,FALSE)&lt;$H631,
"Recuperación",
IF(
VLOOKUP($C631,BASE_CIERRE_MES!$C:$G,5,FALSE)=$H631,
"Contención",
"Rodamiento"
)))</f>
        <v>Rodamiento</v>
      </c>
      <c r="Q631">
        <f t="shared" si="9"/>
        <v>0</v>
      </c>
    </row>
    <row r="632" spans="1:17" x14ac:dyDescent="0.25">
      <c r="A632">
        <v>8378091</v>
      </c>
      <c r="B632" t="s">
        <v>18</v>
      </c>
      <c r="C632">
        <v>26261467</v>
      </c>
      <c r="D632" t="s">
        <v>7</v>
      </c>
      <c r="E632">
        <v>2423109</v>
      </c>
      <c r="F632" s="2">
        <v>2423109</v>
      </c>
      <c r="G632" s="2">
        <v>2423109</v>
      </c>
      <c r="H632">
        <v>150</v>
      </c>
      <c r="I632" s="1">
        <v>42519</v>
      </c>
      <c r="J632" t="s">
        <v>5</v>
      </c>
      <c r="K632">
        <f>COUNTIFS(GESTIONES!$A:$A, BASE_CUENTAS!$A632, GESTIONES!$B:$B, BASE_CUENTAS!$C632)</f>
        <v>3</v>
      </c>
      <c r="L632">
        <f>COUNTIFS(GESTIONES!$A:$A, BASE_CUENTAS!$A632,GESTIONES!$B:$B, BASE_CUENTAS!$C632,GESTIONES!$E:$E, "S")</f>
        <v>0</v>
      </c>
      <c r="M632">
        <f>COUNTIFS(GESTIONES!$A:$A, BASE_CUENTAS!$A632,GESTIONES!$B:$B, BASE_CUENTAS!$C632,GESTIONES!$E:$E, "N")</f>
        <v>3</v>
      </c>
      <c r="N632">
        <f>COUNTIFS(GESTIONES!$A:$A, BASE_CUENTAS!$A632,GESTIONES!$B:$B, BASE_CUENTAS!$C632,GESTIONES!$D:$D, "SMS")</f>
        <v>2</v>
      </c>
      <c r="O632">
        <f>SUMIFS(PAGOS!$D:$D,PAGOS!$A:$A, BASE_CUENTAS!$A632,PAGOS!$B:$B, BASE_CUENTAS!$C632)</f>
        <v>0</v>
      </c>
      <c r="P632" t="str">
        <f>IF(
VLOOKUP($C632,BASE_CIERRE_MES!$C:$G,5,FALSE)=0,
"Normalización",
IF(
VLOOKUP($C632,BASE_CIERRE_MES!$C:$G,5,FALSE)&lt;$H632,
"Recuperación",
IF(
VLOOKUP($C632,BASE_CIERRE_MES!$C:$G,5,FALSE)=$H632,
"Contención",
"Rodamiento"
)))</f>
        <v>Rodamiento</v>
      </c>
      <c r="Q632">
        <f t="shared" si="9"/>
        <v>0</v>
      </c>
    </row>
    <row r="633" spans="1:17" x14ac:dyDescent="0.25">
      <c r="A633">
        <v>8378283</v>
      </c>
      <c r="B633" t="s">
        <v>17</v>
      </c>
      <c r="C633">
        <v>25804857</v>
      </c>
      <c r="D633" t="s">
        <v>7</v>
      </c>
      <c r="E633">
        <v>9580255</v>
      </c>
      <c r="F633" s="2">
        <v>9580255</v>
      </c>
      <c r="G633" s="2">
        <v>1084306</v>
      </c>
      <c r="H633">
        <v>30</v>
      </c>
      <c r="I633" s="1">
        <v>42508</v>
      </c>
      <c r="J633" t="s">
        <v>6</v>
      </c>
      <c r="K633">
        <f>COUNTIFS(GESTIONES!$A:$A, BASE_CUENTAS!$A633, GESTIONES!$B:$B, BASE_CUENTAS!$C633)</f>
        <v>3</v>
      </c>
      <c r="L633">
        <f>COUNTIFS(GESTIONES!$A:$A, BASE_CUENTAS!$A633,GESTIONES!$B:$B, BASE_CUENTAS!$C633,GESTIONES!$E:$E, "S")</f>
        <v>1</v>
      </c>
      <c r="M633">
        <f>COUNTIFS(GESTIONES!$A:$A, BASE_CUENTAS!$A633,GESTIONES!$B:$B, BASE_CUENTAS!$C633,GESTIONES!$E:$E, "N")</f>
        <v>2</v>
      </c>
      <c r="N633">
        <f>COUNTIFS(GESTIONES!$A:$A, BASE_CUENTAS!$A633,GESTIONES!$B:$B, BASE_CUENTAS!$C633,GESTIONES!$D:$D, "SMS")</f>
        <v>1</v>
      </c>
      <c r="O633">
        <f>SUMIFS(PAGOS!$D:$D,PAGOS!$A:$A, BASE_CUENTAS!$A633,PAGOS!$B:$B, BASE_CUENTAS!$C633)</f>
        <v>542153</v>
      </c>
      <c r="P633" t="str">
        <f>IF(
VLOOKUP($C633,BASE_CIERRE_MES!$C:$G,5,FALSE)=0,
"Normalización",
IF(
VLOOKUP($C633,BASE_CIERRE_MES!$C:$G,5,FALSE)&lt;$H633,
"Recuperación",
IF(
VLOOKUP($C633,BASE_CIERRE_MES!$C:$G,5,FALSE)=$H633,
"Contención",
"Rodamiento"
)))</f>
        <v>Recuperación</v>
      </c>
      <c r="Q633">
        <f t="shared" si="9"/>
        <v>5.659066486226097E-2</v>
      </c>
    </row>
    <row r="634" spans="1:17" x14ac:dyDescent="0.25">
      <c r="A634">
        <v>8378400</v>
      </c>
      <c r="B634" t="s">
        <v>17</v>
      </c>
      <c r="C634">
        <v>26843926</v>
      </c>
      <c r="D634" t="s">
        <v>7</v>
      </c>
      <c r="E634">
        <v>9153604</v>
      </c>
      <c r="F634" s="2">
        <v>4500004</v>
      </c>
      <c r="G634" s="2">
        <v>410874</v>
      </c>
      <c r="H634">
        <v>30</v>
      </c>
      <c r="I634" s="1">
        <v>42509</v>
      </c>
      <c r="J634" t="s">
        <v>6</v>
      </c>
      <c r="K634">
        <f>COUNTIFS(GESTIONES!$A:$A, BASE_CUENTAS!$A634, GESTIONES!$B:$B, BASE_CUENTAS!$C634)</f>
        <v>3</v>
      </c>
      <c r="L634">
        <f>COUNTIFS(GESTIONES!$A:$A, BASE_CUENTAS!$A634,GESTIONES!$B:$B, BASE_CUENTAS!$C634,GESTIONES!$E:$E, "S")</f>
        <v>1</v>
      </c>
      <c r="M634">
        <f>COUNTIFS(GESTIONES!$A:$A, BASE_CUENTAS!$A634,GESTIONES!$B:$B, BASE_CUENTAS!$C634,GESTIONES!$E:$E, "N")</f>
        <v>2</v>
      </c>
      <c r="N634">
        <f>COUNTIFS(GESTIONES!$A:$A, BASE_CUENTAS!$A634,GESTIONES!$B:$B, BASE_CUENTAS!$C634,GESTIONES!$D:$D, "SMS")</f>
        <v>1</v>
      </c>
      <c r="O634">
        <f>SUMIFS(PAGOS!$D:$D,PAGOS!$A:$A, BASE_CUENTAS!$A634,PAGOS!$B:$B, BASE_CUENTAS!$C634)</f>
        <v>410874</v>
      </c>
      <c r="P634" t="str">
        <f>IF(
VLOOKUP($C634,BASE_CIERRE_MES!$C:$G,5,FALSE)=0,
"Normalización",
IF(
VLOOKUP($C634,BASE_CIERRE_MES!$C:$G,5,FALSE)&lt;$H634,
"Recuperación",
IF(
VLOOKUP($C634,BASE_CIERRE_MES!$C:$G,5,FALSE)=$H634,
"Contención",
"Rodamiento"
)))</f>
        <v>Normalización</v>
      </c>
      <c r="Q634">
        <f t="shared" si="9"/>
        <v>9.1305252173109183E-2</v>
      </c>
    </row>
    <row r="635" spans="1:17" x14ac:dyDescent="0.25">
      <c r="A635">
        <v>8378400</v>
      </c>
      <c r="B635" t="s">
        <v>17</v>
      </c>
      <c r="C635">
        <v>26843927</v>
      </c>
      <c r="D635" t="s">
        <v>7</v>
      </c>
      <c r="E635">
        <v>9153604</v>
      </c>
      <c r="F635" s="2">
        <v>4653600</v>
      </c>
      <c r="G635" s="2">
        <v>558027</v>
      </c>
      <c r="H635">
        <v>30</v>
      </c>
      <c r="I635" s="1">
        <v>42509</v>
      </c>
      <c r="J635" t="s">
        <v>6</v>
      </c>
      <c r="K635">
        <f>COUNTIFS(GESTIONES!$A:$A, BASE_CUENTAS!$A635, GESTIONES!$B:$B, BASE_CUENTAS!$C635)</f>
        <v>3</v>
      </c>
      <c r="L635">
        <f>COUNTIFS(GESTIONES!$A:$A, BASE_CUENTAS!$A635,GESTIONES!$B:$B, BASE_CUENTAS!$C635,GESTIONES!$E:$E, "S")</f>
        <v>1</v>
      </c>
      <c r="M635">
        <f>COUNTIFS(GESTIONES!$A:$A, BASE_CUENTAS!$A635,GESTIONES!$B:$B, BASE_CUENTAS!$C635,GESTIONES!$E:$E, "N")</f>
        <v>2</v>
      </c>
      <c r="N635">
        <f>COUNTIFS(GESTIONES!$A:$A, BASE_CUENTAS!$A635,GESTIONES!$B:$B, BASE_CUENTAS!$C635,GESTIONES!$D:$D, "SMS")</f>
        <v>0</v>
      </c>
      <c r="O635">
        <f>SUMIFS(PAGOS!$D:$D,PAGOS!$A:$A, BASE_CUENTAS!$A635,PAGOS!$B:$B, BASE_CUENTAS!$C635)</f>
        <v>186009</v>
      </c>
      <c r="P635" t="str">
        <f>IF(
VLOOKUP($C635,BASE_CIERRE_MES!$C:$G,5,FALSE)=0,
"Normalización",
IF(
VLOOKUP($C635,BASE_CIERRE_MES!$C:$G,5,FALSE)&lt;$H635,
"Recuperación",
IF(
VLOOKUP($C635,BASE_CIERRE_MES!$C:$G,5,FALSE)=$H635,
"Contención",
"Rodamiento"
)))</f>
        <v>Contención</v>
      </c>
      <c r="Q635">
        <f t="shared" si="9"/>
        <v>3.9970990201134607E-2</v>
      </c>
    </row>
    <row r="636" spans="1:17" x14ac:dyDescent="0.25">
      <c r="A636">
        <v>8378538</v>
      </c>
      <c r="B636" t="s">
        <v>16</v>
      </c>
      <c r="C636">
        <v>26023462</v>
      </c>
      <c r="D636" t="s">
        <v>7</v>
      </c>
      <c r="E636">
        <v>45860292</v>
      </c>
      <c r="F636" s="2">
        <v>1062420</v>
      </c>
      <c r="G636" s="2">
        <v>49590</v>
      </c>
      <c r="H636">
        <v>30</v>
      </c>
      <c r="I636" s="1">
        <v>42521</v>
      </c>
      <c r="J636" t="s">
        <v>4</v>
      </c>
      <c r="K636">
        <f>COUNTIFS(GESTIONES!$A:$A, BASE_CUENTAS!$A636, GESTIONES!$B:$B, BASE_CUENTAS!$C636)</f>
        <v>3</v>
      </c>
      <c r="L636">
        <f>COUNTIFS(GESTIONES!$A:$A, BASE_CUENTAS!$A636,GESTIONES!$B:$B, BASE_CUENTAS!$C636,GESTIONES!$E:$E, "S")</f>
        <v>1</v>
      </c>
      <c r="M636">
        <f>COUNTIFS(GESTIONES!$A:$A, BASE_CUENTAS!$A636,GESTIONES!$B:$B, BASE_CUENTAS!$C636,GESTIONES!$E:$E, "N")</f>
        <v>2</v>
      </c>
      <c r="N636">
        <f>COUNTIFS(GESTIONES!$A:$A, BASE_CUENTAS!$A636,GESTIONES!$B:$B, BASE_CUENTAS!$C636,GESTIONES!$D:$D, "SMS")</f>
        <v>0</v>
      </c>
      <c r="O636">
        <f>SUMIFS(PAGOS!$D:$D,PAGOS!$A:$A, BASE_CUENTAS!$A636,PAGOS!$B:$B, BASE_CUENTAS!$C636)</f>
        <v>0</v>
      </c>
      <c r="P636" t="str">
        <f>IF(
VLOOKUP($C636,BASE_CIERRE_MES!$C:$G,5,FALSE)=0,
"Normalización",
IF(
VLOOKUP($C636,BASE_CIERRE_MES!$C:$G,5,FALSE)&lt;$H636,
"Recuperación",
IF(
VLOOKUP($C636,BASE_CIERRE_MES!$C:$G,5,FALSE)=$H636,
"Contención",
"Rodamiento"
)))</f>
        <v>Rodamiento</v>
      </c>
      <c r="Q636">
        <f t="shared" si="9"/>
        <v>0</v>
      </c>
    </row>
    <row r="637" spans="1:17" x14ac:dyDescent="0.25">
      <c r="A637">
        <v>8378787</v>
      </c>
      <c r="B637" t="s">
        <v>17</v>
      </c>
      <c r="C637">
        <v>25360109</v>
      </c>
      <c r="D637" t="s">
        <v>7</v>
      </c>
      <c r="E637">
        <v>8807735</v>
      </c>
      <c r="F637" s="2">
        <v>3864692</v>
      </c>
      <c r="G637" s="2">
        <v>1033923</v>
      </c>
      <c r="H637">
        <v>30</v>
      </c>
      <c r="I637" s="1">
        <v>42509</v>
      </c>
      <c r="J637" t="s">
        <v>6</v>
      </c>
      <c r="K637">
        <f>COUNTIFS(GESTIONES!$A:$A, BASE_CUENTAS!$A637, GESTIONES!$B:$B, BASE_CUENTAS!$C637)</f>
        <v>3</v>
      </c>
      <c r="L637">
        <f>COUNTIFS(GESTIONES!$A:$A, BASE_CUENTAS!$A637,GESTIONES!$B:$B, BASE_CUENTAS!$C637,GESTIONES!$E:$E, "S")</f>
        <v>0</v>
      </c>
      <c r="M637">
        <f>COUNTIFS(GESTIONES!$A:$A, BASE_CUENTAS!$A637,GESTIONES!$B:$B, BASE_CUENTAS!$C637,GESTIONES!$E:$E, "N")</f>
        <v>3</v>
      </c>
      <c r="N637">
        <f>COUNTIFS(GESTIONES!$A:$A, BASE_CUENTAS!$A637,GESTIONES!$B:$B, BASE_CUENTAS!$C637,GESTIONES!$D:$D, "SMS")</f>
        <v>2</v>
      </c>
      <c r="O637">
        <f>SUMIFS(PAGOS!$D:$D,PAGOS!$A:$A, BASE_CUENTAS!$A637,PAGOS!$B:$B, BASE_CUENTAS!$C637)</f>
        <v>0</v>
      </c>
      <c r="P637" t="str">
        <f>IF(
VLOOKUP($C637,BASE_CIERRE_MES!$C:$G,5,FALSE)=0,
"Normalización",
IF(
VLOOKUP($C637,BASE_CIERRE_MES!$C:$G,5,FALSE)&lt;$H637,
"Recuperación",
IF(
VLOOKUP($C637,BASE_CIERRE_MES!$C:$G,5,FALSE)=$H637,
"Contención",
"Rodamiento"
)))</f>
        <v>Rodamiento</v>
      </c>
      <c r="Q637">
        <f t="shared" si="9"/>
        <v>0</v>
      </c>
    </row>
    <row r="638" spans="1:17" x14ac:dyDescent="0.25">
      <c r="A638">
        <v>8378787</v>
      </c>
      <c r="B638" t="s">
        <v>17</v>
      </c>
      <c r="C638">
        <v>28167829</v>
      </c>
      <c r="D638" t="s">
        <v>7</v>
      </c>
      <c r="E638">
        <v>8807735</v>
      </c>
      <c r="F638" s="2">
        <v>4943044</v>
      </c>
      <c r="G638" s="2">
        <v>856190</v>
      </c>
      <c r="H638">
        <v>30</v>
      </c>
      <c r="I638" s="1">
        <v>42508</v>
      </c>
      <c r="J638" t="s">
        <v>6</v>
      </c>
      <c r="K638">
        <f>COUNTIFS(GESTIONES!$A:$A, BASE_CUENTAS!$A638, GESTIONES!$B:$B, BASE_CUENTAS!$C638)</f>
        <v>3</v>
      </c>
      <c r="L638">
        <f>COUNTIFS(GESTIONES!$A:$A, BASE_CUENTAS!$A638,GESTIONES!$B:$B, BASE_CUENTAS!$C638,GESTIONES!$E:$E, "S")</f>
        <v>1</v>
      </c>
      <c r="M638">
        <f>COUNTIFS(GESTIONES!$A:$A, BASE_CUENTAS!$A638,GESTIONES!$B:$B, BASE_CUENTAS!$C638,GESTIONES!$E:$E, "N")</f>
        <v>2</v>
      </c>
      <c r="N638">
        <f>COUNTIFS(GESTIONES!$A:$A, BASE_CUENTAS!$A638,GESTIONES!$B:$B, BASE_CUENTAS!$C638,GESTIONES!$D:$D, "SMS")</f>
        <v>1</v>
      </c>
      <c r="O638">
        <f>SUMIFS(PAGOS!$D:$D,PAGOS!$A:$A, BASE_CUENTAS!$A638,PAGOS!$B:$B, BASE_CUENTAS!$C638)</f>
        <v>0</v>
      </c>
      <c r="P638" t="str">
        <f>IF(
VLOOKUP($C638,BASE_CIERRE_MES!$C:$G,5,FALSE)=0,
"Normalización",
IF(
VLOOKUP($C638,BASE_CIERRE_MES!$C:$G,5,FALSE)&lt;$H638,
"Recuperación",
IF(
VLOOKUP($C638,BASE_CIERRE_MES!$C:$G,5,FALSE)=$H638,
"Contención",
"Rodamiento"
)))</f>
        <v>Rodamiento</v>
      </c>
      <c r="Q638">
        <f t="shared" si="9"/>
        <v>0</v>
      </c>
    </row>
    <row r="639" spans="1:17" x14ac:dyDescent="0.25">
      <c r="A639">
        <v>8378871</v>
      </c>
      <c r="B639" t="s">
        <v>18</v>
      </c>
      <c r="C639">
        <v>21194808</v>
      </c>
      <c r="D639" t="s">
        <v>7</v>
      </c>
      <c r="E639">
        <v>3281585</v>
      </c>
      <c r="F639" s="2">
        <v>3281585</v>
      </c>
      <c r="G639" s="2">
        <v>247641</v>
      </c>
      <c r="H639">
        <v>30</v>
      </c>
      <c r="I639" s="1">
        <v>42509</v>
      </c>
      <c r="J639" t="s">
        <v>6</v>
      </c>
      <c r="K639">
        <f>COUNTIFS(GESTIONES!$A:$A, BASE_CUENTAS!$A639, GESTIONES!$B:$B, BASE_CUENTAS!$C639)</f>
        <v>3</v>
      </c>
      <c r="L639">
        <f>COUNTIFS(GESTIONES!$A:$A, BASE_CUENTAS!$A639,GESTIONES!$B:$B, BASE_CUENTAS!$C639,GESTIONES!$E:$E, "S")</f>
        <v>1</v>
      </c>
      <c r="M639">
        <f>COUNTIFS(GESTIONES!$A:$A, BASE_CUENTAS!$A639,GESTIONES!$B:$B, BASE_CUENTAS!$C639,GESTIONES!$E:$E, "N")</f>
        <v>2</v>
      </c>
      <c r="N639">
        <f>COUNTIFS(GESTIONES!$A:$A, BASE_CUENTAS!$A639,GESTIONES!$B:$B, BASE_CUENTAS!$C639,GESTIONES!$D:$D, "SMS")</f>
        <v>1</v>
      </c>
      <c r="O639">
        <f>SUMIFS(PAGOS!$D:$D,PAGOS!$A:$A, BASE_CUENTAS!$A639,PAGOS!$B:$B, BASE_CUENTAS!$C639)</f>
        <v>0</v>
      </c>
      <c r="P639" t="str">
        <f>IF(
VLOOKUP($C639,BASE_CIERRE_MES!$C:$G,5,FALSE)=0,
"Normalización",
IF(
VLOOKUP($C639,BASE_CIERRE_MES!$C:$G,5,FALSE)&lt;$H639,
"Recuperación",
IF(
VLOOKUP($C639,BASE_CIERRE_MES!$C:$G,5,FALSE)=$H639,
"Contención",
"Rodamiento"
)))</f>
        <v>Rodamiento</v>
      </c>
      <c r="Q639">
        <f t="shared" si="9"/>
        <v>0</v>
      </c>
    </row>
    <row r="640" spans="1:17" x14ac:dyDescent="0.25">
      <c r="A640">
        <v>8379217</v>
      </c>
      <c r="B640" t="s">
        <v>16</v>
      </c>
      <c r="C640">
        <v>25899951</v>
      </c>
      <c r="D640" t="s">
        <v>9</v>
      </c>
      <c r="E640">
        <v>53597124</v>
      </c>
      <c r="F640" s="2">
        <v>49751490</v>
      </c>
      <c r="G640" s="2">
        <v>1418103</v>
      </c>
      <c r="H640">
        <v>26</v>
      </c>
      <c r="I640" s="1">
        <v>42508</v>
      </c>
      <c r="J640" t="s">
        <v>6</v>
      </c>
      <c r="K640">
        <f>COUNTIFS(GESTIONES!$A:$A, BASE_CUENTAS!$A640, GESTIONES!$B:$B, BASE_CUENTAS!$C640)</f>
        <v>3</v>
      </c>
      <c r="L640">
        <f>COUNTIFS(GESTIONES!$A:$A, BASE_CUENTAS!$A640,GESTIONES!$B:$B, BASE_CUENTAS!$C640,GESTIONES!$E:$E, "S")</f>
        <v>1</v>
      </c>
      <c r="M640">
        <f>COUNTIFS(GESTIONES!$A:$A, BASE_CUENTAS!$A640,GESTIONES!$B:$B, BASE_CUENTAS!$C640,GESTIONES!$E:$E, "N")</f>
        <v>2</v>
      </c>
      <c r="N640">
        <f>COUNTIFS(GESTIONES!$A:$A, BASE_CUENTAS!$A640,GESTIONES!$B:$B, BASE_CUENTAS!$C640,GESTIONES!$D:$D, "SMS")</f>
        <v>0</v>
      </c>
      <c r="O640">
        <f>SUMIFS(PAGOS!$D:$D,PAGOS!$A:$A, BASE_CUENTAS!$A640,PAGOS!$B:$B, BASE_CUENTAS!$C640)</f>
        <v>0</v>
      </c>
      <c r="P640" t="str">
        <f>IF(
VLOOKUP($C640,BASE_CIERRE_MES!$C:$G,5,FALSE)=0,
"Normalización",
IF(
VLOOKUP($C640,BASE_CIERRE_MES!$C:$G,5,FALSE)&lt;$H640,
"Recuperación",
IF(
VLOOKUP($C640,BASE_CIERRE_MES!$C:$G,5,FALSE)=$H640,
"Contención",
"Rodamiento"
)))</f>
        <v>Rodamiento</v>
      </c>
      <c r="Q640">
        <f t="shared" si="9"/>
        <v>0</v>
      </c>
    </row>
    <row r="641" spans="1:17" x14ac:dyDescent="0.25">
      <c r="A641">
        <v>8379217</v>
      </c>
      <c r="B641" t="s">
        <v>16</v>
      </c>
      <c r="C641">
        <v>25904477</v>
      </c>
      <c r="D641" t="s">
        <v>7</v>
      </c>
      <c r="E641">
        <v>53597124</v>
      </c>
      <c r="F641" s="2">
        <v>3845634</v>
      </c>
      <c r="G641" s="2">
        <v>313244</v>
      </c>
      <c r="H641">
        <v>30</v>
      </c>
      <c r="I641" s="1">
        <v>42508</v>
      </c>
      <c r="J641" t="s">
        <v>6</v>
      </c>
      <c r="K641">
        <f>COUNTIFS(GESTIONES!$A:$A, BASE_CUENTAS!$A641, GESTIONES!$B:$B, BASE_CUENTAS!$C641)</f>
        <v>3</v>
      </c>
      <c r="L641">
        <f>COUNTIFS(GESTIONES!$A:$A, BASE_CUENTAS!$A641,GESTIONES!$B:$B, BASE_CUENTAS!$C641,GESTIONES!$E:$E, "S")</f>
        <v>2</v>
      </c>
      <c r="M641">
        <f>COUNTIFS(GESTIONES!$A:$A, BASE_CUENTAS!$A641,GESTIONES!$B:$B, BASE_CUENTAS!$C641,GESTIONES!$E:$E, "N")</f>
        <v>1</v>
      </c>
      <c r="N641">
        <f>COUNTIFS(GESTIONES!$A:$A, BASE_CUENTAS!$A641,GESTIONES!$B:$B, BASE_CUENTAS!$C641,GESTIONES!$D:$D, "SMS")</f>
        <v>0</v>
      </c>
      <c r="O641">
        <f>SUMIFS(PAGOS!$D:$D,PAGOS!$A:$A, BASE_CUENTAS!$A641,PAGOS!$B:$B, BASE_CUENTAS!$C641)</f>
        <v>0</v>
      </c>
      <c r="P641" t="str">
        <f>IF(
VLOOKUP($C641,BASE_CIERRE_MES!$C:$G,5,FALSE)=0,
"Normalización",
IF(
VLOOKUP($C641,BASE_CIERRE_MES!$C:$G,5,FALSE)&lt;$H641,
"Recuperación",
IF(
VLOOKUP($C641,BASE_CIERRE_MES!$C:$G,5,FALSE)=$H641,
"Contención",
"Rodamiento"
)))</f>
        <v>Rodamiento</v>
      </c>
      <c r="Q641">
        <f t="shared" si="9"/>
        <v>0</v>
      </c>
    </row>
    <row r="642" spans="1:17" x14ac:dyDescent="0.25">
      <c r="A642">
        <v>8379238</v>
      </c>
      <c r="B642" t="s">
        <v>18</v>
      </c>
      <c r="C642">
        <v>27262178</v>
      </c>
      <c r="D642" t="s">
        <v>7</v>
      </c>
      <c r="E642">
        <v>1941752</v>
      </c>
      <c r="F642" s="2">
        <v>1941752</v>
      </c>
      <c r="G642" s="2">
        <v>88299</v>
      </c>
      <c r="H642">
        <v>30</v>
      </c>
      <c r="I642" s="1">
        <v>42521</v>
      </c>
      <c r="J642" t="s">
        <v>4</v>
      </c>
      <c r="K642">
        <f>COUNTIFS(GESTIONES!$A:$A, BASE_CUENTAS!$A642, GESTIONES!$B:$B, BASE_CUENTAS!$C642)</f>
        <v>3</v>
      </c>
      <c r="L642">
        <f>COUNTIFS(GESTIONES!$A:$A, BASE_CUENTAS!$A642,GESTIONES!$B:$B, BASE_CUENTAS!$C642,GESTIONES!$E:$E, "S")</f>
        <v>1</v>
      </c>
      <c r="M642">
        <f>COUNTIFS(GESTIONES!$A:$A, BASE_CUENTAS!$A642,GESTIONES!$B:$B, BASE_CUENTAS!$C642,GESTIONES!$E:$E, "N")</f>
        <v>2</v>
      </c>
      <c r="N642">
        <f>COUNTIFS(GESTIONES!$A:$A, BASE_CUENTAS!$A642,GESTIONES!$B:$B, BASE_CUENTAS!$C642,GESTIONES!$D:$D, "SMS")</f>
        <v>1</v>
      </c>
      <c r="O642">
        <f>SUMIFS(PAGOS!$D:$D,PAGOS!$A:$A, BASE_CUENTAS!$A642,PAGOS!$B:$B, BASE_CUENTAS!$C642)</f>
        <v>88299</v>
      </c>
      <c r="P642" t="str">
        <f>IF(
VLOOKUP($C642,BASE_CIERRE_MES!$C:$G,5,FALSE)=0,
"Normalización",
IF(
VLOOKUP($C642,BASE_CIERRE_MES!$C:$G,5,FALSE)&lt;$H642,
"Recuperación",
IF(
VLOOKUP($C642,BASE_CIERRE_MES!$C:$G,5,FALSE)=$H642,
"Contención",
"Rodamiento"
)))</f>
        <v>Normalización</v>
      </c>
      <c r="Q642">
        <f t="shared" si="9"/>
        <v>4.5473881319550588E-2</v>
      </c>
    </row>
    <row r="643" spans="1:17" x14ac:dyDescent="0.25">
      <c r="A643">
        <v>8379989</v>
      </c>
      <c r="B643" t="s">
        <v>16</v>
      </c>
      <c r="C643">
        <v>25836165</v>
      </c>
      <c r="D643" t="s">
        <v>7</v>
      </c>
      <c r="E643">
        <v>19244453</v>
      </c>
      <c r="F643" s="2">
        <v>9019735</v>
      </c>
      <c r="G643" s="2">
        <v>972266</v>
      </c>
      <c r="H643">
        <v>60</v>
      </c>
      <c r="I643" s="1">
        <v>42487</v>
      </c>
      <c r="J643" t="s">
        <v>5</v>
      </c>
      <c r="K643">
        <f>COUNTIFS(GESTIONES!$A:$A, BASE_CUENTAS!$A643, GESTIONES!$B:$B, BASE_CUENTAS!$C643)</f>
        <v>3</v>
      </c>
      <c r="L643">
        <f>COUNTIFS(GESTIONES!$A:$A, BASE_CUENTAS!$A643,GESTIONES!$B:$B, BASE_CUENTAS!$C643,GESTIONES!$E:$E, "S")</f>
        <v>0</v>
      </c>
      <c r="M643">
        <f>COUNTIFS(GESTIONES!$A:$A, BASE_CUENTAS!$A643,GESTIONES!$B:$B, BASE_CUENTAS!$C643,GESTIONES!$E:$E, "N")</f>
        <v>3</v>
      </c>
      <c r="N643">
        <f>COUNTIFS(GESTIONES!$A:$A, BASE_CUENTAS!$A643,GESTIONES!$B:$B, BASE_CUENTAS!$C643,GESTIONES!$D:$D, "SMS")</f>
        <v>1</v>
      </c>
      <c r="O643">
        <f>SUMIFS(PAGOS!$D:$D,PAGOS!$A:$A, BASE_CUENTAS!$A643,PAGOS!$B:$B, BASE_CUENTAS!$C643)</f>
        <v>0</v>
      </c>
      <c r="P643" t="str">
        <f>IF(
VLOOKUP($C643,BASE_CIERRE_MES!$C:$G,5,FALSE)=0,
"Normalización",
IF(
VLOOKUP($C643,BASE_CIERRE_MES!$C:$G,5,FALSE)&lt;$H643,
"Recuperación",
IF(
VLOOKUP($C643,BASE_CIERRE_MES!$C:$G,5,FALSE)=$H643,
"Contención",
"Rodamiento"
)))</f>
        <v>Rodamiento</v>
      </c>
      <c r="Q643">
        <f t="shared" ref="Q643:Q706" si="10">IF(F643=0,0,VALUE(O643)/VALUE(F643))</f>
        <v>0</v>
      </c>
    </row>
    <row r="644" spans="1:17" x14ac:dyDescent="0.25">
      <c r="A644">
        <v>8379989</v>
      </c>
      <c r="B644" t="s">
        <v>16</v>
      </c>
      <c r="C644">
        <v>25855320</v>
      </c>
      <c r="D644" t="s">
        <v>9</v>
      </c>
      <c r="E644">
        <v>19244453</v>
      </c>
      <c r="F644" s="2">
        <v>10224718</v>
      </c>
      <c r="G644" s="2">
        <v>3254325</v>
      </c>
      <c r="H644">
        <v>155</v>
      </c>
      <c r="I644" s="1">
        <v>42465</v>
      </c>
      <c r="J644" t="s">
        <v>5</v>
      </c>
      <c r="K644">
        <f>COUNTIFS(GESTIONES!$A:$A, BASE_CUENTAS!$A644, GESTIONES!$B:$B, BASE_CUENTAS!$C644)</f>
        <v>3</v>
      </c>
      <c r="L644">
        <f>COUNTIFS(GESTIONES!$A:$A, BASE_CUENTAS!$A644,GESTIONES!$B:$B, BASE_CUENTAS!$C644,GESTIONES!$E:$E, "S")</f>
        <v>1</v>
      </c>
      <c r="M644">
        <f>COUNTIFS(GESTIONES!$A:$A, BASE_CUENTAS!$A644,GESTIONES!$B:$B, BASE_CUENTAS!$C644,GESTIONES!$E:$E, "N")</f>
        <v>2</v>
      </c>
      <c r="N644">
        <f>COUNTIFS(GESTIONES!$A:$A, BASE_CUENTAS!$A644,GESTIONES!$B:$B, BASE_CUENTAS!$C644,GESTIONES!$D:$D, "SMS")</f>
        <v>2</v>
      </c>
      <c r="O644">
        <f>SUMIFS(PAGOS!$D:$D,PAGOS!$A:$A, BASE_CUENTAS!$A644,PAGOS!$B:$B, BASE_CUENTAS!$C644)</f>
        <v>0</v>
      </c>
      <c r="P644" t="str">
        <f>IF(
VLOOKUP($C644,BASE_CIERRE_MES!$C:$G,5,FALSE)=0,
"Normalización",
IF(
VLOOKUP($C644,BASE_CIERRE_MES!$C:$G,5,FALSE)&lt;$H644,
"Recuperación",
IF(
VLOOKUP($C644,BASE_CIERRE_MES!$C:$G,5,FALSE)=$H644,
"Contención",
"Rodamiento"
)))</f>
        <v>Rodamiento</v>
      </c>
      <c r="Q644">
        <f t="shared" si="10"/>
        <v>0</v>
      </c>
    </row>
    <row r="645" spans="1:17" x14ac:dyDescent="0.25">
      <c r="A645">
        <v>8380002</v>
      </c>
      <c r="B645" t="s">
        <v>18</v>
      </c>
      <c r="C645">
        <v>26293617</v>
      </c>
      <c r="D645" t="s">
        <v>7</v>
      </c>
      <c r="E645">
        <v>1903215</v>
      </c>
      <c r="F645" s="2">
        <v>1903215</v>
      </c>
      <c r="G645" s="2">
        <v>421396</v>
      </c>
      <c r="H645">
        <v>60</v>
      </c>
      <c r="I645" s="1">
        <v>42491</v>
      </c>
      <c r="J645" t="s">
        <v>6</v>
      </c>
      <c r="K645">
        <f>COUNTIFS(GESTIONES!$A:$A, BASE_CUENTAS!$A645, GESTIONES!$B:$B, BASE_CUENTAS!$C645)</f>
        <v>3</v>
      </c>
      <c r="L645">
        <f>COUNTIFS(GESTIONES!$A:$A, BASE_CUENTAS!$A645,GESTIONES!$B:$B, BASE_CUENTAS!$C645,GESTIONES!$E:$E, "S")</f>
        <v>1</v>
      </c>
      <c r="M645">
        <f>COUNTIFS(GESTIONES!$A:$A, BASE_CUENTAS!$A645,GESTIONES!$B:$B, BASE_CUENTAS!$C645,GESTIONES!$E:$E, "N")</f>
        <v>2</v>
      </c>
      <c r="N645">
        <f>COUNTIFS(GESTIONES!$A:$A, BASE_CUENTAS!$A645,GESTIONES!$B:$B, BASE_CUENTAS!$C645,GESTIONES!$D:$D, "SMS")</f>
        <v>0</v>
      </c>
      <c r="O645">
        <f>SUMIFS(PAGOS!$D:$D,PAGOS!$A:$A, BASE_CUENTAS!$A645,PAGOS!$B:$B, BASE_CUENTAS!$C645)</f>
        <v>0</v>
      </c>
      <c r="P645" t="str">
        <f>IF(
VLOOKUP($C645,BASE_CIERRE_MES!$C:$G,5,FALSE)=0,
"Normalización",
IF(
VLOOKUP($C645,BASE_CIERRE_MES!$C:$G,5,FALSE)&lt;$H645,
"Recuperación",
IF(
VLOOKUP($C645,BASE_CIERRE_MES!$C:$G,5,FALSE)=$H645,
"Contención",
"Rodamiento"
)))</f>
        <v>Rodamiento</v>
      </c>
      <c r="Q645">
        <f t="shared" si="10"/>
        <v>0</v>
      </c>
    </row>
    <row r="646" spans="1:17" x14ac:dyDescent="0.25">
      <c r="A646">
        <v>8380063</v>
      </c>
      <c r="B646" t="s">
        <v>18</v>
      </c>
      <c r="C646">
        <v>20479677</v>
      </c>
      <c r="D646" t="s">
        <v>7</v>
      </c>
      <c r="E646">
        <v>772355</v>
      </c>
      <c r="F646" s="2">
        <v>772355</v>
      </c>
      <c r="G646" s="2">
        <v>157311</v>
      </c>
      <c r="H646">
        <v>60</v>
      </c>
      <c r="I646" s="1">
        <v>42491</v>
      </c>
      <c r="J646" t="s">
        <v>6</v>
      </c>
      <c r="K646">
        <f>COUNTIFS(GESTIONES!$A:$A, BASE_CUENTAS!$A646, GESTIONES!$B:$B, BASE_CUENTAS!$C646)</f>
        <v>3</v>
      </c>
      <c r="L646">
        <f>COUNTIFS(GESTIONES!$A:$A, BASE_CUENTAS!$A646,GESTIONES!$B:$B, BASE_CUENTAS!$C646,GESTIONES!$E:$E, "S")</f>
        <v>1</v>
      </c>
      <c r="M646">
        <f>COUNTIFS(GESTIONES!$A:$A, BASE_CUENTAS!$A646,GESTIONES!$B:$B, BASE_CUENTAS!$C646,GESTIONES!$E:$E, "N")</f>
        <v>2</v>
      </c>
      <c r="N646">
        <f>COUNTIFS(GESTIONES!$A:$A, BASE_CUENTAS!$A646,GESTIONES!$B:$B, BASE_CUENTAS!$C646,GESTIONES!$D:$D, "SMS")</f>
        <v>0</v>
      </c>
      <c r="O646">
        <f>SUMIFS(PAGOS!$D:$D,PAGOS!$A:$A, BASE_CUENTAS!$A646,PAGOS!$B:$B, BASE_CUENTAS!$C646)</f>
        <v>0</v>
      </c>
      <c r="P646" t="str">
        <f>IF(
VLOOKUP($C646,BASE_CIERRE_MES!$C:$G,5,FALSE)=0,
"Normalización",
IF(
VLOOKUP($C646,BASE_CIERRE_MES!$C:$G,5,FALSE)&lt;$H646,
"Recuperación",
IF(
VLOOKUP($C646,BASE_CIERRE_MES!$C:$G,5,FALSE)=$H646,
"Contención",
"Rodamiento"
)))</f>
        <v>Rodamiento</v>
      </c>
      <c r="Q646">
        <f t="shared" si="10"/>
        <v>0</v>
      </c>
    </row>
    <row r="647" spans="1:17" x14ac:dyDescent="0.25">
      <c r="A647">
        <v>8380316</v>
      </c>
      <c r="B647" t="s">
        <v>16</v>
      </c>
      <c r="C647">
        <v>26082987</v>
      </c>
      <c r="D647" t="s">
        <v>13</v>
      </c>
      <c r="E647">
        <v>38196877</v>
      </c>
      <c r="F647" s="2">
        <v>38087577</v>
      </c>
      <c r="G647" s="2">
        <v>1095717</v>
      </c>
      <c r="H647">
        <v>19</v>
      </c>
      <c r="I647" s="1">
        <v>42508</v>
      </c>
      <c r="J647" t="s">
        <v>6</v>
      </c>
      <c r="K647">
        <f>COUNTIFS(GESTIONES!$A:$A, BASE_CUENTAS!$A647, GESTIONES!$B:$B, BASE_CUENTAS!$C647)</f>
        <v>3</v>
      </c>
      <c r="L647">
        <f>COUNTIFS(GESTIONES!$A:$A, BASE_CUENTAS!$A647,GESTIONES!$B:$B, BASE_CUENTAS!$C647,GESTIONES!$E:$E, "S")</f>
        <v>1</v>
      </c>
      <c r="M647">
        <f>COUNTIFS(GESTIONES!$A:$A, BASE_CUENTAS!$A647,GESTIONES!$B:$B, BASE_CUENTAS!$C647,GESTIONES!$E:$E, "N")</f>
        <v>2</v>
      </c>
      <c r="N647">
        <f>COUNTIFS(GESTIONES!$A:$A, BASE_CUENTAS!$A647,GESTIONES!$B:$B, BASE_CUENTAS!$C647,GESTIONES!$D:$D, "SMS")</f>
        <v>1</v>
      </c>
      <c r="O647">
        <f>SUMIFS(PAGOS!$D:$D,PAGOS!$A:$A, BASE_CUENTAS!$A647,PAGOS!$B:$B, BASE_CUENTAS!$C647)</f>
        <v>365239</v>
      </c>
      <c r="P647" t="str">
        <f>IF(
VLOOKUP($C647,BASE_CIERRE_MES!$C:$G,5,FALSE)=0,
"Normalización",
IF(
VLOOKUP($C647,BASE_CIERRE_MES!$C:$G,5,FALSE)&lt;$H647,
"Recuperación",
IF(
VLOOKUP($C647,BASE_CIERRE_MES!$C:$G,5,FALSE)=$H647,
"Contención",
"Rodamiento"
)))</f>
        <v>Rodamiento</v>
      </c>
      <c r="Q647">
        <f t="shared" si="10"/>
        <v>9.5894522248028535E-3</v>
      </c>
    </row>
    <row r="648" spans="1:17" x14ac:dyDescent="0.25">
      <c r="A648">
        <v>8380316</v>
      </c>
      <c r="B648" t="s">
        <v>16</v>
      </c>
      <c r="C648">
        <v>27691424</v>
      </c>
      <c r="D648" t="s">
        <v>7</v>
      </c>
      <c r="E648">
        <v>38196877</v>
      </c>
      <c r="F648" s="2">
        <v>109299</v>
      </c>
      <c r="G648" s="2">
        <v>73266</v>
      </c>
      <c r="H648">
        <v>30</v>
      </c>
      <c r="I648" s="1">
        <v>42509</v>
      </c>
      <c r="J648" t="s">
        <v>6</v>
      </c>
      <c r="K648">
        <f>COUNTIFS(GESTIONES!$A:$A, BASE_CUENTAS!$A648, GESTIONES!$B:$B, BASE_CUENTAS!$C648)</f>
        <v>3</v>
      </c>
      <c r="L648">
        <f>COUNTIFS(GESTIONES!$A:$A, BASE_CUENTAS!$A648,GESTIONES!$B:$B, BASE_CUENTAS!$C648,GESTIONES!$E:$E, "S")</f>
        <v>0</v>
      </c>
      <c r="M648">
        <f>COUNTIFS(GESTIONES!$A:$A, BASE_CUENTAS!$A648,GESTIONES!$B:$B, BASE_CUENTAS!$C648,GESTIONES!$E:$E, "N")</f>
        <v>3</v>
      </c>
      <c r="N648">
        <f>COUNTIFS(GESTIONES!$A:$A, BASE_CUENTAS!$A648,GESTIONES!$B:$B, BASE_CUENTAS!$C648,GESTIONES!$D:$D, "SMS")</f>
        <v>1</v>
      </c>
      <c r="O648">
        <f>SUMIFS(PAGOS!$D:$D,PAGOS!$A:$A, BASE_CUENTAS!$A648,PAGOS!$B:$B, BASE_CUENTAS!$C648)</f>
        <v>73266</v>
      </c>
      <c r="P648" t="str">
        <f>IF(
VLOOKUP($C648,BASE_CIERRE_MES!$C:$G,5,FALSE)=0,
"Normalización",
IF(
VLOOKUP($C648,BASE_CIERRE_MES!$C:$G,5,FALSE)&lt;$H648,
"Recuperación",
IF(
VLOOKUP($C648,BASE_CIERRE_MES!$C:$G,5,FALSE)=$H648,
"Contención",
"Rodamiento"
)))</f>
        <v>Normalización</v>
      </c>
      <c r="Q648">
        <f t="shared" si="10"/>
        <v>0.67032635248263939</v>
      </c>
    </row>
    <row r="649" spans="1:17" x14ac:dyDescent="0.25">
      <c r="A649">
        <v>8380574</v>
      </c>
      <c r="B649" t="s">
        <v>16</v>
      </c>
      <c r="C649">
        <v>25284380</v>
      </c>
      <c r="D649" t="s">
        <v>7</v>
      </c>
      <c r="E649">
        <v>8320012</v>
      </c>
      <c r="F649" s="2">
        <v>3097216</v>
      </c>
      <c r="G649" s="2">
        <v>3097216</v>
      </c>
      <c r="H649">
        <v>120</v>
      </c>
      <c r="I649" s="1">
        <v>42487</v>
      </c>
      <c r="J649" t="s">
        <v>5</v>
      </c>
      <c r="K649">
        <f>COUNTIFS(GESTIONES!$A:$A, BASE_CUENTAS!$A649, GESTIONES!$B:$B, BASE_CUENTAS!$C649)</f>
        <v>3</v>
      </c>
      <c r="L649">
        <f>COUNTIFS(GESTIONES!$A:$A, BASE_CUENTAS!$A649,GESTIONES!$B:$B, BASE_CUENTAS!$C649,GESTIONES!$E:$E, "S")</f>
        <v>1</v>
      </c>
      <c r="M649">
        <f>COUNTIFS(GESTIONES!$A:$A, BASE_CUENTAS!$A649,GESTIONES!$B:$B, BASE_CUENTAS!$C649,GESTIONES!$E:$E, "N")</f>
        <v>2</v>
      </c>
      <c r="N649">
        <f>COUNTIFS(GESTIONES!$A:$A, BASE_CUENTAS!$A649,GESTIONES!$B:$B, BASE_CUENTAS!$C649,GESTIONES!$D:$D, "SMS")</f>
        <v>2</v>
      </c>
      <c r="O649">
        <f>SUMIFS(PAGOS!$D:$D,PAGOS!$A:$A, BASE_CUENTAS!$A649,PAGOS!$B:$B, BASE_CUENTAS!$C649)</f>
        <v>3097216</v>
      </c>
      <c r="P649" t="str">
        <f>IF(
VLOOKUP($C649,BASE_CIERRE_MES!$C:$G,5,FALSE)=0,
"Normalización",
IF(
VLOOKUP($C649,BASE_CIERRE_MES!$C:$G,5,FALSE)&lt;$H649,
"Recuperación",
IF(
VLOOKUP($C649,BASE_CIERRE_MES!$C:$G,5,FALSE)=$H649,
"Contención",
"Rodamiento"
)))</f>
        <v>Normalización</v>
      </c>
      <c r="Q649">
        <f t="shared" si="10"/>
        <v>1</v>
      </c>
    </row>
    <row r="650" spans="1:17" x14ac:dyDescent="0.25">
      <c r="A650">
        <v>8380574</v>
      </c>
      <c r="B650" t="s">
        <v>16</v>
      </c>
      <c r="C650">
        <v>26028156</v>
      </c>
      <c r="D650" t="s">
        <v>12</v>
      </c>
      <c r="E650">
        <v>8320012</v>
      </c>
      <c r="F650" s="2">
        <v>481489</v>
      </c>
      <c r="G650" s="2">
        <v>481489</v>
      </c>
      <c r="H650">
        <v>85</v>
      </c>
      <c r="I650" s="1">
        <v>42503</v>
      </c>
      <c r="J650" t="s">
        <v>5</v>
      </c>
      <c r="K650">
        <f>COUNTIFS(GESTIONES!$A:$A, BASE_CUENTAS!$A650, GESTIONES!$B:$B, BASE_CUENTAS!$C650)</f>
        <v>3</v>
      </c>
      <c r="L650">
        <f>COUNTIFS(GESTIONES!$A:$A, BASE_CUENTAS!$A650,GESTIONES!$B:$B, BASE_CUENTAS!$C650,GESTIONES!$E:$E, "S")</f>
        <v>1</v>
      </c>
      <c r="M650">
        <f>COUNTIFS(GESTIONES!$A:$A, BASE_CUENTAS!$A650,GESTIONES!$B:$B, BASE_CUENTAS!$C650,GESTIONES!$E:$E, "N")</f>
        <v>2</v>
      </c>
      <c r="N650">
        <f>COUNTIFS(GESTIONES!$A:$A, BASE_CUENTAS!$A650,GESTIONES!$B:$B, BASE_CUENTAS!$C650,GESTIONES!$D:$D, "SMS")</f>
        <v>0</v>
      </c>
      <c r="O650">
        <f>SUMIFS(PAGOS!$D:$D,PAGOS!$A:$A, BASE_CUENTAS!$A650,PAGOS!$B:$B, BASE_CUENTAS!$C650)</f>
        <v>0</v>
      </c>
      <c r="P650" t="str">
        <f>IF(
VLOOKUP($C650,BASE_CIERRE_MES!$C:$G,5,FALSE)=0,
"Normalización",
IF(
VLOOKUP($C650,BASE_CIERRE_MES!$C:$G,5,FALSE)&lt;$H650,
"Recuperación",
IF(
VLOOKUP($C650,BASE_CIERRE_MES!$C:$G,5,FALSE)=$H650,
"Contención",
"Rodamiento"
)))</f>
        <v>Rodamiento</v>
      </c>
      <c r="Q650">
        <f t="shared" si="10"/>
        <v>0</v>
      </c>
    </row>
    <row r="651" spans="1:17" x14ac:dyDescent="0.25">
      <c r="A651">
        <v>8380574</v>
      </c>
      <c r="B651" t="s">
        <v>16</v>
      </c>
      <c r="C651">
        <v>26216119</v>
      </c>
      <c r="D651" t="s">
        <v>12</v>
      </c>
      <c r="E651">
        <v>8320012</v>
      </c>
      <c r="F651" s="2">
        <v>1347485</v>
      </c>
      <c r="G651" s="2">
        <v>1347485</v>
      </c>
      <c r="H651">
        <v>206</v>
      </c>
      <c r="I651" s="1">
        <v>42444</v>
      </c>
      <c r="J651" t="s">
        <v>5</v>
      </c>
      <c r="K651">
        <f>COUNTIFS(GESTIONES!$A:$A, BASE_CUENTAS!$A651, GESTIONES!$B:$B, BASE_CUENTAS!$C651)</f>
        <v>3</v>
      </c>
      <c r="L651">
        <f>COUNTIFS(GESTIONES!$A:$A, BASE_CUENTAS!$A651,GESTIONES!$B:$B, BASE_CUENTAS!$C651,GESTIONES!$E:$E, "S")</f>
        <v>1</v>
      </c>
      <c r="M651">
        <f>COUNTIFS(GESTIONES!$A:$A, BASE_CUENTAS!$A651,GESTIONES!$B:$B, BASE_CUENTAS!$C651,GESTIONES!$E:$E, "N")</f>
        <v>2</v>
      </c>
      <c r="N651">
        <f>COUNTIFS(GESTIONES!$A:$A, BASE_CUENTAS!$A651,GESTIONES!$B:$B, BASE_CUENTAS!$C651,GESTIONES!$D:$D, "SMS")</f>
        <v>0</v>
      </c>
      <c r="O651">
        <f>SUMIFS(PAGOS!$D:$D,PAGOS!$A:$A, BASE_CUENTAS!$A651,PAGOS!$B:$B, BASE_CUENTAS!$C651)</f>
        <v>1347485</v>
      </c>
      <c r="P651" t="str">
        <f>IF(
VLOOKUP($C651,BASE_CIERRE_MES!$C:$G,5,FALSE)=0,
"Normalización",
IF(
VLOOKUP($C651,BASE_CIERRE_MES!$C:$G,5,FALSE)&lt;$H651,
"Recuperación",
IF(
VLOOKUP($C651,BASE_CIERRE_MES!$C:$G,5,FALSE)=$H651,
"Contención",
"Rodamiento"
)))</f>
        <v>Normalización</v>
      </c>
      <c r="Q651">
        <f t="shared" si="10"/>
        <v>1</v>
      </c>
    </row>
    <row r="652" spans="1:17" x14ac:dyDescent="0.25">
      <c r="A652">
        <v>8380574</v>
      </c>
      <c r="B652" t="s">
        <v>16</v>
      </c>
      <c r="C652">
        <v>26787345</v>
      </c>
      <c r="D652" t="s">
        <v>12</v>
      </c>
      <c r="E652">
        <v>8320012</v>
      </c>
      <c r="F652" s="2">
        <v>1622948</v>
      </c>
      <c r="G652" s="2">
        <v>382841</v>
      </c>
      <c r="H652">
        <v>176</v>
      </c>
      <c r="I652" s="1">
        <v>42474</v>
      </c>
      <c r="J652" t="s">
        <v>5</v>
      </c>
      <c r="K652">
        <f>COUNTIFS(GESTIONES!$A:$A, BASE_CUENTAS!$A652, GESTIONES!$B:$B, BASE_CUENTAS!$C652)</f>
        <v>3</v>
      </c>
      <c r="L652">
        <f>COUNTIFS(GESTIONES!$A:$A, BASE_CUENTAS!$A652,GESTIONES!$B:$B, BASE_CUENTAS!$C652,GESTIONES!$E:$E, "S")</f>
        <v>1</v>
      </c>
      <c r="M652">
        <f>COUNTIFS(GESTIONES!$A:$A, BASE_CUENTAS!$A652,GESTIONES!$B:$B, BASE_CUENTAS!$C652,GESTIONES!$E:$E, "N")</f>
        <v>2</v>
      </c>
      <c r="N652">
        <f>COUNTIFS(GESTIONES!$A:$A, BASE_CUENTAS!$A652,GESTIONES!$B:$B, BASE_CUENTAS!$C652,GESTIONES!$D:$D, "SMS")</f>
        <v>1</v>
      </c>
      <c r="O652">
        <f>SUMIFS(PAGOS!$D:$D,PAGOS!$A:$A, BASE_CUENTAS!$A652,PAGOS!$B:$B, BASE_CUENTAS!$C652)</f>
        <v>127614</v>
      </c>
      <c r="P652" t="str">
        <f>IF(
VLOOKUP($C652,BASE_CIERRE_MES!$C:$G,5,FALSE)=0,
"Normalización",
IF(
VLOOKUP($C652,BASE_CIERRE_MES!$C:$G,5,FALSE)&lt;$H652,
"Recuperación",
IF(
VLOOKUP($C652,BASE_CIERRE_MES!$C:$G,5,FALSE)=$H652,
"Contención",
"Rodamiento"
)))</f>
        <v>Contención</v>
      </c>
      <c r="Q652">
        <f t="shared" si="10"/>
        <v>7.8630985096256933E-2</v>
      </c>
    </row>
    <row r="653" spans="1:17" x14ac:dyDescent="0.25">
      <c r="A653">
        <v>8380574</v>
      </c>
      <c r="B653" t="s">
        <v>16</v>
      </c>
      <c r="C653">
        <v>26880957</v>
      </c>
      <c r="D653" t="s">
        <v>12</v>
      </c>
      <c r="E653">
        <v>8320012</v>
      </c>
      <c r="F653" s="2">
        <v>1770875</v>
      </c>
      <c r="G653" s="2">
        <v>403509</v>
      </c>
      <c r="H653">
        <v>176</v>
      </c>
      <c r="I653" s="1">
        <v>42474</v>
      </c>
      <c r="J653" t="s">
        <v>5</v>
      </c>
      <c r="K653">
        <f>COUNTIFS(GESTIONES!$A:$A, BASE_CUENTAS!$A653, GESTIONES!$B:$B, BASE_CUENTAS!$C653)</f>
        <v>3</v>
      </c>
      <c r="L653">
        <f>COUNTIFS(GESTIONES!$A:$A, BASE_CUENTAS!$A653,GESTIONES!$B:$B, BASE_CUENTAS!$C653,GESTIONES!$E:$E, "S")</f>
        <v>0</v>
      </c>
      <c r="M653">
        <f>COUNTIFS(GESTIONES!$A:$A, BASE_CUENTAS!$A653,GESTIONES!$B:$B, BASE_CUENTAS!$C653,GESTIONES!$E:$E, "N")</f>
        <v>3</v>
      </c>
      <c r="N653">
        <f>COUNTIFS(GESTIONES!$A:$A, BASE_CUENTAS!$A653,GESTIONES!$B:$B, BASE_CUENTAS!$C653,GESTIONES!$D:$D, "SMS")</f>
        <v>1</v>
      </c>
      <c r="O653">
        <f>SUMIFS(PAGOS!$D:$D,PAGOS!$A:$A, BASE_CUENTAS!$A653,PAGOS!$B:$B, BASE_CUENTAS!$C653)</f>
        <v>0</v>
      </c>
      <c r="P653" t="str">
        <f>IF(
VLOOKUP($C653,BASE_CIERRE_MES!$C:$G,5,FALSE)=0,
"Normalización",
IF(
VLOOKUP($C653,BASE_CIERRE_MES!$C:$G,5,FALSE)&lt;$H653,
"Recuperación",
IF(
VLOOKUP($C653,BASE_CIERRE_MES!$C:$G,5,FALSE)=$H653,
"Contención",
"Rodamiento"
)))</f>
        <v>Rodamiento</v>
      </c>
      <c r="Q653">
        <f t="shared" si="10"/>
        <v>0</v>
      </c>
    </row>
    <row r="654" spans="1:17" x14ac:dyDescent="0.25">
      <c r="A654">
        <v>8380657</v>
      </c>
      <c r="B654" t="s">
        <v>18</v>
      </c>
      <c r="C654">
        <v>20821058</v>
      </c>
      <c r="D654" t="s">
        <v>7</v>
      </c>
      <c r="E654">
        <v>286792</v>
      </c>
      <c r="F654" s="2">
        <v>286792</v>
      </c>
      <c r="G654" s="2">
        <v>60251</v>
      </c>
      <c r="H654">
        <v>30</v>
      </c>
      <c r="I654" s="1">
        <v>42521</v>
      </c>
      <c r="J654" t="s">
        <v>4</v>
      </c>
      <c r="K654">
        <f>COUNTIFS(GESTIONES!$A:$A, BASE_CUENTAS!$A654, GESTIONES!$B:$B, BASE_CUENTAS!$C654)</f>
        <v>3</v>
      </c>
      <c r="L654">
        <f>COUNTIFS(GESTIONES!$A:$A, BASE_CUENTAS!$A654,GESTIONES!$B:$B, BASE_CUENTAS!$C654,GESTIONES!$E:$E, "S")</f>
        <v>1</v>
      </c>
      <c r="M654">
        <f>COUNTIFS(GESTIONES!$A:$A, BASE_CUENTAS!$A654,GESTIONES!$B:$B, BASE_CUENTAS!$C654,GESTIONES!$E:$E, "N")</f>
        <v>2</v>
      </c>
      <c r="N654">
        <f>COUNTIFS(GESTIONES!$A:$A, BASE_CUENTAS!$A654,GESTIONES!$B:$B, BASE_CUENTAS!$C654,GESTIONES!$D:$D, "SMS")</f>
        <v>2</v>
      </c>
      <c r="O654">
        <f>SUMIFS(PAGOS!$D:$D,PAGOS!$A:$A, BASE_CUENTAS!$A654,PAGOS!$B:$B, BASE_CUENTAS!$C654)</f>
        <v>286792</v>
      </c>
      <c r="P654" t="str">
        <f>IF(
VLOOKUP($C654,BASE_CIERRE_MES!$C:$G,5,FALSE)=0,
"Normalización",
IF(
VLOOKUP($C654,BASE_CIERRE_MES!$C:$G,5,FALSE)&lt;$H654,
"Recuperación",
IF(
VLOOKUP($C654,BASE_CIERRE_MES!$C:$G,5,FALSE)=$H654,
"Contención",
"Rodamiento"
)))</f>
        <v>Normalización</v>
      </c>
      <c r="Q654">
        <f t="shared" si="10"/>
        <v>1</v>
      </c>
    </row>
    <row r="655" spans="1:17" x14ac:dyDescent="0.25">
      <c r="A655">
        <v>8380807</v>
      </c>
      <c r="B655" t="s">
        <v>17</v>
      </c>
      <c r="C655">
        <v>2687964</v>
      </c>
      <c r="D655" t="s">
        <v>10</v>
      </c>
      <c r="E655">
        <v>5808245</v>
      </c>
      <c r="F655" s="2">
        <v>3972349</v>
      </c>
      <c r="G655" s="2">
        <v>3972349</v>
      </c>
      <c r="H655">
        <v>20</v>
      </c>
      <c r="I655" s="1">
        <v>42506</v>
      </c>
      <c r="J655" t="s">
        <v>5</v>
      </c>
      <c r="K655">
        <f>COUNTIFS(GESTIONES!$A:$A, BASE_CUENTAS!$A655, GESTIONES!$B:$B, BASE_CUENTAS!$C655)</f>
        <v>3</v>
      </c>
      <c r="L655">
        <f>COUNTIFS(GESTIONES!$A:$A, BASE_CUENTAS!$A655,GESTIONES!$B:$B, BASE_CUENTAS!$C655,GESTIONES!$E:$E, "S")</f>
        <v>1</v>
      </c>
      <c r="M655">
        <f>COUNTIFS(GESTIONES!$A:$A, BASE_CUENTAS!$A655,GESTIONES!$B:$B, BASE_CUENTAS!$C655,GESTIONES!$E:$E, "N")</f>
        <v>2</v>
      </c>
      <c r="N655">
        <f>COUNTIFS(GESTIONES!$A:$A, BASE_CUENTAS!$A655,GESTIONES!$B:$B, BASE_CUENTAS!$C655,GESTIONES!$D:$D, "SMS")</f>
        <v>0</v>
      </c>
      <c r="O655">
        <f>SUMIFS(PAGOS!$D:$D,PAGOS!$A:$A, BASE_CUENTAS!$A655,PAGOS!$B:$B, BASE_CUENTAS!$C655)</f>
        <v>0</v>
      </c>
      <c r="P655" t="str">
        <f>IF(
VLOOKUP($C655,BASE_CIERRE_MES!$C:$G,5,FALSE)=0,
"Normalización",
IF(
VLOOKUP($C655,BASE_CIERRE_MES!$C:$G,5,FALSE)&lt;$H655,
"Recuperación",
IF(
VLOOKUP($C655,BASE_CIERRE_MES!$C:$G,5,FALSE)=$H655,
"Contención",
"Rodamiento"
)))</f>
        <v>Rodamiento</v>
      </c>
      <c r="Q655">
        <f t="shared" si="10"/>
        <v>0</v>
      </c>
    </row>
    <row r="656" spans="1:17" x14ac:dyDescent="0.25">
      <c r="A656">
        <v>8380807</v>
      </c>
      <c r="B656" t="s">
        <v>17</v>
      </c>
      <c r="C656">
        <v>26376544</v>
      </c>
      <c r="D656" t="s">
        <v>7</v>
      </c>
      <c r="E656">
        <v>5808245</v>
      </c>
      <c r="F656" s="2">
        <v>1147257</v>
      </c>
      <c r="G656" s="2">
        <v>158760</v>
      </c>
      <c r="H656">
        <v>30</v>
      </c>
      <c r="I656" s="1">
        <v>42519</v>
      </c>
      <c r="J656" t="s">
        <v>5</v>
      </c>
      <c r="K656">
        <f>COUNTIFS(GESTIONES!$A:$A, BASE_CUENTAS!$A656, GESTIONES!$B:$B, BASE_CUENTAS!$C656)</f>
        <v>3</v>
      </c>
      <c r="L656">
        <f>COUNTIFS(GESTIONES!$A:$A, BASE_CUENTAS!$A656,GESTIONES!$B:$B, BASE_CUENTAS!$C656,GESTIONES!$E:$E, "S")</f>
        <v>1</v>
      </c>
      <c r="M656">
        <f>COUNTIFS(GESTIONES!$A:$A, BASE_CUENTAS!$A656,GESTIONES!$B:$B, BASE_CUENTAS!$C656,GESTIONES!$E:$E, "N")</f>
        <v>2</v>
      </c>
      <c r="N656">
        <f>COUNTIFS(GESTIONES!$A:$A, BASE_CUENTAS!$A656,GESTIONES!$B:$B, BASE_CUENTAS!$C656,GESTIONES!$D:$D, "SMS")</f>
        <v>0</v>
      </c>
      <c r="O656">
        <f>SUMIFS(PAGOS!$D:$D,PAGOS!$A:$A, BASE_CUENTAS!$A656,PAGOS!$B:$B, BASE_CUENTAS!$C656)</f>
        <v>158760</v>
      </c>
      <c r="P656" t="str">
        <f>IF(
VLOOKUP($C656,BASE_CIERRE_MES!$C:$G,5,FALSE)=0,
"Normalización",
IF(
VLOOKUP($C656,BASE_CIERRE_MES!$C:$G,5,FALSE)&lt;$H656,
"Recuperación",
IF(
VLOOKUP($C656,BASE_CIERRE_MES!$C:$G,5,FALSE)=$H656,
"Contención",
"Rodamiento"
)))</f>
        <v>Normalización</v>
      </c>
      <c r="Q656">
        <f t="shared" si="10"/>
        <v>0.13838224565202042</v>
      </c>
    </row>
    <row r="657" spans="1:17" x14ac:dyDescent="0.25">
      <c r="A657">
        <v>8381332</v>
      </c>
      <c r="B657" t="s">
        <v>18</v>
      </c>
      <c r="C657">
        <v>20591909</v>
      </c>
      <c r="D657" t="s">
        <v>7</v>
      </c>
      <c r="E657">
        <v>561287</v>
      </c>
      <c r="F657" s="2">
        <v>551266</v>
      </c>
      <c r="G657" s="2">
        <v>55623</v>
      </c>
      <c r="H657">
        <v>30</v>
      </c>
      <c r="I657" s="1">
        <v>42521</v>
      </c>
      <c r="J657" t="s">
        <v>4</v>
      </c>
      <c r="K657">
        <f>COUNTIFS(GESTIONES!$A:$A, BASE_CUENTAS!$A657, GESTIONES!$B:$B, BASE_CUENTAS!$C657)</f>
        <v>3</v>
      </c>
      <c r="L657">
        <f>COUNTIFS(GESTIONES!$A:$A, BASE_CUENTAS!$A657,GESTIONES!$B:$B, BASE_CUENTAS!$C657,GESTIONES!$E:$E, "S")</f>
        <v>2</v>
      </c>
      <c r="M657">
        <f>COUNTIFS(GESTIONES!$A:$A, BASE_CUENTAS!$A657,GESTIONES!$B:$B, BASE_CUENTAS!$C657,GESTIONES!$E:$E, "N")</f>
        <v>1</v>
      </c>
      <c r="N657">
        <f>COUNTIFS(GESTIONES!$A:$A, BASE_CUENTAS!$A657,GESTIONES!$B:$B, BASE_CUENTAS!$C657,GESTIONES!$D:$D, "SMS")</f>
        <v>1</v>
      </c>
      <c r="O657">
        <f>SUMIFS(PAGOS!$D:$D,PAGOS!$A:$A, BASE_CUENTAS!$A657,PAGOS!$B:$B, BASE_CUENTAS!$C657)</f>
        <v>18541</v>
      </c>
      <c r="P657" t="str">
        <f>IF(
VLOOKUP($C657,BASE_CIERRE_MES!$C:$G,5,FALSE)=0,
"Normalización",
IF(
VLOOKUP($C657,BASE_CIERRE_MES!$C:$G,5,FALSE)&lt;$H657,
"Recuperación",
IF(
VLOOKUP($C657,BASE_CIERRE_MES!$C:$G,5,FALSE)=$H657,
"Contención",
"Rodamiento"
)))</f>
        <v>Contención</v>
      </c>
      <c r="Q657">
        <f t="shared" si="10"/>
        <v>3.3633490910014406E-2</v>
      </c>
    </row>
    <row r="658" spans="1:17" x14ac:dyDescent="0.25">
      <c r="A658">
        <v>8381336</v>
      </c>
      <c r="B658" t="s">
        <v>18</v>
      </c>
      <c r="C658">
        <v>25292675</v>
      </c>
      <c r="D658" t="s">
        <v>7</v>
      </c>
      <c r="E658">
        <v>1750367</v>
      </c>
      <c r="F658" s="2">
        <v>1750367</v>
      </c>
      <c r="G658" s="2">
        <v>232755</v>
      </c>
      <c r="H658">
        <v>30</v>
      </c>
      <c r="I658" s="1">
        <v>42480</v>
      </c>
      <c r="J658" t="s">
        <v>6</v>
      </c>
      <c r="K658">
        <f>COUNTIFS(GESTIONES!$A:$A, BASE_CUENTAS!$A658, GESTIONES!$B:$B, BASE_CUENTAS!$C658)</f>
        <v>3</v>
      </c>
      <c r="L658">
        <f>COUNTIFS(GESTIONES!$A:$A, BASE_CUENTAS!$A658,GESTIONES!$B:$B, BASE_CUENTAS!$C658,GESTIONES!$E:$E, "S")</f>
        <v>1</v>
      </c>
      <c r="M658">
        <f>COUNTIFS(GESTIONES!$A:$A, BASE_CUENTAS!$A658,GESTIONES!$B:$B, BASE_CUENTAS!$C658,GESTIONES!$E:$E, "N")</f>
        <v>2</v>
      </c>
      <c r="N658">
        <f>COUNTIFS(GESTIONES!$A:$A, BASE_CUENTAS!$A658,GESTIONES!$B:$B, BASE_CUENTAS!$C658,GESTIONES!$D:$D, "SMS")</f>
        <v>0</v>
      </c>
      <c r="O658">
        <f>SUMIFS(PAGOS!$D:$D,PAGOS!$A:$A, BASE_CUENTAS!$A658,PAGOS!$B:$B, BASE_CUENTAS!$C658)</f>
        <v>116378</v>
      </c>
      <c r="P658" t="str">
        <f>IF(
VLOOKUP($C658,BASE_CIERRE_MES!$C:$G,5,FALSE)=0,
"Normalización",
IF(
VLOOKUP($C658,BASE_CIERRE_MES!$C:$G,5,FALSE)&lt;$H658,
"Recuperación",
IF(
VLOOKUP($C658,BASE_CIERRE_MES!$C:$G,5,FALSE)=$H658,
"Contención",
"Rodamiento"
)))</f>
        <v>Recuperación</v>
      </c>
      <c r="Q658">
        <f t="shared" si="10"/>
        <v>6.6487770850341674E-2</v>
      </c>
    </row>
    <row r="659" spans="1:17" x14ac:dyDescent="0.25">
      <c r="A659">
        <v>8381346</v>
      </c>
      <c r="B659" t="s">
        <v>17</v>
      </c>
      <c r="C659">
        <v>26705594</v>
      </c>
      <c r="D659" t="s">
        <v>7</v>
      </c>
      <c r="E659">
        <v>11123599</v>
      </c>
      <c r="F659" s="2">
        <v>5449901</v>
      </c>
      <c r="G659" s="2">
        <v>5449901</v>
      </c>
      <c r="H659">
        <v>180</v>
      </c>
      <c r="I659" s="1">
        <v>42476</v>
      </c>
      <c r="J659" t="s">
        <v>5</v>
      </c>
      <c r="K659">
        <f>COUNTIFS(GESTIONES!$A:$A, BASE_CUENTAS!$A659, GESTIONES!$B:$B, BASE_CUENTAS!$C659)</f>
        <v>3</v>
      </c>
      <c r="L659">
        <f>COUNTIFS(GESTIONES!$A:$A, BASE_CUENTAS!$A659,GESTIONES!$B:$B, BASE_CUENTAS!$C659,GESTIONES!$E:$E, "S")</f>
        <v>0</v>
      </c>
      <c r="M659">
        <f>COUNTIFS(GESTIONES!$A:$A, BASE_CUENTAS!$A659,GESTIONES!$B:$B, BASE_CUENTAS!$C659,GESTIONES!$E:$E, "N")</f>
        <v>3</v>
      </c>
      <c r="N659">
        <f>COUNTIFS(GESTIONES!$A:$A, BASE_CUENTAS!$A659,GESTIONES!$B:$B, BASE_CUENTAS!$C659,GESTIONES!$D:$D, "SMS")</f>
        <v>2</v>
      </c>
      <c r="O659">
        <f>SUMIFS(PAGOS!$D:$D,PAGOS!$A:$A, BASE_CUENTAS!$A659,PAGOS!$B:$B, BASE_CUENTAS!$C659)</f>
        <v>5449901</v>
      </c>
      <c r="P659" t="str">
        <f>IF(
VLOOKUP($C659,BASE_CIERRE_MES!$C:$G,5,FALSE)=0,
"Normalización",
IF(
VLOOKUP($C659,BASE_CIERRE_MES!$C:$G,5,FALSE)&lt;$H659,
"Recuperación",
IF(
VLOOKUP($C659,BASE_CIERRE_MES!$C:$G,5,FALSE)=$H659,
"Contención",
"Rodamiento"
)))</f>
        <v>Normalización</v>
      </c>
      <c r="Q659">
        <f t="shared" si="10"/>
        <v>1</v>
      </c>
    </row>
    <row r="660" spans="1:17" x14ac:dyDescent="0.25">
      <c r="A660">
        <v>8381346</v>
      </c>
      <c r="B660" t="s">
        <v>17</v>
      </c>
      <c r="C660">
        <v>26706135</v>
      </c>
      <c r="D660" t="s">
        <v>7</v>
      </c>
      <c r="E660">
        <v>11123599</v>
      </c>
      <c r="F660" s="2">
        <v>5673698</v>
      </c>
      <c r="G660" s="2">
        <v>5673698</v>
      </c>
      <c r="H660">
        <v>180</v>
      </c>
      <c r="I660" s="1">
        <v>42476</v>
      </c>
      <c r="J660" t="s">
        <v>5</v>
      </c>
      <c r="K660">
        <f>COUNTIFS(GESTIONES!$A:$A, BASE_CUENTAS!$A660, GESTIONES!$B:$B, BASE_CUENTAS!$C660)</f>
        <v>3</v>
      </c>
      <c r="L660">
        <f>COUNTIFS(GESTIONES!$A:$A, BASE_CUENTAS!$A660,GESTIONES!$B:$B, BASE_CUENTAS!$C660,GESTIONES!$E:$E, "S")</f>
        <v>1</v>
      </c>
      <c r="M660">
        <f>COUNTIFS(GESTIONES!$A:$A, BASE_CUENTAS!$A660,GESTIONES!$B:$B, BASE_CUENTAS!$C660,GESTIONES!$E:$E, "N")</f>
        <v>2</v>
      </c>
      <c r="N660">
        <f>COUNTIFS(GESTIONES!$A:$A, BASE_CUENTAS!$A660,GESTIONES!$B:$B, BASE_CUENTAS!$C660,GESTIONES!$D:$D, "SMS")</f>
        <v>1</v>
      </c>
      <c r="O660">
        <f>SUMIFS(PAGOS!$D:$D,PAGOS!$A:$A, BASE_CUENTAS!$A660,PAGOS!$B:$B, BASE_CUENTAS!$C660)</f>
        <v>0</v>
      </c>
      <c r="P660" t="str">
        <f>IF(
VLOOKUP($C660,BASE_CIERRE_MES!$C:$G,5,FALSE)=0,
"Normalización",
IF(
VLOOKUP($C660,BASE_CIERRE_MES!$C:$G,5,FALSE)&lt;$H660,
"Recuperación",
IF(
VLOOKUP($C660,BASE_CIERRE_MES!$C:$G,5,FALSE)=$H660,
"Contención",
"Rodamiento"
)))</f>
        <v>Rodamiento</v>
      </c>
      <c r="Q660">
        <f t="shared" si="10"/>
        <v>0</v>
      </c>
    </row>
    <row r="661" spans="1:17" x14ac:dyDescent="0.25">
      <c r="A661">
        <v>8381369</v>
      </c>
      <c r="B661" t="s">
        <v>16</v>
      </c>
      <c r="C661">
        <v>18458736</v>
      </c>
      <c r="D661" t="s">
        <v>7</v>
      </c>
      <c r="E661">
        <v>161963223</v>
      </c>
      <c r="F661" s="2">
        <v>2061130</v>
      </c>
      <c r="G661" s="2">
        <v>627615</v>
      </c>
      <c r="H661">
        <v>30</v>
      </c>
      <c r="I661" s="1">
        <v>42529</v>
      </c>
      <c r="J661" t="s">
        <v>5</v>
      </c>
      <c r="K661">
        <f>COUNTIFS(GESTIONES!$A:$A, BASE_CUENTAS!$A661, GESTIONES!$B:$B, BASE_CUENTAS!$C661)</f>
        <v>3</v>
      </c>
      <c r="L661">
        <f>COUNTIFS(GESTIONES!$A:$A, BASE_CUENTAS!$A661,GESTIONES!$B:$B, BASE_CUENTAS!$C661,GESTIONES!$E:$E, "S")</f>
        <v>1</v>
      </c>
      <c r="M661">
        <f>COUNTIFS(GESTIONES!$A:$A, BASE_CUENTAS!$A661,GESTIONES!$B:$B, BASE_CUENTAS!$C661,GESTIONES!$E:$E, "N")</f>
        <v>2</v>
      </c>
      <c r="N661">
        <f>COUNTIFS(GESTIONES!$A:$A, BASE_CUENTAS!$A661,GESTIONES!$B:$B, BASE_CUENTAS!$C661,GESTIONES!$D:$D, "SMS")</f>
        <v>0</v>
      </c>
      <c r="O661">
        <f>SUMIFS(PAGOS!$D:$D,PAGOS!$A:$A, BASE_CUENTAS!$A661,PAGOS!$B:$B, BASE_CUENTAS!$C661)</f>
        <v>313807</v>
      </c>
      <c r="P661" t="str">
        <f>IF(
VLOOKUP($C661,BASE_CIERRE_MES!$C:$G,5,FALSE)=0,
"Normalización",
IF(
VLOOKUP($C661,BASE_CIERRE_MES!$C:$G,5,FALSE)&lt;$H661,
"Recuperación",
IF(
VLOOKUP($C661,BASE_CIERRE_MES!$C:$G,5,FALSE)=$H661,
"Contención",
"Rodamiento"
)))</f>
        <v>Recuperación</v>
      </c>
      <c r="Q661">
        <f t="shared" si="10"/>
        <v>0.15224997938024287</v>
      </c>
    </row>
    <row r="662" spans="1:17" x14ac:dyDescent="0.25">
      <c r="A662">
        <v>8381369</v>
      </c>
      <c r="B662" t="s">
        <v>16</v>
      </c>
      <c r="C662">
        <v>18847819</v>
      </c>
      <c r="D662" t="s">
        <v>8</v>
      </c>
      <c r="E662">
        <v>161963223</v>
      </c>
      <c r="F662" s="2">
        <v>80367065</v>
      </c>
      <c r="G662" s="2">
        <v>1373436</v>
      </c>
      <c r="H662">
        <v>7</v>
      </c>
      <c r="I662" s="1">
        <v>42529</v>
      </c>
      <c r="J662" t="s">
        <v>5</v>
      </c>
      <c r="K662">
        <f>COUNTIFS(GESTIONES!$A:$A, BASE_CUENTAS!$A662, GESTIONES!$B:$B, BASE_CUENTAS!$C662)</f>
        <v>3</v>
      </c>
      <c r="L662">
        <f>COUNTIFS(GESTIONES!$A:$A, BASE_CUENTAS!$A662,GESTIONES!$B:$B, BASE_CUENTAS!$C662,GESTIONES!$E:$E, "S")</f>
        <v>1</v>
      </c>
      <c r="M662">
        <f>COUNTIFS(GESTIONES!$A:$A, BASE_CUENTAS!$A662,GESTIONES!$B:$B, BASE_CUENTAS!$C662,GESTIONES!$E:$E, "N")</f>
        <v>2</v>
      </c>
      <c r="N662">
        <f>COUNTIFS(GESTIONES!$A:$A, BASE_CUENTAS!$A662,GESTIONES!$B:$B, BASE_CUENTAS!$C662,GESTIONES!$D:$D, "SMS")</f>
        <v>1</v>
      </c>
      <c r="O662">
        <f>SUMIFS(PAGOS!$D:$D,PAGOS!$A:$A, BASE_CUENTAS!$A662,PAGOS!$B:$B, BASE_CUENTAS!$C662)</f>
        <v>0</v>
      </c>
      <c r="P662" t="str">
        <f>IF(
VLOOKUP($C662,BASE_CIERRE_MES!$C:$G,5,FALSE)=0,
"Normalización",
IF(
VLOOKUP($C662,BASE_CIERRE_MES!$C:$G,5,FALSE)&lt;$H662,
"Recuperación",
IF(
VLOOKUP($C662,BASE_CIERRE_MES!$C:$G,5,FALSE)=$H662,
"Contención",
"Rodamiento"
)))</f>
        <v>Rodamiento</v>
      </c>
      <c r="Q662">
        <f t="shared" si="10"/>
        <v>0</v>
      </c>
    </row>
    <row r="663" spans="1:17" x14ac:dyDescent="0.25">
      <c r="A663">
        <v>8381369</v>
      </c>
      <c r="B663" t="s">
        <v>16</v>
      </c>
      <c r="C663">
        <v>25138580</v>
      </c>
      <c r="D663" t="s">
        <v>9</v>
      </c>
      <c r="E663">
        <v>161963223</v>
      </c>
      <c r="F663" s="2">
        <v>60635361</v>
      </c>
      <c r="G663" s="2">
        <v>2926509</v>
      </c>
      <c r="H663">
        <v>22</v>
      </c>
      <c r="I663" s="1">
        <v>42529</v>
      </c>
      <c r="J663" t="s">
        <v>5</v>
      </c>
      <c r="K663">
        <f>COUNTIFS(GESTIONES!$A:$A, BASE_CUENTAS!$A663, GESTIONES!$B:$B, BASE_CUENTAS!$C663)</f>
        <v>3</v>
      </c>
      <c r="L663">
        <f>COUNTIFS(GESTIONES!$A:$A, BASE_CUENTAS!$A663,GESTIONES!$B:$B, BASE_CUENTAS!$C663,GESTIONES!$E:$E, "S")</f>
        <v>1</v>
      </c>
      <c r="M663">
        <f>COUNTIFS(GESTIONES!$A:$A, BASE_CUENTAS!$A663,GESTIONES!$B:$B, BASE_CUENTAS!$C663,GESTIONES!$E:$E, "N")</f>
        <v>2</v>
      </c>
      <c r="N663">
        <f>COUNTIFS(GESTIONES!$A:$A, BASE_CUENTAS!$A663,GESTIONES!$B:$B, BASE_CUENTAS!$C663,GESTIONES!$D:$D, "SMS")</f>
        <v>0</v>
      </c>
      <c r="O663">
        <f>SUMIFS(PAGOS!$D:$D,PAGOS!$A:$A, BASE_CUENTAS!$A663,PAGOS!$B:$B, BASE_CUENTAS!$C663)</f>
        <v>0</v>
      </c>
      <c r="P663" t="str">
        <f>IF(
VLOOKUP($C663,BASE_CIERRE_MES!$C:$G,5,FALSE)=0,
"Normalización",
IF(
VLOOKUP($C663,BASE_CIERRE_MES!$C:$G,5,FALSE)&lt;$H663,
"Recuperación",
IF(
VLOOKUP($C663,BASE_CIERRE_MES!$C:$G,5,FALSE)=$H663,
"Contención",
"Rodamiento"
)))</f>
        <v>Rodamiento</v>
      </c>
      <c r="Q663">
        <f t="shared" si="10"/>
        <v>0</v>
      </c>
    </row>
    <row r="664" spans="1:17" x14ac:dyDescent="0.25">
      <c r="A664">
        <v>8381369</v>
      </c>
      <c r="B664" t="s">
        <v>16</v>
      </c>
      <c r="C664">
        <v>25452876</v>
      </c>
      <c r="D664" t="s">
        <v>12</v>
      </c>
      <c r="E664">
        <v>161963223</v>
      </c>
      <c r="F664" s="2">
        <v>5617925</v>
      </c>
      <c r="G664" s="2">
        <v>326789</v>
      </c>
      <c r="H664">
        <v>24</v>
      </c>
      <c r="I664" s="1">
        <v>42529</v>
      </c>
      <c r="J664" t="s">
        <v>5</v>
      </c>
      <c r="K664">
        <f>COUNTIFS(GESTIONES!$A:$A, BASE_CUENTAS!$A664, GESTIONES!$B:$B, BASE_CUENTAS!$C664)</f>
        <v>3</v>
      </c>
      <c r="L664">
        <f>COUNTIFS(GESTIONES!$A:$A, BASE_CUENTAS!$A664,GESTIONES!$B:$B, BASE_CUENTAS!$C664,GESTIONES!$E:$E, "S")</f>
        <v>0</v>
      </c>
      <c r="M664">
        <f>COUNTIFS(GESTIONES!$A:$A, BASE_CUENTAS!$A664,GESTIONES!$B:$B, BASE_CUENTAS!$C664,GESTIONES!$E:$E, "N")</f>
        <v>3</v>
      </c>
      <c r="N664">
        <f>COUNTIFS(GESTIONES!$A:$A, BASE_CUENTAS!$A664,GESTIONES!$B:$B, BASE_CUENTAS!$C664,GESTIONES!$D:$D, "SMS")</f>
        <v>2</v>
      </c>
      <c r="O664">
        <f>SUMIFS(PAGOS!$D:$D,PAGOS!$A:$A, BASE_CUENTAS!$A664,PAGOS!$B:$B, BASE_CUENTAS!$C664)</f>
        <v>0</v>
      </c>
      <c r="P664" t="str">
        <f>IF(
VLOOKUP($C664,BASE_CIERRE_MES!$C:$G,5,FALSE)=0,
"Normalización",
IF(
VLOOKUP($C664,BASE_CIERRE_MES!$C:$G,5,FALSE)&lt;$H664,
"Recuperación",
IF(
VLOOKUP($C664,BASE_CIERRE_MES!$C:$G,5,FALSE)=$H664,
"Contención",
"Rodamiento"
)))</f>
        <v>Rodamiento</v>
      </c>
      <c r="Q664">
        <f t="shared" si="10"/>
        <v>0</v>
      </c>
    </row>
    <row r="665" spans="1:17" x14ac:dyDescent="0.25">
      <c r="A665">
        <v>8381369</v>
      </c>
      <c r="B665" t="s">
        <v>16</v>
      </c>
      <c r="C665">
        <v>25783645</v>
      </c>
      <c r="D665" t="s">
        <v>12</v>
      </c>
      <c r="E665">
        <v>161963223</v>
      </c>
      <c r="F665" s="2">
        <v>2291831</v>
      </c>
      <c r="G665" s="2">
        <v>220361</v>
      </c>
      <c r="H665">
        <v>24</v>
      </c>
      <c r="I665" s="1">
        <v>42529</v>
      </c>
      <c r="J665" t="s">
        <v>5</v>
      </c>
      <c r="K665">
        <f>COUNTIFS(GESTIONES!$A:$A, BASE_CUENTAS!$A665, GESTIONES!$B:$B, BASE_CUENTAS!$C665)</f>
        <v>3</v>
      </c>
      <c r="L665">
        <f>COUNTIFS(GESTIONES!$A:$A, BASE_CUENTAS!$A665,GESTIONES!$B:$B, BASE_CUENTAS!$C665,GESTIONES!$E:$E, "S")</f>
        <v>1</v>
      </c>
      <c r="M665">
        <f>COUNTIFS(GESTIONES!$A:$A, BASE_CUENTAS!$A665,GESTIONES!$B:$B, BASE_CUENTAS!$C665,GESTIONES!$E:$E, "N")</f>
        <v>2</v>
      </c>
      <c r="N665">
        <f>COUNTIFS(GESTIONES!$A:$A, BASE_CUENTAS!$A665,GESTIONES!$B:$B, BASE_CUENTAS!$C665,GESTIONES!$D:$D, "SMS")</f>
        <v>1</v>
      </c>
      <c r="O665">
        <f>SUMIFS(PAGOS!$D:$D,PAGOS!$A:$A, BASE_CUENTAS!$A665,PAGOS!$B:$B, BASE_CUENTAS!$C665)</f>
        <v>73454</v>
      </c>
      <c r="P665" t="str">
        <f>IF(
VLOOKUP($C665,BASE_CIERRE_MES!$C:$G,5,FALSE)=0,
"Normalización",
IF(
VLOOKUP($C665,BASE_CIERRE_MES!$C:$G,5,FALSE)&lt;$H665,
"Recuperación",
IF(
VLOOKUP($C665,BASE_CIERRE_MES!$C:$G,5,FALSE)=$H665,
"Contención",
"Rodamiento"
)))</f>
        <v>Rodamiento</v>
      </c>
      <c r="Q665">
        <f t="shared" si="10"/>
        <v>3.2050356243545006E-2</v>
      </c>
    </row>
    <row r="666" spans="1:17" x14ac:dyDescent="0.25">
      <c r="A666">
        <v>8381369</v>
      </c>
      <c r="B666" t="s">
        <v>16</v>
      </c>
      <c r="C666">
        <v>26266777</v>
      </c>
      <c r="D666" t="s">
        <v>12</v>
      </c>
      <c r="E666">
        <v>161963223</v>
      </c>
      <c r="F666" s="2">
        <v>175599</v>
      </c>
      <c r="G666" s="2">
        <v>81748</v>
      </c>
      <c r="H666">
        <v>24</v>
      </c>
      <c r="I666" s="1">
        <v>42529</v>
      </c>
      <c r="J666" t="s">
        <v>5</v>
      </c>
      <c r="K666">
        <f>COUNTIFS(GESTIONES!$A:$A, BASE_CUENTAS!$A666, GESTIONES!$B:$B, BASE_CUENTAS!$C666)</f>
        <v>3</v>
      </c>
      <c r="L666">
        <f>COUNTIFS(GESTIONES!$A:$A, BASE_CUENTAS!$A666,GESTIONES!$B:$B, BASE_CUENTAS!$C666,GESTIONES!$E:$E, "S")</f>
        <v>1</v>
      </c>
      <c r="M666">
        <f>COUNTIFS(GESTIONES!$A:$A, BASE_CUENTAS!$A666,GESTIONES!$B:$B, BASE_CUENTAS!$C666,GESTIONES!$E:$E, "N")</f>
        <v>2</v>
      </c>
      <c r="N666">
        <f>COUNTIFS(GESTIONES!$A:$A, BASE_CUENTAS!$A666,GESTIONES!$B:$B, BASE_CUENTAS!$C666,GESTIONES!$D:$D, "SMS")</f>
        <v>0</v>
      </c>
      <c r="O666">
        <f>SUMIFS(PAGOS!$D:$D,PAGOS!$A:$A, BASE_CUENTAS!$A666,PAGOS!$B:$B, BASE_CUENTAS!$C666)</f>
        <v>81748</v>
      </c>
      <c r="P666" t="str">
        <f>IF(
VLOOKUP($C666,BASE_CIERRE_MES!$C:$G,5,FALSE)=0,
"Normalización",
IF(
VLOOKUP($C666,BASE_CIERRE_MES!$C:$G,5,FALSE)&lt;$H666,
"Recuperación",
IF(
VLOOKUP($C666,BASE_CIERRE_MES!$C:$G,5,FALSE)=$H666,
"Contención",
"Rodamiento"
)))</f>
        <v>Normalización</v>
      </c>
      <c r="Q666">
        <f t="shared" si="10"/>
        <v>0.46553795864441139</v>
      </c>
    </row>
    <row r="667" spans="1:17" x14ac:dyDescent="0.25">
      <c r="A667">
        <v>8381475</v>
      </c>
      <c r="B667" t="s">
        <v>16</v>
      </c>
      <c r="C667">
        <v>14190251</v>
      </c>
      <c r="D667" t="s">
        <v>7</v>
      </c>
      <c r="E667">
        <v>8312220</v>
      </c>
      <c r="F667" s="2">
        <v>2922025</v>
      </c>
      <c r="G667" s="2">
        <v>979656</v>
      </c>
      <c r="H667">
        <v>60</v>
      </c>
      <c r="I667" s="1">
        <v>42524</v>
      </c>
      <c r="J667" t="s">
        <v>6</v>
      </c>
      <c r="K667">
        <f>COUNTIFS(GESTIONES!$A:$A, BASE_CUENTAS!$A667, GESTIONES!$B:$B, BASE_CUENTAS!$C667)</f>
        <v>3</v>
      </c>
      <c r="L667">
        <f>COUNTIFS(GESTIONES!$A:$A, BASE_CUENTAS!$A667,GESTIONES!$B:$B, BASE_CUENTAS!$C667,GESTIONES!$E:$E, "S")</f>
        <v>1</v>
      </c>
      <c r="M667">
        <f>COUNTIFS(GESTIONES!$A:$A, BASE_CUENTAS!$A667,GESTIONES!$B:$B, BASE_CUENTAS!$C667,GESTIONES!$E:$E, "N")</f>
        <v>2</v>
      </c>
      <c r="N667">
        <f>COUNTIFS(GESTIONES!$A:$A, BASE_CUENTAS!$A667,GESTIONES!$B:$B, BASE_CUENTAS!$C667,GESTIONES!$D:$D, "SMS")</f>
        <v>1</v>
      </c>
      <c r="O667">
        <f>SUMIFS(PAGOS!$D:$D,PAGOS!$A:$A, BASE_CUENTAS!$A667,PAGOS!$B:$B, BASE_CUENTAS!$C667)</f>
        <v>2922025</v>
      </c>
      <c r="P667" t="str">
        <f>IF(
VLOOKUP($C667,BASE_CIERRE_MES!$C:$G,5,FALSE)=0,
"Normalización",
IF(
VLOOKUP($C667,BASE_CIERRE_MES!$C:$G,5,FALSE)&lt;$H667,
"Recuperación",
IF(
VLOOKUP($C667,BASE_CIERRE_MES!$C:$G,5,FALSE)=$H667,
"Contención",
"Rodamiento"
)))</f>
        <v>Normalización</v>
      </c>
      <c r="Q667">
        <f t="shared" si="10"/>
        <v>1</v>
      </c>
    </row>
    <row r="668" spans="1:17" x14ac:dyDescent="0.25">
      <c r="A668">
        <v>8381475</v>
      </c>
      <c r="B668" t="s">
        <v>16</v>
      </c>
      <c r="C668">
        <v>16298674</v>
      </c>
      <c r="D668" t="s">
        <v>7</v>
      </c>
      <c r="E668">
        <v>8312220</v>
      </c>
      <c r="F668" s="2">
        <v>1234875</v>
      </c>
      <c r="G668" s="2">
        <v>420222</v>
      </c>
      <c r="H668">
        <v>60</v>
      </c>
      <c r="I668" s="1">
        <v>42490</v>
      </c>
      <c r="J668" t="s">
        <v>6</v>
      </c>
      <c r="K668">
        <f>COUNTIFS(GESTIONES!$A:$A, BASE_CUENTAS!$A668, GESTIONES!$B:$B, BASE_CUENTAS!$C668)</f>
        <v>3</v>
      </c>
      <c r="L668">
        <f>COUNTIFS(GESTIONES!$A:$A, BASE_CUENTAS!$A668,GESTIONES!$B:$B, BASE_CUENTAS!$C668,GESTIONES!$E:$E, "S")</f>
        <v>1</v>
      </c>
      <c r="M668">
        <f>COUNTIFS(GESTIONES!$A:$A, BASE_CUENTAS!$A668,GESTIONES!$B:$B, BASE_CUENTAS!$C668,GESTIONES!$E:$E, "N")</f>
        <v>2</v>
      </c>
      <c r="N668">
        <f>COUNTIFS(GESTIONES!$A:$A, BASE_CUENTAS!$A668,GESTIONES!$B:$B, BASE_CUENTAS!$C668,GESTIONES!$D:$D, "SMS")</f>
        <v>0</v>
      </c>
      <c r="O668">
        <f>SUMIFS(PAGOS!$D:$D,PAGOS!$A:$A, BASE_CUENTAS!$A668,PAGOS!$B:$B, BASE_CUENTAS!$C668)</f>
        <v>210112</v>
      </c>
      <c r="P668" t="str">
        <f>IF(
VLOOKUP($C668,BASE_CIERRE_MES!$C:$G,5,FALSE)=0,
"Normalización",
IF(
VLOOKUP($C668,BASE_CIERRE_MES!$C:$G,5,FALSE)&lt;$H668,
"Recuperación",
IF(
VLOOKUP($C668,BASE_CIERRE_MES!$C:$G,5,FALSE)=$H668,
"Contención",
"Rodamiento"
)))</f>
        <v>Recuperación</v>
      </c>
      <c r="Q668">
        <f t="shared" si="10"/>
        <v>0.17014839558659783</v>
      </c>
    </row>
    <row r="669" spans="1:17" x14ac:dyDescent="0.25">
      <c r="A669">
        <v>8381475</v>
      </c>
      <c r="B669" t="s">
        <v>16</v>
      </c>
      <c r="C669">
        <v>16300086</v>
      </c>
      <c r="D669" t="s">
        <v>7</v>
      </c>
      <c r="E669">
        <v>8312220</v>
      </c>
      <c r="F669" s="2">
        <v>1233294</v>
      </c>
      <c r="G669" s="2">
        <v>420107</v>
      </c>
      <c r="H669">
        <v>60</v>
      </c>
      <c r="I669" s="1">
        <v>42490</v>
      </c>
      <c r="J669" t="s">
        <v>6</v>
      </c>
      <c r="K669">
        <f>COUNTIFS(GESTIONES!$A:$A, BASE_CUENTAS!$A669, GESTIONES!$B:$B, BASE_CUENTAS!$C669)</f>
        <v>3</v>
      </c>
      <c r="L669">
        <f>COUNTIFS(GESTIONES!$A:$A, BASE_CUENTAS!$A669,GESTIONES!$B:$B, BASE_CUENTAS!$C669,GESTIONES!$E:$E, "S")</f>
        <v>0</v>
      </c>
      <c r="M669">
        <f>COUNTIFS(GESTIONES!$A:$A, BASE_CUENTAS!$A669,GESTIONES!$B:$B, BASE_CUENTAS!$C669,GESTIONES!$E:$E, "N")</f>
        <v>3</v>
      </c>
      <c r="N669">
        <f>COUNTIFS(GESTIONES!$A:$A, BASE_CUENTAS!$A669,GESTIONES!$B:$B, BASE_CUENTAS!$C669,GESTIONES!$D:$D, "SMS")</f>
        <v>2</v>
      </c>
      <c r="O669">
        <f>SUMIFS(PAGOS!$D:$D,PAGOS!$A:$A, BASE_CUENTAS!$A669,PAGOS!$B:$B, BASE_CUENTAS!$C669)</f>
        <v>420107</v>
      </c>
      <c r="P669" t="str">
        <f>IF(
VLOOKUP($C669,BASE_CIERRE_MES!$C:$G,5,FALSE)=0,
"Normalización",
IF(
VLOOKUP($C669,BASE_CIERRE_MES!$C:$G,5,FALSE)&lt;$H669,
"Recuperación",
IF(
VLOOKUP($C669,BASE_CIERRE_MES!$C:$G,5,FALSE)=$H669,
"Contención",
"Rodamiento"
)))</f>
        <v>Normalización</v>
      </c>
      <c r="Q669">
        <f t="shared" si="10"/>
        <v>0.34063816089269872</v>
      </c>
    </row>
    <row r="670" spans="1:17" x14ac:dyDescent="0.25">
      <c r="A670">
        <v>8381475</v>
      </c>
      <c r="B670" t="s">
        <v>16</v>
      </c>
      <c r="C670">
        <v>28582935</v>
      </c>
      <c r="D670" t="s">
        <v>7</v>
      </c>
      <c r="E670">
        <v>8312220</v>
      </c>
      <c r="F670" s="2">
        <v>2922025</v>
      </c>
      <c r="G670" s="2">
        <v>979656</v>
      </c>
      <c r="H670">
        <v>60</v>
      </c>
      <c r="I670" s="1">
        <v>42523</v>
      </c>
      <c r="J670" t="s">
        <v>6</v>
      </c>
      <c r="K670">
        <f>COUNTIFS(GESTIONES!$A:$A, BASE_CUENTAS!$A670, GESTIONES!$B:$B, BASE_CUENTAS!$C670)</f>
        <v>3</v>
      </c>
      <c r="L670">
        <f>COUNTIFS(GESTIONES!$A:$A, BASE_CUENTAS!$A670,GESTIONES!$B:$B, BASE_CUENTAS!$C670,GESTIONES!$E:$E, "S")</f>
        <v>1</v>
      </c>
      <c r="M670">
        <f>COUNTIFS(GESTIONES!$A:$A, BASE_CUENTAS!$A670,GESTIONES!$B:$B, BASE_CUENTAS!$C670,GESTIONES!$E:$E, "N")</f>
        <v>2</v>
      </c>
      <c r="N670">
        <f>COUNTIFS(GESTIONES!$A:$A, BASE_CUENTAS!$A670,GESTIONES!$B:$B, BASE_CUENTAS!$C670,GESTIONES!$D:$D, "SMS")</f>
        <v>1</v>
      </c>
      <c r="O670">
        <f>SUMIFS(PAGOS!$D:$D,PAGOS!$A:$A, BASE_CUENTAS!$A670,PAGOS!$B:$B, BASE_CUENTAS!$C670)</f>
        <v>489829</v>
      </c>
      <c r="P670" t="str">
        <f>IF(
VLOOKUP($C670,BASE_CIERRE_MES!$C:$G,5,FALSE)=0,
"Normalización",
IF(
VLOOKUP($C670,BASE_CIERRE_MES!$C:$G,5,FALSE)&lt;$H670,
"Recuperación",
IF(
VLOOKUP($C670,BASE_CIERRE_MES!$C:$G,5,FALSE)=$H670,
"Contención",
"Rodamiento"
)))</f>
        <v>Recuperación</v>
      </c>
      <c r="Q670">
        <f t="shared" si="10"/>
        <v>0.16763340491611126</v>
      </c>
    </row>
    <row r="671" spans="1:17" x14ac:dyDescent="0.25">
      <c r="A671">
        <v>8381515</v>
      </c>
      <c r="B671" t="s">
        <v>18</v>
      </c>
      <c r="C671">
        <v>14729284</v>
      </c>
      <c r="D671" t="s">
        <v>7</v>
      </c>
      <c r="E671">
        <v>456719</v>
      </c>
      <c r="F671" s="2">
        <v>86829</v>
      </c>
      <c r="G671" s="2">
        <v>70819</v>
      </c>
      <c r="H671">
        <v>90</v>
      </c>
      <c r="I671" s="1">
        <v>42508</v>
      </c>
      <c r="J671" t="s">
        <v>6</v>
      </c>
      <c r="K671">
        <f>COUNTIFS(GESTIONES!$A:$A, BASE_CUENTAS!$A671, GESTIONES!$B:$B, BASE_CUENTAS!$C671)</f>
        <v>3</v>
      </c>
      <c r="L671">
        <f>COUNTIFS(GESTIONES!$A:$A, BASE_CUENTAS!$A671,GESTIONES!$B:$B, BASE_CUENTAS!$C671,GESTIONES!$E:$E, "S")</f>
        <v>1</v>
      </c>
      <c r="M671">
        <f>COUNTIFS(GESTIONES!$A:$A, BASE_CUENTAS!$A671,GESTIONES!$B:$B, BASE_CUENTAS!$C671,GESTIONES!$E:$E, "N")</f>
        <v>2</v>
      </c>
      <c r="N671">
        <f>COUNTIFS(GESTIONES!$A:$A, BASE_CUENTAS!$A671,GESTIONES!$B:$B, BASE_CUENTAS!$C671,GESTIONES!$D:$D, "SMS")</f>
        <v>0</v>
      </c>
      <c r="O671">
        <f>SUMIFS(PAGOS!$D:$D,PAGOS!$A:$A, BASE_CUENTAS!$A671,PAGOS!$B:$B, BASE_CUENTAS!$C671)</f>
        <v>70819</v>
      </c>
      <c r="P671" t="str">
        <f>IF(
VLOOKUP($C671,BASE_CIERRE_MES!$C:$G,5,FALSE)=0,
"Normalización",
IF(
VLOOKUP($C671,BASE_CIERRE_MES!$C:$G,5,FALSE)&lt;$H671,
"Recuperación",
IF(
VLOOKUP($C671,BASE_CIERRE_MES!$C:$G,5,FALSE)=$H671,
"Contención",
"Rodamiento"
)))</f>
        <v>Normalización</v>
      </c>
      <c r="Q671">
        <f t="shared" si="10"/>
        <v>0.81561459880915366</v>
      </c>
    </row>
    <row r="672" spans="1:17" x14ac:dyDescent="0.25">
      <c r="A672">
        <v>8381515</v>
      </c>
      <c r="B672" t="s">
        <v>18</v>
      </c>
      <c r="C672">
        <v>14731171</v>
      </c>
      <c r="D672" t="s">
        <v>7</v>
      </c>
      <c r="E672">
        <v>456719</v>
      </c>
      <c r="F672" s="2">
        <v>369890</v>
      </c>
      <c r="G672" s="2">
        <v>145289</v>
      </c>
      <c r="H672">
        <v>90</v>
      </c>
      <c r="I672" s="1">
        <v>42508</v>
      </c>
      <c r="J672" t="s">
        <v>6</v>
      </c>
      <c r="K672">
        <f>COUNTIFS(GESTIONES!$A:$A, BASE_CUENTAS!$A672, GESTIONES!$B:$B, BASE_CUENTAS!$C672)</f>
        <v>3</v>
      </c>
      <c r="L672">
        <f>COUNTIFS(GESTIONES!$A:$A, BASE_CUENTAS!$A672,GESTIONES!$B:$B, BASE_CUENTAS!$C672,GESTIONES!$E:$E, "S")</f>
        <v>1</v>
      </c>
      <c r="M672">
        <f>COUNTIFS(GESTIONES!$A:$A, BASE_CUENTAS!$A672,GESTIONES!$B:$B, BASE_CUENTAS!$C672,GESTIONES!$E:$E, "N")</f>
        <v>2</v>
      </c>
      <c r="N672">
        <f>COUNTIFS(GESTIONES!$A:$A, BASE_CUENTAS!$A672,GESTIONES!$B:$B, BASE_CUENTAS!$C672,GESTIONES!$D:$D, "SMS")</f>
        <v>1</v>
      </c>
      <c r="O672">
        <f>SUMIFS(PAGOS!$D:$D,PAGOS!$A:$A, BASE_CUENTAS!$A672,PAGOS!$B:$B, BASE_CUENTAS!$C672)</f>
        <v>0</v>
      </c>
      <c r="P672" t="str">
        <f>IF(
VLOOKUP($C672,BASE_CIERRE_MES!$C:$G,5,FALSE)=0,
"Normalización",
IF(
VLOOKUP($C672,BASE_CIERRE_MES!$C:$G,5,FALSE)&lt;$H672,
"Recuperación",
IF(
VLOOKUP($C672,BASE_CIERRE_MES!$C:$G,5,FALSE)=$H672,
"Contención",
"Rodamiento"
)))</f>
        <v>Rodamiento</v>
      </c>
      <c r="Q672">
        <f t="shared" si="10"/>
        <v>0</v>
      </c>
    </row>
    <row r="673" spans="1:17" x14ac:dyDescent="0.25">
      <c r="A673">
        <v>8381524</v>
      </c>
      <c r="B673" t="s">
        <v>18</v>
      </c>
      <c r="C673">
        <v>19335684</v>
      </c>
      <c r="D673" t="s">
        <v>7</v>
      </c>
      <c r="E673">
        <v>3546147</v>
      </c>
      <c r="F673" s="2">
        <v>2909819</v>
      </c>
      <c r="G673" s="2">
        <v>395045</v>
      </c>
      <c r="H673">
        <v>30</v>
      </c>
      <c r="I673" s="1">
        <v>42508</v>
      </c>
      <c r="J673" t="s">
        <v>6</v>
      </c>
      <c r="K673">
        <f>COUNTIFS(GESTIONES!$A:$A, BASE_CUENTAS!$A673, GESTIONES!$B:$B, BASE_CUENTAS!$C673)</f>
        <v>3</v>
      </c>
      <c r="L673">
        <f>COUNTIFS(GESTIONES!$A:$A, BASE_CUENTAS!$A673,GESTIONES!$B:$B, BASE_CUENTAS!$C673,GESTIONES!$E:$E, "S")</f>
        <v>2</v>
      </c>
      <c r="M673">
        <f>COUNTIFS(GESTIONES!$A:$A, BASE_CUENTAS!$A673,GESTIONES!$B:$B, BASE_CUENTAS!$C673,GESTIONES!$E:$E, "N")</f>
        <v>1</v>
      </c>
      <c r="N673">
        <f>COUNTIFS(GESTIONES!$A:$A, BASE_CUENTAS!$A673,GESTIONES!$B:$B, BASE_CUENTAS!$C673,GESTIONES!$D:$D, "SMS")</f>
        <v>0</v>
      </c>
      <c r="O673">
        <f>SUMIFS(PAGOS!$D:$D,PAGOS!$A:$A, BASE_CUENTAS!$A673,PAGOS!$B:$B, BASE_CUENTAS!$C673)</f>
        <v>0</v>
      </c>
      <c r="P673" t="str">
        <f>IF(
VLOOKUP($C673,BASE_CIERRE_MES!$C:$G,5,FALSE)=0,
"Normalización",
IF(
VLOOKUP($C673,BASE_CIERRE_MES!$C:$G,5,FALSE)&lt;$H673,
"Recuperación",
IF(
VLOOKUP($C673,BASE_CIERRE_MES!$C:$G,5,FALSE)=$H673,
"Contención",
"Rodamiento"
)))</f>
        <v>Rodamiento</v>
      </c>
      <c r="Q673">
        <f t="shared" si="10"/>
        <v>0</v>
      </c>
    </row>
    <row r="674" spans="1:17" x14ac:dyDescent="0.25">
      <c r="A674">
        <v>8381568</v>
      </c>
      <c r="B674" t="s">
        <v>16</v>
      </c>
      <c r="C674">
        <v>16242367</v>
      </c>
      <c r="D674" t="s">
        <v>7</v>
      </c>
      <c r="E674">
        <v>49511140</v>
      </c>
      <c r="F674" s="2">
        <v>8178378</v>
      </c>
      <c r="G674" s="2">
        <v>965132</v>
      </c>
      <c r="H674">
        <v>30</v>
      </c>
      <c r="I674" s="1">
        <v>42508</v>
      </c>
      <c r="J674" t="s">
        <v>6</v>
      </c>
      <c r="K674">
        <f>COUNTIFS(GESTIONES!$A:$A, BASE_CUENTAS!$A674, GESTIONES!$B:$B, BASE_CUENTAS!$C674)</f>
        <v>3</v>
      </c>
      <c r="L674">
        <f>COUNTIFS(GESTIONES!$A:$A, BASE_CUENTAS!$A674,GESTIONES!$B:$B, BASE_CUENTAS!$C674,GESTIONES!$E:$E, "S")</f>
        <v>1</v>
      </c>
      <c r="M674">
        <f>COUNTIFS(GESTIONES!$A:$A, BASE_CUENTAS!$A674,GESTIONES!$B:$B, BASE_CUENTAS!$C674,GESTIONES!$E:$E, "N")</f>
        <v>2</v>
      </c>
      <c r="N674">
        <f>COUNTIFS(GESTIONES!$A:$A, BASE_CUENTAS!$A674,GESTIONES!$B:$B, BASE_CUENTAS!$C674,GESTIONES!$D:$D, "SMS")</f>
        <v>1</v>
      </c>
      <c r="O674">
        <f>SUMIFS(PAGOS!$D:$D,PAGOS!$A:$A, BASE_CUENTAS!$A674,PAGOS!$B:$B, BASE_CUENTAS!$C674)</f>
        <v>965132</v>
      </c>
      <c r="P674" t="str">
        <f>IF(
VLOOKUP($C674,BASE_CIERRE_MES!$C:$G,5,FALSE)=0,
"Normalización",
IF(
VLOOKUP($C674,BASE_CIERRE_MES!$C:$G,5,FALSE)&lt;$H674,
"Recuperación",
IF(
VLOOKUP($C674,BASE_CIERRE_MES!$C:$G,5,FALSE)=$H674,
"Contención",
"Rodamiento"
)))</f>
        <v>Normalización</v>
      </c>
      <c r="Q674">
        <f t="shared" si="10"/>
        <v>0.11801019713199855</v>
      </c>
    </row>
    <row r="675" spans="1:17" x14ac:dyDescent="0.25">
      <c r="A675">
        <v>8381568</v>
      </c>
      <c r="B675" t="s">
        <v>16</v>
      </c>
      <c r="C675">
        <v>23075902</v>
      </c>
      <c r="D675" t="s">
        <v>8</v>
      </c>
      <c r="E675">
        <v>49511140</v>
      </c>
      <c r="F675" s="2">
        <v>34114965</v>
      </c>
      <c r="G675" s="2">
        <v>1506246</v>
      </c>
      <c r="H675">
        <v>41</v>
      </c>
      <c r="I675" s="1">
        <v>42489</v>
      </c>
      <c r="J675" t="s">
        <v>6</v>
      </c>
      <c r="K675">
        <f>COUNTIFS(GESTIONES!$A:$A, BASE_CUENTAS!$A675, GESTIONES!$B:$B, BASE_CUENTAS!$C675)</f>
        <v>3</v>
      </c>
      <c r="L675">
        <f>COUNTIFS(GESTIONES!$A:$A, BASE_CUENTAS!$A675,GESTIONES!$B:$B, BASE_CUENTAS!$C675,GESTIONES!$E:$E, "S")</f>
        <v>0</v>
      </c>
      <c r="M675">
        <f>COUNTIFS(GESTIONES!$A:$A, BASE_CUENTAS!$A675,GESTIONES!$B:$B, BASE_CUENTAS!$C675,GESTIONES!$E:$E, "N")</f>
        <v>3</v>
      </c>
      <c r="N675">
        <f>COUNTIFS(GESTIONES!$A:$A, BASE_CUENTAS!$A675,GESTIONES!$B:$B, BASE_CUENTAS!$C675,GESTIONES!$D:$D, "SMS")</f>
        <v>1</v>
      </c>
      <c r="O675">
        <f>SUMIFS(PAGOS!$D:$D,PAGOS!$A:$A, BASE_CUENTAS!$A675,PAGOS!$B:$B, BASE_CUENTAS!$C675)</f>
        <v>0</v>
      </c>
      <c r="P675" t="str">
        <f>IF(
VLOOKUP($C675,BASE_CIERRE_MES!$C:$G,5,FALSE)=0,
"Normalización",
IF(
VLOOKUP($C675,BASE_CIERRE_MES!$C:$G,5,FALSE)&lt;$H675,
"Recuperación",
IF(
VLOOKUP($C675,BASE_CIERRE_MES!$C:$G,5,FALSE)=$H675,
"Contención",
"Rodamiento"
)))</f>
        <v>Rodamiento</v>
      </c>
      <c r="Q675">
        <f t="shared" si="10"/>
        <v>0</v>
      </c>
    </row>
    <row r="676" spans="1:17" x14ac:dyDescent="0.25">
      <c r="A676">
        <v>8381568</v>
      </c>
      <c r="B676" t="s">
        <v>16</v>
      </c>
      <c r="C676">
        <v>24024759</v>
      </c>
      <c r="D676" t="s">
        <v>7</v>
      </c>
      <c r="E676">
        <v>49511140</v>
      </c>
      <c r="F676" s="2">
        <v>7217797</v>
      </c>
      <c r="G676" s="2">
        <v>1071313</v>
      </c>
      <c r="H676">
        <v>60</v>
      </c>
      <c r="I676" s="1">
        <v>42489</v>
      </c>
      <c r="J676" t="s">
        <v>6</v>
      </c>
      <c r="K676">
        <f>COUNTIFS(GESTIONES!$A:$A, BASE_CUENTAS!$A676, GESTIONES!$B:$B, BASE_CUENTAS!$C676)</f>
        <v>3</v>
      </c>
      <c r="L676">
        <f>COUNTIFS(GESTIONES!$A:$A, BASE_CUENTAS!$A676,GESTIONES!$B:$B, BASE_CUENTAS!$C676,GESTIONES!$E:$E, "S")</f>
        <v>1</v>
      </c>
      <c r="M676">
        <f>COUNTIFS(GESTIONES!$A:$A, BASE_CUENTAS!$A676,GESTIONES!$B:$B, BASE_CUENTAS!$C676,GESTIONES!$E:$E, "N")</f>
        <v>2</v>
      </c>
      <c r="N676">
        <f>COUNTIFS(GESTIONES!$A:$A, BASE_CUENTAS!$A676,GESTIONES!$B:$B, BASE_CUENTAS!$C676,GESTIONES!$D:$D, "SMS")</f>
        <v>1</v>
      </c>
      <c r="O676">
        <f>SUMIFS(PAGOS!$D:$D,PAGOS!$A:$A, BASE_CUENTAS!$A676,PAGOS!$B:$B, BASE_CUENTAS!$C676)</f>
        <v>1071313</v>
      </c>
      <c r="P676" t="str">
        <f>IF(
VLOOKUP($C676,BASE_CIERRE_MES!$C:$G,5,FALSE)=0,
"Normalización",
IF(
VLOOKUP($C676,BASE_CIERRE_MES!$C:$G,5,FALSE)&lt;$H676,
"Recuperación",
IF(
VLOOKUP($C676,BASE_CIERRE_MES!$C:$G,5,FALSE)=$H676,
"Contención",
"Rodamiento"
)))</f>
        <v>Normalización</v>
      </c>
      <c r="Q676">
        <f t="shared" si="10"/>
        <v>0.14842659055110582</v>
      </c>
    </row>
    <row r="677" spans="1:17" x14ac:dyDescent="0.25">
      <c r="A677">
        <v>8381582</v>
      </c>
      <c r="B677" t="s">
        <v>18</v>
      </c>
      <c r="C677">
        <v>1600919</v>
      </c>
      <c r="D677" t="s">
        <v>7</v>
      </c>
      <c r="E677">
        <v>2147931</v>
      </c>
      <c r="F677" s="2">
        <v>2147931</v>
      </c>
      <c r="G677" s="2">
        <v>2142512</v>
      </c>
      <c r="H677">
        <v>150</v>
      </c>
      <c r="I677" s="1">
        <v>42509</v>
      </c>
      <c r="J677" t="s">
        <v>5</v>
      </c>
      <c r="K677">
        <f>COUNTIFS(GESTIONES!$A:$A, BASE_CUENTAS!$A677, GESTIONES!$B:$B, BASE_CUENTAS!$C677)</f>
        <v>3</v>
      </c>
      <c r="L677">
        <f>COUNTIFS(GESTIONES!$A:$A, BASE_CUENTAS!$A677,GESTIONES!$B:$B, BASE_CUENTAS!$C677,GESTIONES!$E:$E, "S")</f>
        <v>1</v>
      </c>
      <c r="M677">
        <f>COUNTIFS(GESTIONES!$A:$A, BASE_CUENTAS!$A677,GESTIONES!$B:$B, BASE_CUENTAS!$C677,GESTIONES!$E:$E, "N")</f>
        <v>2</v>
      </c>
      <c r="N677">
        <f>COUNTIFS(GESTIONES!$A:$A, BASE_CUENTAS!$A677,GESTIONES!$B:$B, BASE_CUENTAS!$C677,GESTIONES!$D:$D, "SMS")</f>
        <v>1</v>
      </c>
      <c r="O677">
        <f>SUMIFS(PAGOS!$D:$D,PAGOS!$A:$A, BASE_CUENTAS!$A677,PAGOS!$B:$B, BASE_CUENTAS!$C677)</f>
        <v>2147931</v>
      </c>
      <c r="P677" t="str">
        <f>IF(
VLOOKUP($C677,BASE_CIERRE_MES!$C:$G,5,FALSE)=0,
"Normalización",
IF(
VLOOKUP($C677,BASE_CIERRE_MES!$C:$G,5,FALSE)&lt;$H677,
"Recuperación",
IF(
VLOOKUP($C677,BASE_CIERRE_MES!$C:$G,5,FALSE)=$H677,
"Contención",
"Rodamiento"
)))</f>
        <v>Normalización</v>
      </c>
      <c r="Q677">
        <f t="shared" si="10"/>
        <v>1</v>
      </c>
    </row>
    <row r="678" spans="1:17" x14ac:dyDescent="0.25">
      <c r="A678">
        <v>8382938</v>
      </c>
      <c r="B678" t="s">
        <v>18</v>
      </c>
      <c r="C678">
        <v>25819135</v>
      </c>
      <c r="D678" t="s">
        <v>7</v>
      </c>
      <c r="E678">
        <v>977120</v>
      </c>
      <c r="F678" s="2">
        <v>977120</v>
      </c>
      <c r="G678" s="2">
        <v>231797</v>
      </c>
      <c r="H678">
        <v>30</v>
      </c>
      <c r="I678" s="1">
        <v>42509</v>
      </c>
      <c r="J678" t="s">
        <v>6</v>
      </c>
      <c r="K678">
        <f>COUNTIFS(GESTIONES!$A:$A, BASE_CUENTAS!$A678, GESTIONES!$B:$B, BASE_CUENTAS!$C678)</f>
        <v>3</v>
      </c>
      <c r="L678">
        <f>COUNTIFS(GESTIONES!$A:$A, BASE_CUENTAS!$A678,GESTIONES!$B:$B, BASE_CUENTAS!$C678,GESTIONES!$E:$E, "S")</f>
        <v>1</v>
      </c>
      <c r="M678">
        <f>COUNTIFS(GESTIONES!$A:$A, BASE_CUENTAS!$A678,GESTIONES!$B:$B, BASE_CUENTAS!$C678,GESTIONES!$E:$E, "N")</f>
        <v>2</v>
      </c>
      <c r="N678">
        <f>COUNTIFS(GESTIONES!$A:$A, BASE_CUENTAS!$A678,GESTIONES!$B:$B, BASE_CUENTAS!$C678,GESTIONES!$D:$D, "SMS")</f>
        <v>0</v>
      </c>
      <c r="O678">
        <f>SUMIFS(PAGOS!$D:$D,PAGOS!$A:$A, BASE_CUENTAS!$A678,PAGOS!$B:$B, BASE_CUENTAS!$C678)</f>
        <v>115899</v>
      </c>
      <c r="P678" t="str">
        <f>IF(
VLOOKUP($C678,BASE_CIERRE_MES!$C:$G,5,FALSE)=0,
"Normalización",
IF(
VLOOKUP($C678,BASE_CIERRE_MES!$C:$G,5,FALSE)&lt;$H678,
"Recuperación",
IF(
VLOOKUP($C678,BASE_CIERRE_MES!$C:$G,5,FALSE)=$H678,
"Contención",
"Rodamiento"
)))</f>
        <v>Recuperación</v>
      </c>
      <c r="Q678">
        <f t="shared" si="10"/>
        <v>0.11861286228917635</v>
      </c>
    </row>
    <row r="679" spans="1:17" x14ac:dyDescent="0.25">
      <c r="A679">
        <v>8383104</v>
      </c>
      <c r="B679" t="s">
        <v>18</v>
      </c>
      <c r="C679">
        <v>26888580</v>
      </c>
      <c r="D679" t="s">
        <v>7</v>
      </c>
      <c r="E679">
        <v>4568855</v>
      </c>
      <c r="F679" s="2">
        <v>4568855</v>
      </c>
      <c r="G679" s="2">
        <v>279404</v>
      </c>
      <c r="H679">
        <v>30</v>
      </c>
      <c r="I679" s="1">
        <v>42522</v>
      </c>
      <c r="J679" t="s">
        <v>6</v>
      </c>
      <c r="K679">
        <f>COUNTIFS(GESTIONES!$A:$A, BASE_CUENTAS!$A679, GESTIONES!$B:$B, BASE_CUENTAS!$C679)</f>
        <v>3</v>
      </c>
      <c r="L679">
        <f>COUNTIFS(GESTIONES!$A:$A, BASE_CUENTAS!$A679,GESTIONES!$B:$B, BASE_CUENTAS!$C679,GESTIONES!$E:$E, "S")</f>
        <v>1</v>
      </c>
      <c r="M679">
        <f>COUNTIFS(GESTIONES!$A:$A, BASE_CUENTAS!$A679,GESTIONES!$B:$B, BASE_CUENTAS!$C679,GESTIONES!$E:$E, "N")</f>
        <v>2</v>
      </c>
      <c r="N679">
        <f>COUNTIFS(GESTIONES!$A:$A, BASE_CUENTAS!$A679,GESTIONES!$B:$B, BASE_CUENTAS!$C679,GESTIONES!$D:$D, "SMS")</f>
        <v>1</v>
      </c>
      <c r="O679">
        <f>SUMIFS(PAGOS!$D:$D,PAGOS!$A:$A, BASE_CUENTAS!$A679,PAGOS!$B:$B, BASE_CUENTAS!$C679)</f>
        <v>0</v>
      </c>
      <c r="P679" t="str">
        <f>IF(
VLOOKUP($C679,BASE_CIERRE_MES!$C:$G,5,FALSE)=0,
"Normalización",
IF(
VLOOKUP($C679,BASE_CIERRE_MES!$C:$G,5,FALSE)&lt;$H679,
"Recuperación",
IF(
VLOOKUP($C679,BASE_CIERRE_MES!$C:$G,5,FALSE)=$H679,
"Contención",
"Rodamiento"
)))</f>
        <v>Rodamiento</v>
      </c>
      <c r="Q679">
        <f t="shared" si="10"/>
        <v>0</v>
      </c>
    </row>
    <row r="680" spans="1:17" x14ac:dyDescent="0.25">
      <c r="A680">
        <v>8383131</v>
      </c>
      <c r="B680" t="s">
        <v>18</v>
      </c>
      <c r="C680">
        <v>28586777</v>
      </c>
      <c r="D680" t="s">
        <v>7</v>
      </c>
      <c r="E680">
        <v>532674</v>
      </c>
      <c r="F680" s="2">
        <v>532674</v>
      </c>
      <c r="G680" s="2">
        <v>215655</v>
      </c>
      <c r="H680">
        <v>60</v>
      </c>
      <c r="I680" s="1">
        <v>42524</v>
      </c>
      <c r="J680" t="s">
        <v>6</v>
      </c>
      <c r="K680">
        <f>COUNTIFS(GESTIONES!$A:$A, BASE_CUENTAS!$A680, GESTIONES!$B:$B, BASE_CUENTAS!$C680)</f>
        <v>3</v>
      </c>
      <c r="L680">
        <f>COUNTIFS(GESTIONES!$A:$A, BASE_CUENTAS!$A680,GESTIONES!$B:$B, BASE_CUENTAS!$C680,GESTIONES!$E:$E, "S")</f>
        <v>0</v>
      </c>
      <c r="M680">
        <f>COUNTIFS(GESTIONES!$A:$A, BASE_CUENTAS!$A680,GESTIONES!$B:$B, BASE_CUENTAS!$C680,GESTIONES!$E:$E, "N")</f>
        <v>3</v>
      </c>
      <c r="N680">
        <f>COUNTIFS(GESTIONES!$A:$A, BASE_CUENTAS!$A680,GESTIONES!$B:$B, BASE_CUENTAS!$C680,GESTIONES!$D:$D, "SMS")</f>
        <v>1</v>
      </c>
      <c r="O680">
        <f>SUMIFS(PAGOS!$D:$D,PAGOS!$A:$A, BASE_CUENTAS!$A680,PAGOS!$B:$B, BASE_CUENTAS!$C680)</f>
        <v>107828</v>
      </c>
      <c r="P680" t="str">
        <f>IF(
VLOOKUP($C680,BASE_CIERRE_MES!$C:$G,5,FALSE)=0,
"Normalización",
IF(
VLOOKUP($C680,BASE_CIERRE_MES!$C:$G,5,FALSE)&lt;$H680,
"Recuperación",
IF(
VLOOKUP($C680,BASE_CIERRE_MES!$C:$G,5,FALSE)=$H680,
"Contención",
"Rodamiento"
)))</f>
        <v>Recuperación</v>
      </c>
      <c r="Q680">
        <f t="shared" si="10"/>
        <v>0.20242775130755397</v>
      </c>
    </row>
    <row r="681" spans="1:17" x14ac:dyDescent="0.25">
      <c r="A681">
        <v>8383281</v>
      </c>
      <c r="B681" t="s">
        <v>18</v>
      </c>
      <c r="C681">
        <v>27039709</v>
      </c>
      <c r="D681" t="s">
        <v>7</v>
      </c>
      <c r="E681">
        <v>748559</v>
      </c>
      <c r="F681" s="2">
        <v>748559</v>
      </c>
      <c r="G681" s="2">
        <v>88723</v>
      </c>
      <c r="H681">
        <v>30</v>
      </c>
      <c r="I681" s="1">
        <v>42521</v>
      </c>
      <c r="J681" t="s">
        <v>4</v>
      </c>
      <c r="K681">
        <f>COUNTIFS(GESTIONES!$A:$A, BASE_CUENTAS!$A681, GESTIONES!$B:$B, BASE_CUENTAS!$C681)</f>
        <v>3</v>
      </c>
      <c r="L681">
        <f>COUNTIFS(GESTIONES!$A:$A, BASE_CUENTAS!$A681,GESTIONES!$B:$B, BASE_CUENTAS!$C681,GESTIONES!$E:$E, "S")</f>
        <v>1</v>
      </c>
      <c r="M681">
        <f>COUNTIFS(GESTIONES!$A:$A, BASE_CUENTAS!$A681,GESTIONES!$B:$B, BASE_CUENTAS!$C681,GESTIONES!$E:$E, "N")</f>
        <v>2</v>
      </c>
      <c r="N681">
        <f>COUNTIFS(GESTIONES!$A:$A, BASE_CUENTAS!$A681,GESTIONES!$B:$B, BASE_CUENTAS!$C681,GESTIONES!$D:$D, "SMS")</f>
        <v>1</v>
      </c>
      <c r="O681">
        <f>SUMIFS(PAGOS!$D:$D,PAGOS!$A:$A, BASE_CUENTAS!$A681,PAGOS!$B:$B, BASE_CUENTAS!$C681)</f>
        <v>0</v>
      </c>
      <c r="P681" t="str">
        <f>IF(
VLOOKUP($C681,BASE_CIERRE_MES!$C:$G,5,FALSE)=0,
"Normalización",
IF(
VLOOKUP($C681,BASE_CIERRE_MES!$C:$G,5,FALSE)&lt;$H681,
"Recuperación",
IF(
VLOOKUP($C681,BASE_CIERRE_MES!$C:$G,5,FALSE)=$H681,
"Contención",
"Rodamiento"
)))</f>
        <v>Rodamiento</v>
      </c>
      <c r="Q681">
        <f t="shared" si="10"/>
        <v>0</v>
      </c>
    </row>
    <row r="682" spans="1:17" x14ac:dyDescent="0.25">
      <c r="A682">
        <v>8383527</v>
      </c>
      <c r="B682" t="s">
        <v>17</v>
      </c>
      <c r="C682">
        <v>25219269</v>
      </c>
      <c r="D682" t="s">
        <v>7</v>
      </c>
      <c r="E682">
        <v>7088330</v>
      </c>
      <c r="F682" s="2">
        <v>2905361</v>
      </c>
      <c r="G682" s="2">
        <v>2905361</v>
      </c>
      <c r="H682">
        <v>120</v>
      </c>
      <c r="I682" s="1">
        <v>42495</v>
      </c>
      <c r="J682" t="s">
        <v>5</v>
      </c>
      <c r="K682">
        <f>COUNTIFS(GESTIONES!$A:$A, BASE_CUENTAS!$A682, GESTIONES!$B:$B, BASE_CUENTAS!$C682)</f>
        <v>3</v>
      </c>
      <c r="L682">
        <f>COUNTIFS(GESTIONES!$A:$A, BASE_CUENTAS!$A682,GESTIONES!$B:$B, BASE_CUENTAS!$C682,GESTIONES!$E:$E, "S")</f>
        <v>1</v>
      </c>
      <c r="M682">
        <f>COUNTIFS(GESTIONES!$A:$A, BASE_CUENTAS!$A682,GESTIONES!$B:$B, BASE_CUENTAS!$C682,GESTIONES!$E:$E, "N")</f>
        <v>2</v>
      </c>
      <c r="N682">
        <f>COUNTIFS(GESTIONES!$A:$A, BASE_CUENTAS!$A682,GESTIONES!$B:$B, BASE_CUENTAS!$C682,GESTIONES!$D:$D, "SMS")</f>
        <v>1</v>
      </c>
      <c r="O682">
        <f>SUMIFS(PAGOS!$D:$D,PAGOS!$A:$A, BASE_CUENTAS!$A682,PAGOS!$B:$B, BASE_CUENTAS!$C682)</f>
        <v>2905361</v>
      </c>
      <c r="P682" t="str">
        <f>IF(
VLOOKUP($C682,BASE_CIERRE_MES!$C:$G,5,FALSE)=0,
"Normalización",
IF(
VLOOKUP($C682,BASE_CIERRE_MES!$C:$G,5,FALSE)&lt;$H682,
"Recuperación",
IF(
VLOOKUP($C682,BASE_CIERRE_MES!$C:$G,5,FALSE)=$H682,
"Contención",
"Rodamiento"
)))</f>
        <v>Normalización</v>
      </c>
      <c r="Q682">
        <f t="shared" si="10"/>
        <v>1</v>
      </c>
    </row>
    <row r="683" spans="1:17" x14ac:dyDescent="0.25">
      <c r="A683">
        <v>8383527</v>
      </c>
      <c r="B683" t="s">
        <v>17</v>
      </c>
      <c r="C683">
        <v>25848524</v>
      </c>
      <c r="D683" t="s">
        <v>9</v>
      </c>
      <c r="E683">
        <v>7088330</v>
      </c>
      <c r="F683" s="2">
        <v>4182969</v>
      </c>
      <c r="G683" s="2">
        <v>978372</v>
      </c>
      <c r="H683">
        <v>125</v>
      </c>
      <c r="I683" s="1">
        <v>42528</v>
      </c>
      <c r="J683" t="s">
        <v>5</v>
      </c>
      <c r="K683">
        <f>COUNTIFS(GESTIONES!$A:$A, BASE_CUENTAS!$A683, GESTIONES!$B:$B, BASE_CUENTAS!$C683)</f>
        <v>3</v>
      </c>
      <c r="L683">
        <f>COUNTIFS(GESTIONES!$A:$A, BASE_CUENTAS!$A683,GESTIONES!$B:$B, BASE_CUENTAS!$C683,GESTIONES!$E:$E, "S")</f>
        <v>1</v>
      </c>
      <c r="M683">
        <f>COUNTIFS(GESTIONES!$A:$A, BASE_CUENTAS!$A683,GESTIONES!$B:$B, BASE_CUENTAS!$C683,GESTIONES!$E:$E, "N")</f>
        <v>2</v>
      </c>
      <c r="N683">
        <f>COUNTIFS(GESTIONES!$A:$A, BASE_CUENTAS!$A683,GESTIONES!$B:$B, BASE_CUENTAS!$C683,GESTIONES!$D:$D, "SMS")</f>
        <v>0</v>
      </c>
      <c r="O683">
        <f>SUMIFS(PAGOS!$D:$D,PAGOS!$A:$A, BASE_CUENTAS!$A683,PAGOS!$B:$B, BASE_CUENTAS!$C683)</f>
        <v>0</v>
      </c>
      <c r="P683" t="str">
        <f>IF(
VLOOKUP($C683,BASE_CIERRE_MES!$C:$G,5,FALSE)=0,
"Normalización",
IF(
VLOOKUP($C683,BASE_CIERRE_MES!$C:$G,5,FALSE)&lt;$H683,
"Recuperación",
IF(
VLOOKUP($C683,BASE_CIERRE_MES!$C:$G,5,FALSE)=$H683,
"Contención",
"Rodamiento"
)))</f>
        <v>Rodamiento</v>
      </c>
      <c r="Q683">
        <f t="shared" si="10"/>
        <v>0</v>
      </c>
    </row>
    <row r="684" spans="1:17" x14ac:dyDescent="0.25">
      <c r="A684">
        <v>8383627</v>
      </c>
      <c r="B684" t="s">
        <v>18</v>
      </c>
      <c r="C684">
        <v>23902937</v>
      </c>
      <c r="D684" t="s">
        <v>7</v>
      </c>
      <c r="E684">
        <v>222142</v>
      </c>
      <c r="F684" s="2">
        <v>222142</v>
      </c>
      <c r="G684" s="2">
        <v>222142</v>
      </c>
      <c r="H684">
        <v>150</v>
      </c>
      <c r="I684" s="1">
        <v>42518</v>
      </c>
      <c r="J684" t="s">
        <v>5</v>
      </c>
      <c r="K684">
        <f>COUNTIFS(GESTIONES!$A:$A, BASE_CUENTAS!$A684, GESTIONES!$B:$B, BASE_CUENTAS!$C684)</f>
        <v>3</v>
      </c>
      <c r="L684">
        <f>COUNTIFS(GESTIONES!$A:$A, BASE_CUENTAS!$A684,GESTIONES!$B:$B, BASE_CUENTAS!$C684,GESTIONES!$E:$E, "S")</f>
        <v>1</v>
      </c>
      <c r="M684">
        <f>COUNTIFS(GESTIONES!$A:$A, BASE_CUENTAS!$A684,GESTIONES!$B:$B, BASE_CUENTAS!$C684,GESTIONES!$E:$E, "N")</f>
        <v>2</v>
      </c>
      <c r="N684">
        <f>COUNTIFS(GESTIONES!$A:$A, BASE_CUENTAS!$A684,GESTIONES!$B:$B, BASE_CUENTAS!$C684,GESTIONES!$D:$D, "SMS")</f>
        <v>1</v>
      </c>
      <c r="O684">
        <f>SUMIFS(PAGOS!$D:$D,PAGOS!$A:$A, BASE_CUENTAS!$A684,PAGOS!$B:$B, BASE_CUENTAS!$C684)</f>
        <v>0</v>
      </c>
      <c r="P684" t="str">
        <f>IF(
VLOOKUP($C684,BASE_CIERRE_MES!$C:$G,5,FALSE)=0,
"Normalización",
IF(
VLOOKUP($C684,BASE_CIERRE_MES!$C:$G,5,FALSE)&lt;$H684,
"Recuperación",
IF(
VLOOKUP($C684,BASE_CIERRE_MES!$C:$G,5,FALSE)=$H684,
"Contención",
"Rodamiento"
)))</f>
        <v>Rodamiento</v>
      </c>
      <c r="Q684">
        <f t="shared" si="10"/>
        <v>0</v>
      </c>
    </row>
    <row r="685" spans="1:17" x14ac:dyDescent="0.25">
      <c r="A685">
        <v>8383673</v>
      </c>
      <c r="B685" t="s">
        <v>18</v>
      </c>
      <c r="C685">
        <v>28556606</v>
      </c>
      <c r="D685" t="s">
        <v>7</v>
      </c>
      <c r="E685">
        <v>264578</v>
      </c>
      <c r="F685" s="2">
        <v>264578</v>
      </c>
      <c r="G685" s="2">
        <v>32415</v>
      </c>
      <c r="H685">
        <v>30</v>
      </c>
      <c r="I685" s="1">
        <v>42524</v>
      </c>
      <c r="J685" t="s">
        <v>6</v>
      </c>
      <c r="K685">
        <f>COUNTIFS(GESTIONES!$A:$A, BASE_CUENTAS!$A685, GESTIONES!$B:$B, BASE_CUENTAS!$C685)</f>
        <v>3</v>
      </c>
      <c r="L685">
        <f>COUNTIFS(GESTIONES!$A:$A, BASE_CUENTAS!$A685,GESTIONES!$B:$B, BASE_CUENTAS!$C685,GESTIONES!$E:$E, "S")</f>
        <v>0</v>
      </c>
      <c r="M685">
        <f>COUNTIFS(GESTIONES!$A:$A, BASE_CUENTAS!$A685,GESTIONES!$B:$B, BASE_CUENTAS!$C685,GESTIONES!$E:$E, "N")</f>
        <v>3</v>
      </c>
      <c r="N685">
        <f>COUNTIFS(GESTIONES!$A:$A, BASE_CUENTAS!$A685,GESTIONES!$B:$B, BASE_CUENTAS!$C685,GESTIONES!$D:$D, "SMS")</f>
        <v>1</v>
      </c>
      <c r="O685">
        <f>SUMIFS(PAGOS!$D:$D,PAGOS!$A:$A, BASE_CUENTAS!$A685,PAGOS!$B:$B, BASE_CUENTAS!$C685)</f>
        <v>0</v>
      </c>
      <c r="P685" t="str">
        <f>IF(
VLOOKUP($C685,BASE_CIERRE_MES!$C:$G,5,FALSE)=0,
"Normalización",
IF(
VLOOKUP($C685,BASE_CIERRE_MES!$C:$G,5,FALSE)&lt;$H685,
"Recuperación",
IF(
VLOOKUP($C685,BASE_CIERRE_MES!$C:$G,5,FALSE)=$H685,
"Contención",
"Rodamiento"
)))</f>
        <v>Rodamiento</v>
      </c>
      <c r="Q685">
        <f t="shared" si="10"/>
        <v>0</v>
      </c>
    </row>
    <row r="686" spans="1:17" x14ac:dyDescent="0.25">
      <c r="A686">
        <v>8383674</v>
      </c>
      <c r="B686" t="s">
        <v>18</v>
      </c>
      <c r="C686">
        <v>12272527</v>
      </c>
      <c r="D686" t="s">
        <v>7</v>
      </c>
      <c r="E686">
        <v>941329</v>
      </c>
      <c r="F686" s="2">
        <v>941329</v>
      </c>
      <c r="G686" s="2">
        <v>111049</v>
      </c>
      <c r="H686">
        <v>30</v>
      </c>
      <c r="I686" s="1">
        <v>42521</v>
      </c>
      <c r="J686" t="s">
        <v>4</v>
      </c>
      <c r="K686">
        <f>COUNTIFS(GESTIONES!$A:$A, BASE_CUENTAS!$A686, GESTIONES!$B:$B, BASE_CUENTAS!$C686)</f>
        <v>3</v>
      </c>
      <c r="L686">
        <f>COUNTIFS(GESTIONES!$A:$A, BASE_CUENTAS!$A686,GESTIONES!$B:$B, BASE_CUENTAS!$C686,GESTIONES!$E:$E, "S")</f>
        <v>1</v>
      </c>
      <c r="M686">
        <f>COUNTIFS(GESTIONES!$A:$A, BASE_CUENTAS!$A686,GESTIONES!$B:$B, BASE_CUENTAS!$C686,GESTIONES!$E:$E, "N")</f>
        <v>2</v>
      </c>
      <c r="N686">
        <f>COUNTIFS(GESTIONES!$A:$A, BASE_CUENTAS!$A686,GESTIONES!$B:$B, BASE_CUENTAS!$C686,GESTIONES!$D:$D, "SMS")</f>
        <v>1</v>
      </c>
      <c r="O686">
        <f>SUMIFS(PAGOS!$D:$D,PAGOS!$A:$A, BASE_CUENTAS!$A686,PAGOS!$B:$B, BASE_CUENTAS!$C686)</f>
        <v>0</v>
      </c>
      <c r="P686" t="str">
        <f>IF(
VLOOKUP($C686,BASE_CIERRE_MES!$C:$G,5,FALSE)=0,
"Normalización",
IF(
VLOOKUP($C686,BASE_CIERRE_MES!$C:$G,5,FALSE)&lt;$H686,
"Recuperación",
IF(
VLOOKUP($C686,BASE_CIERRE_MES!$C:$G,5,FALSE)=$H686,
"Contención",
"Rodamiento"
)))</f>
        <v>Rodamiento</v>
      </c>
      <c r="Q686">
        <f t="shared" si="10"/>
        <v>0</v>
      </c>
    </row>
    <row r="687" spans="1:17" x14ac:dyDescent="0.25">
      <c r="A687">
        <v>8383790</v>
      </c>
      <c r="B687" t="s">
        <v>17</v>
      </c>
      <c r="C687">
        <v>20615340</v>
      </c>
      <c r="D687" t="s">
        <v>7</v>
      </c>
      <c r="E687">
        <v>7397208</v>
      </c>
      <c r="F687" s="2">
        <v>3541274</v>
      </c>
      <c r="G687" s="2">
        <v>80090</v>
      </c>
      <c r="H687">
        <v>30</v>
      </c>
      <c r="I687" s="1">
        <v>42508</v>
      </c>
      <c r="J687" t="s">
        <v>6</v>
      </c>
      <c r="K687">
        <f>COUNTIFS(GESTIONES!$A:$A, BASE_CUENTAS!$A687, GESTIONES!$B:$B, BASE_CUENTAS!$C687)</f>
        <v>3</v>
      </c>
      <c r="L687">
        <f>COUNTIFS(GESTIONES!$A:$A, BASE_CUENTAS!$A687,GESTIONES!$B:$B, BASE_CUENTAS!$C687,GESTIONES!$E:$E, "S")</f>
        <v>1</v>
      </c>
      <c r="M687">
        <f>COUNTIFS(GESTIONES!$A:$A, BASE_CUENTAS!$A687,GESTIONES!$B:$B, BASE_CUENTAS!$C687,GESTIONES!$E:$E, "N")</f>
        <v>2</v>
      </c>
      <c r="N687">
        <f>COUNTIFS(GESTIONES!$A:$A, BASE_CUENTAS!$A687,GESTIONES!$B:$B, BASE_CUENTAS!$C687,GESTIONES!$D:$D, "SMS")</f>
        <v>1</v>
      </c>
      <c r="O687">
        <f>SUMIFS(PAGOS!$D:$D,PAGOS!$A:$A, BASE_CUENTAS!$A687,PAGOS!$B:$B, BASE_CUENTAS!$C687)</f>
        <v>40045</v>
      </c>
      <c r="P687" t="str">
        <f>IF(
VLOOKUP($C687,BASE_CIERRE_MES!$C:$G,5,FALSE)=0,
"Normalización",
IF(
VLOOKUP($C687,BASE_CIERRE_MES!$C:$G,5,FALSE)&lt;$H687,
"Recuperación",
IF(
VLOOKUP($C687,BASE_CIERRE_MES!$C:$G,5,FALSE)=$H687,
"Contención",
"Rodamiento"
)))</f>
        <v>Recuperación</v>
      </c>
      <c r="Q687">
        <f t="shared" si="10"/>
        <v>1.1308077262589679E-2</v>
      </c>
    </row>
    <row r="688" spans="1:17" x14ac:dyDescent="0.25">
      <c r="A688">
        <v>8383790</v>
      </c>
      <c r="B688" t="s">
        <v>17</v>
      </c>
      <c r="C688">
        <v>23064001</v>
      </c>
      <c r="D688" t="s">
        <v>7</v>
      </c>
      <c r="E688">
        <v>7397208</v>
      </c>
      <c r="F688" s="2">
        <v>3855934</v>
      </c>
      <c r="G688" s="2">
        <v>347328</v>
      </c>
      <c r="H688">
        <v>30</v>
      </c>
      <c r="I688" s="1">
        <v>42509</v>
      </c>
      <c r="J688" t="s">
        <v>6</v>
      </c>
      <c r="K688">
        <f>COUNTIFS(GESTIONES!$A:$A, BASE_CUENTAS!$A688, GESTIONES!$B:$B, BASE_CUENTAS!$C688)</f>
        <v>3</v>
      </c>
      <c r="L688">
        <f>COUNTIFS(GESTIONES!$A:$A, BASE_CUENTAS!$A688,GESTIONES!$B:$B, BASE_CUENTAS!$C688,GESTIONES!$E:$E, "S")</f>
        <v>1</v>
      </c>
      <c r="M688">
        <f>COUNTIFS(GESTIONES!$A:$A, BASE_CUENTAS!$A688,GESTIONES!$B:$B, BASE_CUENTAS!$C688,GESTIONES!$E:$E, "N")</f>
        <v>2</v>
      </c>
      <c r="N688">
        <f>COUNTIFS(GESTIONES!$A:$A, BASE_CUENTAS!$A688,GESTIONES!$B:$B, BASE_CUENTAS!$C688,GESTIONES!$D:$D, "SMS")</f>
        <v>0</v>
      </c>
      <c r="O688">
        <f>SUMIFS(PAGOS!$D:$D,PAGOS!$A:$A, BASE_CUENTAS!$A688,PAGOS!$B:$B, BASE_CUENTAS!$C688)</f>
        <v>0</v>
      </c>
      <c r="P688" t="str">
        <f>IF(
VLOOKUP($C688,BASE_CIERRE_MES!$C:$G,5,FALSE)=0,
"Normalización",
IF(
VLOOKUP($C688,BASE_CIERRE_MES!$C:$G,5,FALSE)&lt;$H688,
"Recuperación",
IF(
VLOOKUP($C688,BASE_CIERRE_MES!$C:$G,5,FALSE)=$H688,
"Contención",
"Rodamiento"
)))</f>
        <v>Rodamiento</v>
      </c>
      <c r="Q688">
        <f t="shared" si="10"/>
        <v>0</v>
      </c>
    </row>
    <row r="689" spans="1:17" x14ac:dyDescent="0.25">
      <c r="A689">
        <v>8386841</v>
      </c>
      <c r="B689" t="s">
        <v>17</v>
      </c>
      <c r="C689">
        <v>27903220</v>
      </c>
      <c r="D689" t="s">
        <v>7</v>
      </c>
      <c r="E689">
        <v>5418666</v>
      </c>
      <c r="F689" s="2">
        <v>832659</v>
      </c>
      <c r="G689" s="2">
        <v>100232</v>
      </c>
      <c r="H689">
        <v>30</v>
      </c>
      <c r="I689" s="1">
        <v>42521</v>
      </c>
      <c r="J689" t="s">
        <v>4</v>
      </c>
      <c r="K689">
        <f>COUNTIFS(GESTIONES!$A:$A, BASE_CUENTAS!$A689, GESTIONES!$B:$B, BASE_CUENTAS!$C689)</f>
        <v>3</v>
      </c>
      <c r="L689">
        <f>COUNTIFS(GESTIONES!$A:$A, BASE_CUENTAS!$A689,GESTIONES!$B:$B, BASE_CUENTAS!$C689,GESTIONES!$E:$E, "S")</f>
        <v>2</v>
      </c>
      <c r="M689">
        <f>COUNTIFS(GESTIONES!$A:$A, BASE_CUENTAS!$A689,GESTIONES!$B:$B, BASE_CUENTAS!$C689,GESTIONES!$E:$E, "N")</f>
        <v>1</v>
      </c>
      <c r="N689">
        <f>COUNTIFS(GESTIONES!$A:$A, BASE_CUENTAS!$A689,GESTIONES!$B:$B, BASE_CUENTAS!$C689,GESTIONES!$D:$D, "SMS")</f>
        <v>1</v>
      </c>
      <c r="O689">
        <f>SUMIFS(PAGOS!$D:$D,PAGOS!$A:$A, BASE_CUENTAS!$A689,PAGOS!$B:$B, BASE_CUENTAS!$C689)</f>
        <v>0</v>
      </c>
      <c r="P689" t="str">
        <f>IF(
VLOOKUP($C689,BASE_CIERRE_MES!$C:$G,5,FALSE)=0,
"Normalización",
IF(
VLOOKUP($C689,BASE_CIERRE_MES!$C:$G,5,FALSE)&lt;$H689,
"Recuperación",
IF(
VLOOKUP($C689,BASE_CIERRE_MES!$C:$G,5,FALSE)=$H689,
"Contención",
"Rodamiento"
)))</f>
        <v>Rodamiento</v>
      </c>
      <c r="Q689">
        <f t="shared" si="10"/>
        <v>0</v>
      </c>
    </row>
    <row r="690" spans="1:17" x14ac:dyDescent="0.25">
      <c r="A690">
        <v>8386894</v>
      </c>
      <c r="B690" t="s">
        <v>17</v>
      </c>
      <c r="C690">
        <v>28557300</v>
      </c>
      <c r="D690" t="s">
        <v>7</v>
      </c>
      <c r="E690">
        <v>22275398</v>
      </c>
      <c r="F690" s="2">
        <v>963800</v>
      </c>
      <c r="G690" s="2">
        <v>48204</v>
      </c>
      <c r="H690">
        <v>30</v>
      </c>
      <c r="I690" s="1">
        <v>42524</v>
      </c>
      <c r="J690" t="s">
        <v>6</v>
      </c>
      <c r="K690">
        <f>COUNTIFS(GESTIONES!$A:$A, BASE_CUENTAS!$A690, GESTIONES!$B:$B, BASE_CUENTAS!$C690)</f>
        <v>3</v>
      </c>
      <c r="L690">
        <f>COUNTIFS(GESTIONES!$A:$A, BASE_CUENTAS!$A690,GESTIONES!$B:$B, BASE_CUENTAS!$C690,GESTIONES!$E:$E, "S")</f>
        <v>1</v>
      </c>
      <c r="M690">
        <f>COUNTIFS(GESTIONES!$A:$A, BASE_CUENTAS!$A690,GESTIONES!$B:$B, BASE_CUENTAS!$C690,GESTIONES!$E:$E, "N")</f>
        <v>2</v>
      </c>
      <c r="N690">
        <f>COUNTIFS(GESTIONES!$A:$A, BASE_CUENTAS!$A690,GESTIONES!$B:$B, BASE_CUENTAS!$C690,GESTIONES!$D:$D, "SMS")</f>
        <v>0</v>
      </c>
      <c r="O690">
        <f>SUMIFS(PAGOS!$D:$D,PAGOS!$A:$A, BASE_CUENTAS!$A690,PAGOS!$B:$B, BASE_CUENTAS!$C690)</f>
        <v>0</v>
      </c>
      <c r="P690" t="str">
        <f>IF(
VLOOKUP($C690,BASE_CIERRE_MES!$C:$G,5,FALSE)=0,
"Normalización",
IF(
VLOOKUP($C690,BASE_CIERRE_MES!$C:$G,5,FALSE)&lt;$H690,
"Recuperación",
IF(
VLOOKUP($C690,BASE_CIERRE_MES!$C:$G,5,FALSE)=$H690,
"Contención",
"Rodamiento"
)))</f>
        <v>Rodamiento</v>
      </c>
      <c r="Q690">
        <f t="shared" si="10"/>
        <v>0</v>
      </c>
    </row>
    <row r="691" spans="1:17" x14ac:dyDescent="0.25">
      <c r="A691">
        <v>8430809</v>
      </c>
      <c r="B691" t="s">
        <v>18</v>
      </c>
      <c r="C691">
        <v>28586844</v>
      </c>
      <c r="D691" t="s">
        <v>7</v>
      </c>
      <c r="E691">
        <v>1050056</v>
      </c>
      <c r="F691" s="2">
        <v>1050056</v>
      </c>
      <c r="G691" s="2">
        <v>120140</v>
      </c>
      <c r="H691">
        <v>30</v>
      </c>
      <c r="I691" s="1">
        <v>42524</v>
      </c>
      <c r="J691" t="s">
        <v>6</v>
      </c>
      <c r="K691">
        <f>COUNTIFS(GESTIONES!$A:$A, BASE_CUENTAS!$A691, GESTIONES!$B:$B, BASE_CUENTAS!$C691)</f>
        <v>3</v>
      </c>
      <c r="L691">
        <f>COUNTIFS(GESTIONES!$A:$A, BASE_CUENTAS!$A691,GESTIONES!$B:$B, BASE_CUENTAS!$C691,GESTIONES!$E:$E, "S")</f>
        <v>0</v>
      </c>
      <c r="M691">
        <f>COUNTIFS(GESTIONES!$A:$A, BASE_CUENTAS!$A691,GESTIONES!$B:$B, BASE_CUENTAS!$C691,GESTIONES!$E:$E, "N")</f>
        <v>3</v>
      </c>
      <c r="N691">
        <f>COUNTIFS(GESTIONES!$A:$A, BASE_CUENTAS!$A691,GESTIONES!$B:$B, BASE_CUENTAS!$C691,GESTIONES!$D:$D, "SMS")</f>
        <v>1</v>
      </c>
      <c r="O691">
        <f>SUMIFS(PAGOS!$D:$D,PAGOS!$A:$A, BASE_CUENTAS!$A691,PAGOS!$B:$B, BASE_CUENTAS!$C691)</f>
        <v>0</v>
      </c>
      <c r="P691" t="str">
        <f>IF(
VLOOKUP($C691,BASE_CIERRE_MES!$C:$G,5,FALSE)=0,
"Normalización",
IF(
VLOOKUP($C691,BASE_CIERRE_MES!$C:$G,5,FALSE)&lt;$H691,
"Recuperación",
IF(
VLOOKUP($C691,BASE_CIERRE_MES!$C:$G,5,FALSE)=$H691,
"Contención",
"Rodamiento"
)))</f>
        <v>Rodamiento</v>
      </c>
      <c r="Q691">
        <f t="shared" si="10"/>
        <v>0</v>
      </c>
    </row>
    <row r="692" spans="1:17" x14ac:dyDescent="0.25">
      <c r="A692">
        <v>8430812</v>
      </c>
      <c r="B692" t="s">
        <v>18</v>
      </c>
      <c r="C692">
        <v>28586366</v>
      </c>
      <c r="D692" t="s">
        <v>7</v>
      </c>
      <c r="E692">
        <v>1448105</v>
      </c>
      <c r="F692" s="2">
        <v>1448105</v>
      </c>
      <c r="G692" s="2">
        <v>133457</v>
      </c>
      <c r="H692">
        <v>30</v>
      </c>
      <c r="I692" s="1">
        <v>42524</v>
      </c>
      <c r="J692" t="s">
        <v>6</v>
      </c>
      <c r="K692">
        <f>COUNTIFS(GESTIONES!$A:$A, BASE_CUENTAS!$A692, GESTIONES!$B:$B, BASE_CUENTAS!$C692)</f>
        <v>3</v>
      </c>
      <c r="L692">
        <f>COUNTIFS(GESTIONES!$A:$A, BASE_CUENTAS!$A692,GESTIONES!$B:$B, BASE_CUENTAS!$C692,GESTIONES!$E:$E, "S")</f>
        <v>1</v>
      </c>
      <c r="M692">
        <f>COUNTIFS(GESTIONES!$A:$A, BASE_CUENTAS!$A692,GESTIONES!$B:$B, BASE_CUENTAS!$C692,GESTIONES!$E:$E, "N")</f>
        <v>2</v>
      </c>
      <c r="N692">
        <f>COUNTIFS(GESTIONES!$A:$A, BASE_CUENTAS!$A692,GESTIONES!$B:$B, BASE_CUENTAS!$C692,GESTIONES!$D:$D, "SMS")</f>
        <v>2</v>
      </c>
      <c r="O692">
        <f>SUMIFS(PAGOS!$D:$D,PAGOS!$A:$A, BASE_CUENTAS!$A692,PAGOS!$B:$B, BASE_CUENTAS!$C692)</f>
        <v>44485</v>
      </c>
      <c r="P692" t="str">
        <f>IF(
VLOOKUP($C692,BASE_CIERRE_MES!$C:$G,5,FALSE)=0,
"Normalización",
IF(
VLOOKUP($C692,BASE_CIERRE_MES!$C:$G,5,FALSE)&lt;$H692,
"Recuperación",
IF(
VLOOKUP($C692,BASE_CIERRE_MES!$C:$G,5,FALSE)=$H692,
"Contención",
"Rodamiento"
)))</f>
        <v>Contención</v>
      </c>
      <c r="Q692">
        <f t="shared" si="10"/>
        <v>3.071945749790243E-2</v>
      </c>
    </row>
    <row r="693" spans="1:17" x14ac:dyDescent="0.25">
      <c r="A693">
        <v>8440122</v>
      </c>
      <c r="B693" t="s">
        <v>18</v>
      </c>
      <c r="C693">
        <v>22624325</v>
      </c>
      <c r="D693" t="s">
        <v>7</v>
      </c>
      <c r="E693">
        <v>2631239</v>
      </c>
      <c r="F693" s="2">
        <v>2631239</v>
      </c>
      <c r="G693" s="2">
        <v>354488</v>
      </c>
      <c r="H693">
        <v>30</v>
      </c>
      <c r="I693" s="1">
        <v>42508</v>
      </c>
      <c r="J693" t="s">
        <v>6</v>
      </c>
      <c r="K693">
        <f>COUNTIFS(GESTIONES!$A:$A, BASE_CUENTAS!$A693, GESTIONES!$B:$B, BASE_CUENTAS!$C693)</f>
        <v>3</v>
      </c>
      <c r="L693">
        <f>COUNTIFS(GESTIONES!$A:$A, BASE_CUENTAS!$A693,GESTIONES!$B:$B, BASE_CUENTAS!$C693,GESTIONES!$E:$E, "S")</f>
        <v>1</v>
      </c>
      <c r="M693">
        <f>COUNTIFS(GESTIONES!$A:$A, BASE_CUENTAS!$A693,GESTIONES!$B:$B, BASE_CUENTAS!$C693,GESTIONES!$E:$E, "N")</f>
        <v>2</v>
      </c>
      <c r="N693">
        <f>COUNTIFS(GESTIONES!$A:$A, BASE_CUENTAS!$A693,GESTIONES!$B:$B, BASE_CUENTAS!$C693,GESTIONES!$D:$D, "SMS")</f>
        <v>0</v>
      </c>
      <c r="O693">
        <f>SUMIFS(PAGOS!$D:$D,PAGOS!$A:$A, BASE_CUENTAS!$A693,PAGOS!$B:$B, BASE_CUENTAS!$C693)</f>
        <v>0</v>
      </c>
      <c r="P693" t="str">
        <f>IF(
VLOOKUP($C693,BASE_CIERRE_MES!$C:$G,5,FALSE)=0,
"Normalización",
IF(
VLOOKUP($C693,BASE_CIERRE_MES!$C:$G,5,FALSE)&lt;$H693,
"Recuperación",
IF(
VLOOKUP($C693,BASE_CIERRE_MES!$C:$G,5,FALSE)=$H693,
"Contención",
"Rodamiento"
)))</f>
        <v>Rodamiento</v>
      </c>
      <c r="Q693">
        <f t="shared" si="10"/>
        <v>0</v>
      </c>
    </row>
    <row r="694" spans="1:17" x14ac:dyDescent="0.25">
      <c r="A694">
        <v>8443989</v>
      </c>
      <c r="B694" t="s">
        <v>18</v>
      </c>
      <c r="C694">
        <v>28249575</v>
      </c>
      <c r="D694" t="s">
        <v>7</v>
      </c>
      <c r="E694">
        <v>3380142</v>
      </c>
      <c r="F694" s="2">
        <v>3380142</v>
      </c>
      <c r="G694" s="2">
        <v>82017</v>
      </c>
      <c r="H694">
        <v>30</v>
      </c>
      <c r="I694" s="1">
        <v>42521</v>
      </c>
      <c r="J694" t="s">
        <v>4</v>
      </c>
      <c r="K694">
        <f>COUNTIFS(GESTIONES!$A:$A, BASE_CUENTAS!$A694, GESTIONES!$B:$B, BASE_CUENTAS!$C694)</f>
        <v>3</v>
      </c>
      <c r="L694">
        <f>COUNTIFS(GESTIONES!$A:$A, BASE_CUENTAS!$A694,GESTIONES!$B:$B, BASE_CUENTAS!$C694,GESTIONES!$E:$E, "S")</f>
        <v>1</v>
      </c>
      <c r="M694">
        <f>COUNTIFS(GESTIONES!$A:$A, BASE_CUENTAS!$A694,GESTIONES!$B:$B, BASE_CUENTAS!$C694,GESTIONES!$E:$E, "N")</f>
        <v>2</v>
      </c>
      <c r="N694">
        <f>COUNTIFS(GESTIONES!$A:$A, BASE_CUENTAS!$A694,GESTIONES!$B:$B, BASE_CUENTAS!$C694,GESTIONES!$D:$D, "SMS")</f>
        <v>1</v>
      </c>
      <c r="O694">
        <f>SUMIFS(PAGOS!$D:$D,PAGOS!$A:$A, BASE_CUENTAS!$A694,PAGOS!$B:$B, BASE_CUENTAS!$C694)</f>
        <v>41008</v>
      </c>
      <c r="P694" t="str">
        <f>IF(
VLOOKUP($C694,BASE_CIERRE_MES!$C:$G,5,FALSE)=0,
"Normalización",
IF(
VLOOKUP($C694,BASE_CIERRE_MES!$C:$G,5,FALSE)&lt;$H694,
"Recuperación",
IF(
VLOOKUP($C694,BASE_CIERRE_MES!$C:$G,5,FALSE)=$H694,
"Contención",
"Rodamiento"
)))</f>
        <v>Recuperación</v>
      </c>
      <c r="Q694">
        <f t="shared" si="10"/>
        <v>1.2132034689666884E-2</v>
      </c>
    </row>
    <row r="695" spans="1:17" x14ac:dyDescent="0.25">
      <c r="A695">
        <v>8444004</v>
      </c>
      <c r="B695" t="s">
        <v>18</v>
      </c>
      <c r="C695">
        <v>2718004</v>
      </c>
      <c r="D695" t="s">
        <v>7</v>
      </c>
      <c r="E695">
        <v>351957</v>
      </c>
      <c r="F695" s="2">
        <v>351957</v>
      </c>
      <c r="G695" s="2">
        <v>351957</v>
      </c>
      <c r="H695">
        <v>360</v>
      </c>
      <c r="I695" s="1">
        <v>42524</v>
      </c>
      <c r="J695" t="s">
        <v>5</v>
      </c>
      <c r="K695">
        <f>COUNTIFS(GESTIONES!$A:$A, BASE_CUENTAS!$A695, GESTIONES!$B:$B, BASE_CUENTAS!$C695)</f>
        <v>3</v>
      </c>
      <c r="L695">
        <f>COUNTIFS(GESTIONES!$A:$A, BASE_CUENTAS!$A695,GESTIONES!$B:$B, BASE_CUENTAS!$C695,GESTIONES!$E:$E, "S")</f>
        <v>1</v>
      </c>
      <c r="M695">
        <f>COUNTIFS(GESTIONES!$A:$A, BASE_CUENTAS!$A695,GESTIONES!$B:$B, BASE_CUENTAS!$C695,GESTIONES!$E:$E, "N")</f>
        <v>2</v>
      </c>
      <c r="N695">
        <f>COUNTIFS(GESTIONES!$A:$A, BASE_CUENTAS!$A695,GESTIONES!$B:$B, BASE_CUENTAS!$C695,GESTIONES!$D:$D, "SMS")</f>
        <v>0</v>
      </c>
      <c r="O695">
        <f>SUMIFS(PAGOS!$D:$D,PAGOS!$A:$A, BASE_CUENTAS!$A695,PAGOS!$B:$B, BASE_CUENTAS!$C695)</f>
        <v>351957</v>
      </c>
      <c r="P695" t="str">
        <f>IF(
VLOOKUP($C695,BASE_CIERRE_MES!$C:$G,5,FALSE)=0,
"Normalización",
IF(
VLOOKUP($C695,BASE_CIERRE_MES!$C:$G,5,FALSE)&lt;$H695,
"Recuperación",
IF(
VLOOKUP($C695,BASE_CIERRE_MES!$C:$G,5,FALSE)=$H695,
"Contención",
"Rodamiento"
)))</f>
        <v>Normalización</v>
      </c>
      <c r="Q695">
        <f t="shared" si="10"/>
        <v>1</v>
      </c>
    </row>
    <row r="696" spans="1:17" x14ac:dyDescent="0.25">
      <c r="A696">
        <v>8457400</v>
      </c>
      <c r="B696" t="s">
        <v>17</v>
      </c>
      <c r="C696">
        <v>21487456</v>
      </c>
      <c r="D696" t="s">
        <v>7</v>
      </c>
      <c r="E696">
        <v>3024756</v>
      </c>
      <c r="F696" s="2">
        <v>983836</v>
      </c>
      <c r="G696" s="2">
        <v>353415</v>
      </c>
      <c r="H696">
        <v>60</v>
      </c>
      <c r="I696" s="1">
        <v>42519</v>
      </c>
      <c r="J696" t="s">
        <v>6</v>
      </c>
      <c r="K696">
        <f>COUNTIFS(GESTIONES!$A:$A, BASE_CUENTAS!$A696, GESTIONES!$B:$B, BASE_CUENTAS!$C696)</f>
        <v>3</v>
      </c>
      <c r="L696">
        <f>COUNTIFS(GESTIONES!$A:$A, BASE_CUENTAS!$A696,GESTIONES!$B:$B, BASE_CUENTAS!$C696,GESTIONES!$E:$E, "S")</f>
        <v>0</v>
      </c>
      <c r="M696">
        <f>COUNTIFS(GESTIONES!$A:$A, BASE_CUENTAS!$A696,GESTIONES!$B:$B, BASE_CUENTAS!$C696,GESTIONES!$E:$E, "N")</f>
        <v>3</v>
      </c>
      <c r="N696">
        <f>COUNTIFS(GESTIONES!$A:$A, BASE_CUENTAS!$A696,GESTIONES!$B:$B, BASE_CUENTAS!$C696,GESTIONES!$D:$D, "SMS")</f>
        <v>1</v>
      </c>
      <c r="O696">
        <f>SUMIFS(PAGOS!$D:$D,PAGOS!$A:$A, BASE_CUENTAS!$A696,PAGOS!$B:$B, BASE_CUENTAS!$C696)</f>
        <v>117805</v>
      </c>
      <c r="P696" t="str">
        <f>IF(
VLOOKUP($C696,BASE_CIERRE_MES!$C:$G,5,FALSE)=0,
"Normalización",
IF(
VLOOKUP($C696,BASE_CIERRE_MES!$C:$G,5,FALSE)&lt;$H696,
"Recuperación",
IF(
VLOOKUP($C696,BASE_CIERRE_MES!$C:$G,5,FALSE)=$H696,
"Contención",
"Rodamiento"
)))</f>
        <v>Contención</v>
      </c>
      <c r="Q696">
        <f t="shared" si="10"/>
        <v>0.11974048520281835</v>
      </c>
    </row>
    <row r="697" spans="1:17" x14ac:dyDescent="0.25">
      <c r="A697">
        <v>8457400</v>
      </c>
      <c r="B697" t="s">
        <v>17</v>
      </c>
      <c r="C697">
        <v>26021997</v>
      </c>
      <c r="D697" t="s">
        <v>7</v>
      </c>
      <c r="E697">
        <v>3024756</v>
      </c>
      <c r="F697" s="2">
        <v>1039779</v>
      </c>
      <c r="G697" s="2">
        <v>222897</v>
      </c>
      <c r="H697">
        <v>90</v>
      </c>
      <c r="I697" s="1">
        <v>42519</v>
      </c>
      <c r="J697" t="s">
        <v>6</v>
      </c>
      <c r="K697">
        <f>COUNTIFS(GESTIONES!$A:$A, BASE_CUENTAS!$A697, GESTIONES!$B:$B, BASE_CUENTAS!$C697)</f>
        <v>3</v>
      </c>
      <c r="L697">
        <f>COUNTIFS(GESTIONES!$A:$A, BASE_CUENTAS!$A697,GESTIONES!$B:$B, BASE_CUENTAS!$C697,GESTIONES!$E:$E, "S")</f>
        <v>1</v>
      </c>
      <c r="M697">
        <f>COUNTIFS(GESTIONES!$A:$A, BASE_CUENTAS!$A697,GESTIONES!$B:$B, BASE_CUENTAS!$C697,GESTIONES!$E:$E, "N")</f>
        <v>2</v>
      </c>
      <c r="N697">
        <f>COUNTIFS(GESTIONES!$A:$A, BASE_CUENTAS!$A697,GESTIONES!$B:$B, BASE_CUENTAS!$C697,GESTIONES!$D:$D, "SMS")</f>
        <v>2</v>
      </c>
      <c r="O697">
        <f>SUMIFS(PAGOS!$D:$D,PAGOS!$A:$A, BASE_CUENTAS!$A697,PAGOS!$B:$B, BASE_CUENTAS!$C697)</f>
        <v>0</v>
      </c>
      <c r="P697" t="str">
        <f>IF(
VLOOKUP($C697,BASE_CIERRE_MES!$C:$G,5,FALSE)=0,
"Normalización",
IF(
VLOOKUP($C697,BASE_CIERRE_MES!$C:$G,5,FALSE)&lt;$H697,
"Recuperación",
IF(
VLOOKUP($C697,BASE_CIERRE_MES!$C:$G,5,FALSE)=$H697,
"Contención",
"Rodamiento"
)))</f>
        <v>Rodamiento</v>
      </c>
      <c r="Q697">
        <f t="shared" si="10"/>
        <v>0</v>
      </c>
    </row>
    <row r="698" spans="1:17" x14ac:dyDescent="0.25">
      <c r="A698">
        <v>8457400</v>
      </c>
      <c r="B698" t="s">
        <v>17</v>
      </c>
      <c r="C698">
        <v>26021998</v>
      </c>
      <c r="D698" t="s">
        <v>7</v>
      </c>
      <c r="E698">
        <v>3024756</v>
      </c>
      <c r="F698" s="2">
        <v>363156</v>
      </c>
      <c r="G698" s="2">
        <v>363156</v>
      </c>
      <c r="H698">
        <v>60</v>
      </c>
      <c r="I698" s="1">
        <v>42519</v>
      </c>
      <c r="J698" t="s">
        <v>6</v>
      </c>
      <c r="K698">
        <f>COUNTIFS(GESTIONES!$A:$A, BASE_CUENTAS!$A698, GESTIONES!$B:$B, BASE_CUENTAS!$C698)</f>
        <v>3</v>
      </c>
      <c r="L698">
        <f>COUNTIFS(GESTIONES!$A:$A, BASE_CUENTAS!$A698,GESTIONES!$B:$B, BASE_CUENTAS!$C698,GESTIONES!$E:$E, "S")</f>
        <v>1</v>
      </c>
      <c r="M698">
        <f>COUNTIFS(GESTIONES!$A:$A, BASE_CUENTAS!$A698,GESTIONES!$B:$B, BASE_CUENTAS!$C698,GESTIONES!$E:$E, "N")</f>
        <v>2</v>
      </c>
      <c r="N698">
        <f>COUNTIFS(GESTIONES!$A:$A, BASE_CUENTAS!$A698,GESTIONES!$B:$B, BASE_CUENTAS!$C698,GESTIONES!$D:$D, "SMS")</f>
        <v>0</v>
      </c>
      <c r="O698">
        <f>SUMIFS(PAGOS!$D:$D,PAGOS!$A:$A, BASE_CUENTAS!$A698,PAGOS!$B:$B, BASE_CUENTAS!$C698)</f>
        <v>0</v>
      </c>
      <c r="P698" t="str">
        <f>IF(
VLOOKUP($C698,BASE_CIERRE_MES!$C:$G,5,FALSE)=0,
"Normalización",
IF(
VLOOKUP($C698,BASE_CIERRE_MES!$C:$G,5,FALSE)&lt;$H698,
"Recuperación",
IF(
VLOOKUP($C698,BASE_CIERRE_MES!$C:$G,5,FALSE)=$H698,
"Contención",
"Rodamiento"
)))</f>
        <v>Rodamiento</v>
      </c>
      <c r="Q698">
        <f t="shared" si="10"/>
        <v>0</v>
      </c>
    </row>
    <row r="699" spans="1:17" x14ac:dyDescent="0.25">
      <c r="A699">
        <v>8457400</v>
      </c>
      <c r="B699" t="s">
        <v>17</v>
      </c>
      <c r="C699">
        <v>26023265</v>
      </c>
      <c r="D699" t="s">
        <v>7</v>
      </c>
      <c r="E699">
        <v>3024756</v>
      </c>
      <c r="F699" s="2">
        <v>637985</v>
      </c>
      <c r="G699" s="2">
        <v>188847</v>
      </c>
      <c r="H699">
        <v>60</v>
      </c>
      <c r="I699" s="1">
        <v>42519</v>
      </c>
      <c r="J699" t="s">
        <v>6</v>
      </c>
      <c r="K699">
        <f>COUNTIFS(GESTIONES!$A:$A, BASE_CUENTAS!$A699, GESTIONES!$B:$B, BASE_CUENTAS!$C699)</f>
        <v>3</v>
      </c>
      <c r="L699">
        <f>COUNTIFS(GESTIONES!$A:$A, BASE_CUENTAS!$A699,GESTIONES!$B:$B, BASE_CUENTAS!$C699,GESTIONES!$E:$E, "S")</f>
        <v>1</v>
      </c>
      <c r="M699">
        <f>COUNTIFS(GESTIONES!$A:$A, BASE_CUENTAS!$A699,GESTIONES!$B:$B, BASE_CUENTAS!$C699,GESTIONES!$E:$E, "N")</f>
        <v>2</v>
      </c>
      <c r="N699">
        <f>COUNTIFS(GESTIONES!$A:$A, BASE_CUENTAS!$A699,GESTIONES!$B:$B, BASE_CUENTAS!$C699,GESTIONES!$D:$D, "SMS")</f>
        <v>1</v>
      </c>
      <c r="O699">
        <f>SUMIFS(PAGOS!$D:$D,PAGOS!$A:$A, BASE_CUENTAS!$A699,PAGOS!$B:$B, BASE_CUENTAS!$C699)</f>
        <v>188847</v>
      </c>
      <c r="P699" t="str">
        <f>IF(
VLOOKUP($C699,BASE_CIERRE_MES!$C:$G,5,FALSE)=0,
"Normalización",
IF(
VLOOKUP($C699,BASE_CIERRE_MES!$C:$G,5,FALSE)&lt;$H699,
"Recuperación",
IF(
VLOOKUP($C699,BASE_CIERRE_MES!$C:$G,5,FALSE)=$H699,
"Contención",
"Rodamiento"
)))</f>
        <v>Normalización</v>
      </c>
      <c r="Q699">
        <f t="shared" si="10"/>
        <v>0.29600539197630038</v>
      </c>
    </row>
    <row r="700" spans="1:17" x14ac:dyDescent="0.25">
      <c r="A700">
        <v>8465959</v>
      </c>
      <c r="B700" t="s">
        <v>18</v>
      </c>
      <c r="C700">
        <v>14265420</v>
      </c>
      <c r="D700" t="s">
        <v>7</v>
      </c>
      <c r="E700">
        <v>1784547</v>
      </c>
      <c r="F700" s="2">
        <v>1036374</v>
      </c>
      <c r="G700" s="2">
        <v>1036374</v>
      </c>
      <c r="H700">
        <v>180</v>
      </c>
      <c r="I700" s="1">
        <v>42487</v>
      </c>
      <c r="J700" t="s">
        <v>5</v>
      </c>
      <c r="K700">
        <f>COUNTIFS(GESTIONES!$A:$A, BASE_CUENTAS!$A700, GESTIONES!$B:$B, BASE_CUENTAS!$C700)</f>
        <v>3</v>
      </c>
      <c r="L700">
        <f>COUNTIFS(GESTIONES!$A:$A, BASE_CUENTAS!$A700,GESTIONES!$B:$B, BASE_CUENTAS!$C700,GESTIONES!$E:$E, "S")</f>
        <v>1</v>
      </c>
      <c r="M700">
        <f>COUNTIFS(GESTIONES!$A:$A, BASE_CUENTAS!$A700,GESTIONES!$B:$B, BASE_CUENTAS!$C700,GESTIONES!$E:$E, "N")</f>
        <v>2</v>
      </c>
      <c r="N700">
        <f>COUNTIFS(GESTIONES!$A:$A, BASE_CUENTAS!$A700,GESTIONES!$B:$B, BASE_CUENTAS!$C700,GESTIONES!$D:$D, "SMS")</f>
        <v>0</v>
      </c>
      <c r="O700">
        <f>SUMIFS(PAGOS!$D:$D,PAGOS!$A:$A, BASE_CUENTAS!$A700,PAGOS!$B:$B, BASE_CUENTAS!$C700)</f>
        <v>518187</v>
      </c>
      <c r="P700" t="str">
        <f>IF(
VLOOKUP($C700,BASE_CIERRE_MES!$C:$G,5,FALSE)=0,
"Normalización",
IF(
VLOOKUP($C700,BASE_CIERRE_MES!$C:$G,5,FALSE)&lt;$H700,
"Recuperación",
IF(
VLOOKUP($C700,BASE_CIERRE_MES!$C:$G,5,FALSE)=$H700,
"Contención",
"Rodamiento"
)))</f>
        <v>Recuperación</v>
      </c>
      <c r="Q700">
        <f t="shared" si="10"/>
        <v>0.5</v>
      </c>
    </row>
    <row r="701" spans="1:17" x14ac:dyDescent="0.25">
      <c r="A701">
        <v>8465959</v>
      </c>
      <c r="B701" t="s">
        <v>18</v>
      </c>
      <c r="C701">
        <v>21268933</v>
      </c>
      <c r="D701" t="s">
        <v>7</v>
      </c>
      <c r="E701">
        <v>1784547</v>
      </c>
      <c r="F701" s="2">
        <v>748173</v>
      </c>
      <c r="G701" s="2">
        <v>748173</v>
      </c>
      <c r="H701">
        <v>180</v>
      </c>
      <c r="I701" s="1">
        <v>42480</v>
      </c>
      <c r="J701" t="s">
        <v>5</v>
      </c>
      <c r="K701">
        <f>COUNTIFS(GESTIONES!$A:$A, BASE_CUENTAS!$A701, GESTIONES!$B:$B, BASE_CUENTAS!$C701)</f>
        <v>3</v>
      </c>
      <c r="L701">
        <f>COUNTIFS(GESTIONES!$A:$A, BASE_CUENTAS!$A701,GESTIONES!$B:$B, BASE_CUENTAS!$C701,GESTIONES!$E:$E, "S")</f>
        <v>0</v>
      </c>
      <c r="M701">
        <f>COUNTIFS(GESTIONES!$A:$A, BASE_CUENTAS!$A701,GESTIONES!$B:$B, BASE_CUENTAS!$C701,GESTIONES!$E:$E, "N")</f>
        <v>3</v>
      </c>
      <c r="N701">
        <f>COUNTIFS(GESTIONES!$A:$A, BASE_CUENTAS!$A701,GESTIONES!$B:$B, BASE_CUENTAS!$C701,GESTIONES!$D:$D, "SMS")</f>
        <v>1</v>
      </c>
      <c r="O701">
        <f>SUMIFS(PAGOS!$D:$D,PAGOS!$A:$A, BASE_CUENTAS!$A701,PAGOS!$B:$B, BASE_CUENTAS!$C701)</f>
        <v>0</v>
      </c>
      <c r="P701" t="str">
        <f>IF(
VLOOKUP($C701,BASE_CIERRE_MES!$C:$G,5,FALSE)=0,
"Normalización",
IF(
VLOOKUP($C701,BASE_CIERRE_MES!$C:$G,5,FALSE)&lt;$H701,
"Recuperación",
IF(
VLOOKUP($C701,BASE_CIERRE_MES!$C:$G,5,FALSE)=$H701,
"Contención",
"Rodamiento"
)))</f>
        <v>Rodamiento</v>
      </c>
      <c r="Q701">
        <f t="shared" si="10"/>
        <v>0</v>
      </c>
    </row>
    <row r="702" spans="1:17" x14ac:dyDescent="0.25">
      <c r="A702">
        <v>8465980</v>
      </c>
      <c r="B702" t="s">
        <v>18</v>
      </c>
      <c r="C702">
        <v>23671050</v>
      </c>
      <c r="D702" t="s">
        <v>7</v>
      </c>
      <c r="E702">
        <v>511783</v>
      </c>
      <c r="F702" s="2">
        <v>511783</v>
      </c>
      <c r="G702" s="2">
        <v>20853</v>
      </c>
      <c r="H702">
        <v>30</v>
      </c>
      <c r="I702" s="1">
        <v>42509</v>
      </c>
      <c r="J702" t="s">
        <v>6</v>
      </c>
      <c r="K702">
        <f>COUNTIFS(GESTIONES!$A:$A, BASE_CUENTAS!$A702, GESTIONES!$B:$B, BASE_CUENTAS!$C702)</f>
        <v>3</v>
      </c>
      <c r="L702">
        <f>COUNTIFS(GESTIONES!$A:$A, BASE_CUENTAS!$A702,GESTIONES!$B:$B, BASE_CUENTAS!$C702,GESTIONES!$E:$E, "S")</f>
        <v>1</v>
      </c>
      <c r="M702">
        <f>COUNTIFS(GESTIONES!$A:$A, BASE_CUENTAS!$A702,GESTIONES!$B:$B, BASE_CUENTAS!$C702,GESTIONES!$E:$E, "N")</f>
        <v>2</v>
      </c>
      <c r="N702">
        <f>COUNTIFS(GESTIONES!$A:$A, BASE_CUENTAS!$A702,GESTIONES!$B:$B, BASE_CUENTAS!$C702,GESTIONES!$D:$D, "SMS")</f>
        <v>2</v>
      </c>
      <c r="O702">
        <f>SUMIFS(PAGOS!$D:$D,PAGOS!$A:$A, BASE_CUENTAS!$A702,PAGOS!$B:$B, BASE_CUENTAS!$C702)</f>
        <v>0</v>
      </c>
      <c r="P702" t="str">
        <f>IF(
VLOOKUP($C702,BASE_CIERRE_MES!$C:$G,5,FALSE)=0,
"Normalización",
IF(
VLOOKUP($C702,BASE_CIERRE_MES!$C:$G,5,FALSE)&lt;$H702,
"Recuperación",
IF(
VLOOKUP($C702,BASE_CIERRE_MES!$C:$G,5,FALSE)=$H702,
"Contención",
"Rodamiento"
)))</f>
        <v>Rodamiento</v>
      </c>
      <c r="Q702">
        <f t="shared" si="10"/>
        <v>0</v>
      </c>
    </row>
    <row r="703" spans="1:17" x14ac:dyDescent="0.25">
      <c r="A703">
        <v>8466023</v>
      </c>
      <c r="B703" t="s">
        <v>16</v>
      </c>
      <c r="C703">
        <v>23657184</v>
      </c>
      <c r="D703" t="s">
        <v>7</v>
      </c>
      <c r="E703">
        <v>56865105</v>
      </c>
      <c r="F703" s="2">
        <v>3892606</v>
      </c>
      <c r="G703" s="2">
        <v>1070755</v>
      </c>
      <c r="H703">
        <v>60</v>
      </c>
      <c r="I703" s="1">
        <v>42491</v>
      </c>
      <c r="J703" t="s">
        <v>6</v>
      </c>
      <c r="K703">
        <f>COUNTIFS(GESTIONES!$A:$A, BASE_CUENTAS!$A703, GESTIONES!$B:$B, BASE_CUENTAS!$C703)</f>
        <v>3</v>
      </c>
      <c r="L703">
        <f>COUNTIFS(GESTIONES!$A:$A, BASE_CUENTAS!$A703,GESTIONES!$B:$B, BASE_CUENTAS!$C703,GESTIONES!$E:$E, "S")</f>
        <v>1</v>
      </c>
      <c r="M703">
        <f>COUNTIFS(GESTIONES!$A:$A, BASE_CUENTAS!$A703,GESTIONES!$B:$B, BASE_CUENTAS!$C703,GESTIONES!$E:$E, "N")</f>
        <v>2</v>
      </c>
      <c r="N703">
        <f>COUNTIFS(GESTIONES!$A:$A, BASE_CUENTAS!$A703,GESTIONES!$B:$B, BASE_CUENTAS!$C703,GESTIONES!$D:$D, "SMS")</f>
        <v>0</v>
      </c>
      <c r="O703">
        <f>SUMIFS(PAGOS!$D:$D,PAGOS!$A:$A, BASE_CUENTAS!$A703,PAGOS!$B:$B, BASE_CUENTAS!$C703)</f>
        <v>1070755</v>
      </c>
      <c r="P703" t="str">
        <f>IF(
VLOOKUP($C703,BASE_CIERRE_MES!$C:$G,5,FALSE)=0,
"Normalización",
IF(
VLOOKUP($C703,BASE_CIERRE_MES!$C:$G,5,FALSE)&lt;$H703,
"Recuperación",
IF(
VLOOKUP($C703,BASE_CIERRE_MES!$C:$G,5,FALSE)=$H703,
"Contención",
"Rodamiento"
)))</f>
        <v>Normalización</v>
      </c>
      <c r="Q703">
        <f t="shared" si="10"/>
        <v>0.27507407633857628</v>
      </c>
    </row>
    <row r="704" spans="1:17" x14ac:dyDescent="0.25">
      <c r="A704">
        <v>8466023</v>
      </c>
      <c r="B704" t="s">
        <v>16</v>
      </c>
      <c r="C704">
        <v>23657673</v>
      </c>
      <c r="D704" t="s">
        <v>7</v>
      </c>
      <c r="E704">
        <v>56865105</v>
      </c>
      <c r="F704" s="2">
        <v>5631857</v>
      </c>
      <c r="G704" s="2">
        <v>683391</v>
      </c>
      <c r="H704">
        <v>30</v>
      </c>
      <c r="I704" s="1">
        <v>42519</v>
      </c>
      <c r="J704" t="s">
        <v>6</v>
      </c>
      <c r="K704">
        <f>COUNTIFS(GESTIONES!$A:$A, BASE_CUENTAS!$A704, GESTIONES!$B:$B, BASE_CUENTAS!$C704)</f>
        <v>3</v>
      </c>
      <c r="L704">
        <f>COUNTIFS(GESTIONES!$A:$A, BASE_CUENTAS!$A704,GESTIONES!$B:$B, BASE_CUENTAS!$C704,GESTIONES!$E:$E, "S")</f>
        <v>1</v>
      </c>
      <c r="M704">
        <f>COUNTIFS(GESTIONES!$A:$A, BASE_CUENTAS!$A704,GESTIONES!$B:$B, BASE_CUENTAS!$C704,GESTIONES!$E:$E, "N")</f>
        <v>2</v>
      </c>
      <c r="N704">
        <f>COUNTIFS(GESTIONES!$A:$A, BASE_CUENTAS!$A704,GESTIONES!$B:$B, BASE_CUENTAS!$C704,GESTIONES!$D:$D, "SMS")</f>
        <v>1</v>
      </c>
      <c r="O704">
        <f>SUMIFS(PAGOS!$D:$D,PAGOS!$A:$A, BASE_CUENTAS!$A704,PAGOS!$B:$B, BASE_CUENTAS!$C704)</f>
        <v>5631857</v>
      </c>
      <c r="P704" t="str">
        <f>IF(
VLOOKUP($C704,BASE_CIERRE_MES!$C:$G,5,FALSE)=0,
"Normalización",
IF(
VLOOKUP($C704,BASE_CIERRE_MES!$C:$G,5,FALSE)&lt;$H704,
"Recuperación",
IF(
VLOOKUP($C704,BASE_CIERRE_MES!$C:$G,5,FALSE)=$H704,
"Contención",
"Rodamiento"
)))</f>
        <v>Normalización</v>
      </c>
      <c r="Q704">
        <f t="shared" si="10"/>
        <v>1</v>
      </c>
    </row>
    <row r="705" spans="1:17" x14ac:dyDescent="0.25">
      <c r="A705">
        <v>8466043</v>
      </c>
      <c r="B705" t="s">
        <v>16</v>
      </c>
      <c r="C705">
        <v>20875844</v>
      </c>
      <c r="D705" t="s">
        <v>7</v>
      </c>
      <c r="E705">
        <v>34800364</v>
      </c>
      <c r="F705" s="2">
        <v>7460561</v>
      </c>
      <c r="G705" s="2">
        <v>1402719</v>
      </c>
      <c r="H705">
        <v>60</v>
      </c>
      <c r="I705" s="1">
        <v>42487</v>
      </c>
      <c r="J705" t="s">
        <v>5</v>
      </c>
      <c r="K705">
        <f>COUNTIFS(GESTIONES!$A:$A, BASE_CUENTAS!$A705, GESTIONES!$B:$B, BASE_CUENTAS!$C705)</f>
        <v>3</v>
      </c>
      <c r="L705">
        <f>COUNTIFS(GESTIONES!$A:$A, BASE_CUENTAS!$A705,GESTIONES!$B:$B, BASE_CUENTAS!$C705,GESTIONES!$E:$E, "S")</f>
        <v>2</v>
      </c>
      <c r="M705">
        <f>COUNTIFS(GESTIONES!$A:$A, BASE_CUENTAS!$A705,GESTIONES!$B:$B, BASE_CUENTAS!$C705,GESTIONES!$E:$E, "N")</f>
        <v>1</v>
      </c>
      <c r="N705">
        <f>COUNTIFS(GESTIONES!$A:$A, BASE_CUENTAS!$A705,GESTIONES!$B:$B, BASE_CUENTAS!$C705,GESTIONES!$D:$D, "SMS")</f>
        <v>0</v>
      </c>
      <c r="O705">
        <f>SUMIFS(PAGOS!$D:$D,PAGOS!$A:$A, BASE_CUENTAS!$A705,PAGOS!$B:$B, BASE_CUENTAS!$C705)</f>
        <v>0</v>
      </c>
      <c r="P705" t="str">
        <f>IF(
VLOOKUP($C705,BASE_CIERRE_MES!$C:$G,5,FALSE)=0,
"Normalización",
IF(
VLOOKUP($C705,BASE_CIERRE_MES!$C:$G,5,FALSE)&lt;$H705,
"Recuperación",
IF(
VLOOKUP($C705,BASE_CIERRE_MES!$C:$G,5,FALSE)=$H705,
"Contención",
"Rodamiento"
)))</f>
        <v>Rodamiento</v>
      </c>
      <c r="Q705">
        <f t="shared" si="10"/>
        <v>0</v>
      </c>
    </row>
    <row r="706" spans="1:17" x14ac:dyDescent="0.25">
      <c r="A706">
        <v>8466043</v>
      </c>
      <c r="B706" t="s">
        <v>16</v>
      </c>
      <c r="C706">
        <v>22082240</v>
      </c>
      <c r="D706" t="s">
        <v>9</v>
      </c>
      <c r="E706">
        <v>34800364</v>
      </c>
      <c r="F706" s="2">
        <v>1073181</v>
      </c>
      <c r="G706" s="2">
        <v>735738</v>
      </c>
      <c r="H706">
        <v>49</v>
      </c>
      <c r="I706" s="1">
        <v>42481</v>
      </c>
      <c r="J706" t="s">
        <v>5</v>
      </c>
      <c r="K706">
        <f>COUNTIFS(GESTIONES!$A:$A, BASE_CUENTAS!$A706, GESTIONES!$B:$B, BASE_CUENTAS!$C706)</f>
        <v>3</v>
      </c>
      <c r="L706">
        <f>COUNTIFS(GESTIONES!$A:$A, BASE_CUENTAS!$A706,GESTIONES!$B:$B, BASE_CUENTAS!$C706,GESTIONES!$E:$E, "S")</f>
        <v>1</v>
      </c>
      <c r="M706">
        <f>COUNTIFS(GESTIONES!$A:$A, BASE_CUENTAS!$A706,GESTIONES!$B:$B, BASE_CUENTAS!$C706,GESTIONES!$E:$E, "N")</f>
        <v>2</v>
      </c>
      <c r="N706">
        <f>COUNTIFS(GESTIONES!$A:$A, BASE_CUENTAS!$A706,GESTIONES!$B:$B, BASE_CUENTAS!$C706,GESTIONES!$D:$D, "SMS")</f>
        <v>0</v>
      </c>
      <c r="O706">
        <f>SUMIFS(PAGOS!$D:$D,PAGOS!$A:$A, BASE_CUENTAS!$A706,PAGOS!$B:$B, BASE_CUENTAS!$C706)</f>
        <v>735738</v>
      </c>
      <c r="P706" t="str">
        <f>IF(
VLOOKUP($C706,BASE_CIERRE_MES!$C:$G,5,FALSE)=0,
"Normalización",
IF(
VLOOKUP($C706,BASE_CIERRE_MES!$C:$G,5,FALSE)&lt;$H706,
"Recuperación",
IF(
VLOOKUP($C706,BASE_CIERRE_MES!$C:$G,5,FALSE)=$H706,
"Contención",
"Rodamiento"
)))</f>
        <v>Normalización</v>
      </c>
      <c r="Q706">
        <f t="shared" si="10"/>
        <v>0.68556748582019245</v>
      </c>
    </row>
    <row r="707" spans="1:17" x14ac:dyDescent="0.25">
      <c r="A707">
        <v>8466043</v>
      </c>
      <c r="B707" t="s">
        <v>16</v>
      </c>
      <c r="C707">
        <v>23974043</v>
      </c>
      <c r="D707" t="s">
        <v>8</v>
      </c>
      <c r="E707">
        <v>34800364</v>
      </c>
      <c r="F707" s="2">
        <v>22780308</v>
      </c>
      <c r="G707" s="2">
        <v>531059</v>
      </c>
      <c r="H707">
        <v>39</v>
      </c>
      <c r="I707" s="1">
        <v>42493</v>
      </c>
      <c r="J707" t="s">
        <v>5</v>
      </c>
      <c r="K707">
        <f>COUNTIFS(GESTIONES!$A:$A, BASE_CUENTAS!$A707, GESTIONES!$B:$B, BASE_CUENTAS!$C707)</f>
        <v>3</v>
      </c>
      <c r="L707">
        <f>COUNTIFS(GESTIONES!$A:$A, BASE_CUENTAS!$A707,GESTIONES!$B:$B, BASE_CUENTAS!$C707,GESTIONES!$E:$E, "S")</f>
        <v>0</v>
      </c>
      <c r="M707">
        <f>COUNTIFS(GESTIONES!$A:$A, BASE_CUENTAS!$A707,GESTIONES!$B:$B, BASE_CUENTAS!$C707,GESTIONES!$E:$E, "N")</f>
        <v>3</v>
      </c>
      <c r="N707">
        <f>COUNTIFS(GESTIONES!$A:$A, BASE_CUENTAS!$A707,GESTIONES!$B:$B, BASE_CUENTAS!$C707,GESTIONES!$D:$D, "SMS")</f>
        <v>2</v>
      </c>
      <c r="O707">
        <f>SUMIFS(PAGOS!$D:$D,PAGOS!$A:$A, BASE_CUENTAS!$A707,PAGOS!$B:$B, BASE_CUENTAS!$C707)</f>
        <v>0</v>
      </c>
      <c r="P707" t="str">
        <f>IF(
VLOOKUP($C707,BASE_CIERRE_MES!$C:$G,5,FALSE)=0,
"Normalización",
IF(
VLOOKUP($C707,BASE_CIERRE_MES!$C:$G,5,FALSE)&lt;$H707,
"Recuperación",
IF(
VLOOKUP($C707,BASE_CIERRE_MES!$C:$G,5,FALSE)=$H707,
"Contención",
"Rodamiento"
)))</f>
        <v>Rodamiento</v>
      </c>
      <c r="Q707">
        <f t="shared" ref="Q707:Q770" si="11">IF(F707=0,0,VALUE(O707)/VALUE(F707))</f>
        <v>0</v>
      </c>
    </row>
    <row r="708" spans="1:17" x14ac:dyDescent="0.25">
      <c r="A708">
        <v>8466043</v>
      </c>
      <c r="B708" t="s">
        <v>16</v>
      </c>
      <c r="C708">
        <v>24033068</v>
      </c>
      <c r="D708" t="s">
        <v>7</v>
      </c>
      <c r="E708">
        <v>34800364</v>
      </c>
      <c r="F708" s="2">
        <v>3486314</v>
      </c>
      <c r="G708" s="2">
        <v>942953</v>
      </c>
      <c r="H708">
        <v>60</v>
      </c>
      <c r="I708" s="1">
        <v>42481</v>
      </c>
      <c r="J708" t="s">
        <v>5</v>
      </c>
      <c r="K708">
        <f>COUNTIFS(GESTIONES!$A:$A, BASE_CUENTAS!$A708, GESTIONES!$B:$B, BASE_CUENTAS!$C708)</f>
        <v>3</v>
      </c>
      <c r="L708">
        <f>COUNTIFS(GESTIONES!$A:$A, BASE_CUENTAS!$A708,GESTIONES!$B:$B, BASE_CUENTAS!$C708,GESTIONES!$E:$E, "S")</f>
        <v>1</v>
      </c>
      <c r="M708">
        <f>COUNTIFS(GESTIONES!$A:$A, BASE_CUENTAS!$A708,GESTIONES!$B:$B, BASE_CUENTAS!$C708,GESTIONES!$E:$E, "N")</f>
        <v>2</v>
      </c>
      <c r="N708">
        <f>COUNTIFS(GESTIONES!$A:$A, BASE_CUENTAS!$A708,GESTIONES!$B:$B, BASE_CUENTAS!$C708,GESTIONES!$D:$D, "SMS")</f>
        <v>1</v>
      </c>
      <c r="O708">
        <f>SUMIFS(PAGOS!$D:$D,PAGOS!$A:$A, BASE_CUENTAS!$A708,PAGOS!$B:$B, BASE_CUENTAS!$C708)</f>
        <v>0</v>
      </c>
      <c r="P708" t="str">
        <f>IF(
VLOOKUP($C708,BASE_CIERRE_MES!$C:$G,5,FALSE)=0,
"Normalización",
IF(
VLOOKUP($C708,BASE_CIERRE_MES!$C:$G,5,FALSE)&lt;$H708,
"Recuperación",
IF(
VLOOKUP($C708,BASE_CIERRE_MES!$C:$G,5,FALSE)=$H708,
"Contención",
"Rodamiento"
)))</f>
        <v>Rodamiento</v>
      </c>
      <c r="Q708">
        <f t="shared" si="11"/>
        <v>0</v>
      </c>
    </row>
    <row r="709" spans="1:17" x14ac:dyDescent="0.25">
      <c r="A709">
        <v>8466082</v>
      </c>
      <c r="B709" t="s">
        <v>18</v>
      </c>
      <c r="C709">
        <v>21029378</v>
      </c>
      <c r="D709" t="s">
        <v>7</v>
      </c>
      <c r="E709">
        <v>4810187</v>
      </c>
      <c r="F709" s="2">
        <v>4810187</v>
      </c>
      <c r="G709" s="2">
        <v>552834</v>
      </c>
      <c r="H709">
        <v>30</v>
      </c>
      <c r="I709" s="1">
        <v>42522</v>
      </c>
      <c r="J709" t="s">
        <v>6</v>
      </c>
      <c r="K709">
        <f>COUNTIFS(GESTIONES!$A:$A, BASE_CUENTAS!$A709, GESTIONES!$B:$B, BASE_CUENTAS!$C709)</f>
        <v>3</v>
      </c>
      <c r="L709">
        <f>COUNTIFS(GESTIONES!$A:$A, BASE_CUENTAS!$A709,GESTIONES!$B:$B, BASE_CUENTAS!$C709,GESTIONES!$E:$E, "S")</f>
        <v>1</v>
      </c>
      <c r="M709">
        <f>COUNTIFS(GESTIONES!$A:$A, BASE_CUENTAS!$A709,GESTIONES!$B:$B, BASE_CUENTAS!$C709,GESTIONES!$E:$E, "N")</f>
        <v>2</v>
      </c>
      <c r="N709">
        <f>COUNTIFS(GESTIONES!$A:$A, BASE_CUENTAS!$A709,GESTIONES!$B:$B, BASE_CUENTAS!$C709,GESTIONES!$D:$D, "SMS")</f>
        <v>1</v>
      </c>
      <c r="O709">
        <f>SUMIFS(PAGOS!$D:$D,PAGOS!$A:$A, BASE_CUENTAS!$A709,PAGOS!$B:$B, BASE_CUENTAS!$C709)</f>
        <v>552834</v>
      </c>
      <c r="P709" t="str">
        <f>IF(
VLOOKUP($C709,BASE_CIERRE_MES!$C:$G,5,FALSE)=0,
"Normalización",
IF(
VLOOKUP($C709,BASE_CIERRE_MES!$C:$G,5,FALSE)&lt;$H709,
"Recuperación",
IF(
VLOOKUP($C709,BASE_CIERRE_MES!$C:$G,5,FALSE)=$H709,
"Contención",
"Rodamiento"
)))</f>
        <v>Normalización</v>
      </c>
      <c r="Q709">
        <f t="shared" si="11"/>
        <v>0.11492983536814681</v>
      </c>
    </row>
    <row r="710" spans="1:17" x14ac:dyDescent="0.25">
      <c r="A710">
        <v>8470835</v>
      </c>
      <c r="B710" t="s">
        <v>17</v>
      </c>
      <c r="C710">
        <v>27193657</v>
      </c>
      <c r="D710" t="s">
        <v>7</v>
      </c>
      <c r="E710">
        <v>9229299</v>
      </c>
      <c r="F710" s="2">
        <v>1882642</v>
      </c>
      <c r="G710" s="2">
        <v>8263</v>
      </c>
      <c r="H710">
        <v>30</v>
      </c>
      <c r="I710" s="1">
        <v>42521</v>
      </c>
      <c r="J710" t="s">
        <v>4</v>
      </c>
      <c r="K710">
        <f>COUNTIFS(GESTIONES!$A:$A, BASE_CUENTAS!$A710, GESTIONES!$B:$B, BASE_CUENTAS!$C710)</f>
        <v>3</v>
      </c>
      <c r="L710">
        <f>COUNTIFS(GESTIONES!$A:$A, BASE_CUENTAS!$A710,GESTIONES!$B:$B, BASE_CUENTAS!$C710,GESTIONES!$E:$E, "S")</f>
        <v>1</v>
      </c>
      <c r="M710">
        <f>COUNTIFS(GESTIONES!$A:$A, BASE_CUENTAS!$A710,GESTIONES!$B:$B, BASE_CUENTAS!$C710,GESTIONES!$E:$E, "N")</f>
        <v>2</v>
      </c>
      <c r="N710">
        <f>COUNTIFS(GESTIONES!$A:$A, BASE_CUENTAS!$A710,GESTIONES!$B:$B, BASE_CUENTAS!$C710,GESTIONES!$D:$D, "SMS")</f>
        <v>0</v>
      </c>
      <c r="O710">
        <f>SUMIFS(PAGOS!$D:$D,PAGOS!$A:$A, BASE_CUENTAS!$A710,PAGOS!$B:$B, BASE_CUENTAS!$C710)</f>
        <v>8263</v>
      </c>
      <c r="P710" t="str">
        <f>IF(
VLOOKUP($C710,BASE_CIERRE_MES!$C:$G,5,FALSE)=0,
"Normalización",
IF(
VLOOKUP($C710,BASE_CIERRE_MES!$C:$G,5,FALSE)&lt;$H710,
"Recuperación",
IF(
VLOOKUP($C710,BASE_CIERRE_MES!$C:$G,5,FALSE)=$H710,
"Contención",
"Rodamiento"
)))</f>
        <v>Normalización</v>
      </c>
      <c r="Q710">
        <f t="shared" si="11"/>
        <v>4.389044757314455E-3</v>
      </c>
    </row>
    <row r="711" spans="1:17" x14ac:dyDescent="0.25">
      <c r="A711">
        <v>8470894</v>
      </c>
      <c r="B711" t="s">
        <v>18</v>
      </c>
      <c r="C711">
        <v>24320598</v>
      </c>
      <c r="D711" t="s">
        <v>7</v>
      </c>
      <c r="E711">
        <v>692874</v>
      </c>
      <c r="F711" s="2">
        <v>692874</v>
      </c>
      <c r="G711" s="2">
        <v>47142</v>
      </c>
      <c r="H711">
        <v>30</v>
      </c>
      <c r="I711" s="1">
        <v>42522</v>
      </c>
      <c r="J711" t="s">
        <v>6</v>
      </c>
      <c r="K711">
        <f>COUNTIFS(GESTIONES!$A:$A, BASE_CUENTAS!$A711, GESTIONES!$B:$B, BASE_CUENTAS!$C711)</f>
        <v>3</v>
      </c>
      <c r="L711">
        <f>COUNTIFS(GESTIONES!$A:$A, BASE_CUENTAS!$A711,GESTIONES!$B:$B, BASE_CUENTAS!$C711,GESTIONES!$E:$E, "S")</f>
        <v>1</v>
      </c>
      <c r="M711">
        <f>COUNTIFS(GESTIONES!$A:$A, BASE_CUENTAS!$A711,GESTIONES!$B:$B, BASE_CUENTAS!$C711,GESTIONES!$E:$E, "N")</f>
        <v>2</v>
      </c>
      <c r="N711">
        <f>COUNTIFS(GESTIONES!$A:$A, BASE_CUENTAS!$A711,GESTIONES!$B:$B, BASE_CUENTAS!$C711,GESTIONES!$D:$D, "SMS")</f>
        <v>0</v>
      </c>
      <c r="O711">
        <f>SUMIFS(PAGOS!$D:$D,PAGOS!$A:$A, BASE_CUENTAS!$A711,PAGOS!$B:$B, BASE_CUENTAS!$C711)</f>
        <v>23571</v>
      </c>
      <c r="P711" t="str">
        <f>IF(
VLOOKUP($C711,BASE_CIERRE_MES!$C:$G,5,FALSE)=0,
"Normalización",
IF(
VLOOKUP($C711,BASE_CIERRE_MES!$C:$G,5,FALSE)&lt;$H711,
"Recuperación",
IF(
VLOOKUP($C711,BASE_CIERRE_MES!$C:$G,5,FALSE)=$H711,
"Contención",
"Rodamiento"
)))</f>
        <v>Recuperación</v>
      </c>
      <c r="Q711">
        <f t="shared" si="11"/>
        <v>3.4019172317044655E-2</v>
      </c>
    </row>
    <row r="712" spans="1:17" x14ac:dyDescent="0.25">
      <c r="A712">
        <v>8471172</v>
      </c>
      <c r="B712" t="s">
        <v>18</v>
      </c>
      <c r="C712">
        <v>18354113</v>
      </c>
      <c r="D712" t="s">
        <v>7</v>
      </c>
      <c r="E712">
        <v>2568031</v>
      </c>
      <c r="F712" s="2">
        <v>2568031</v>
      </c>
      <c r="G712" s="2">
        <v>381462</v>
      </c>
      <c r="H712">
        <v>30</v>
      </c>
      <c r="I712" s="1">
        <v>42508</v>
      </c>
      <c r="J712" t="s">
        <v>6</v>
      </c>
      <c r="K712">
        <f>COUNTIFS(GESTIONES!$A:$A, BASE_CUENTAS!$A712, GESTIONES!$B:$B, BASE_CUENTAS!$C712)</f>
        <v>3</v>
      </c>
      <c r="L712">
        <f>COUNTIFS(GESTIONES!$A:$A, BASE_CUENTAS!$A712,GESTIONES!$B:$B, BASE_CUENTAS!$C712,GESTIONES!$E:$E, "S")</f>
        <v>0</v>
      </c>
      <c r="M712">
        <f>COUNTIFS(GESTIONES!$A:$A, BASE_CUENTAS!$A712,GESTIONES!$B:$B, BASE_CUENTAS!$C712,GESTIONES!$E:$E, "N")</f>
        <v>3</v>
      </c>
      <c r="N712">
        <f>COUNTIFS(GESTIONES!$A:$A, BASE_CUENTAS!$A712,GESTIONES!$B:$B, BASE_CUENTAS!$C712,GESTIONES!$D:$D, "SMS")</f>
        <v>2</v>
      </c>
      <c r="O712">
        <f>SUMIFS(PAGOS!$D:$D,PAGOS!$A:$A, BASE_CUENTAS!$A712,PAGOS!$B:$B, BASE_CUENTAS!$C712)</f>
        <v>0</v>
      </c>
      <c r="P712" t="str">
        <f>IF(
VLOOKUP($C712,BASE_CIERRE_MES!$C:$G,5,FALSE)=0,
"Normalización",
IF(
VLOOKUP($C712,BASE_CIERRE_MES!$C:$G,5,FALSE)&lt;$H712,
"Recuperación",
IF(
VLOOKUP($C712,BASE_CIERRE_MES!$C:$G,5,FALSE)=$H712,
"Contención",
"Rodamiento"
)))</f>
        <v>Rodamiento</v>
      </c>
      <c r="Q712">
        <f t="shared" si="11"/>
        <v>0</v>
      </c>
    </row>
    <row r="713" spans="1:17" x14ac:dyDescent="0.25">
      <c r="A713">
        <v>8471455</v>
      </c>
      <c r="B713" t="s">
        <v>18</v>
      </c>
      <c r="C713">
        <v>22923812</v>
      </c>
      <c r="D713" t="s">
        <v>7</v>
      </c>
      <c r="E713">
        <v>1190685</v>
      </c>
      <c r="F713" s="2">
        <v>1190685</v>
      </c>
      <c r="G713" s="2">
        <v>11709</v>
      </c>
      <c r="H713">
        <v>30</v>
      </c>
      <c r="I713" s="1">
        <v>42508</v>
      </c>
      <c r="J713" t="s">
        <v>6</v>
      </c>
      <c r="K713">
        <f>COUNTIFS(GESTIONES!$A:$A, BASE_CUENTAS!$A713, GESTIONES!$B:$B, BASE_CUENTAS!$C713)</f>
        <v>3</v>
      </c>
      <c r="L713">
        <f>COUNTIFS(GESTIONES!$A:$A, BASE_CUENTAS!$A713,GESTIONES!$B:$B, BASE_CUENTAS!$C713,GESTIONES!$E:$E, "S")</f>
        <v>1</v>
      </c>
      <c r="M713">
        <f>COUNTIFS(GESTIONES!$A:$A, BASE_CUENTAS!$A713,GESTIONES!$B:$B, BASE_CUENTAS!$C713,GESTIONES!$E:$E, "N")</f>
        <v>2</v>
      </c>
      <c r="N713">
        <f>COUNTIFS(GESTIONES!$A:$A, BASE_CUENTAS!$A713,GESTIONES!$B:$B, BASE_CUENTAS!$C713,GESTIONES!$D:$D, "SMS")</f>
        <v>1</v>
      </c>
      <c r="O713">
        <f>SUMIFS(PAGOS!$D:$D,PAGOS!$A:$A, BASE_CUENTAS!$A713,PAGOS!$B:$B, BASE_CUENTAS!$C713)</f>
        <v>11709</v>
      </c>
      <c r="P713" t="str">
        <f>IF(
VLOOKUP($C713,BASE_CIERRE_MES!$C:$G,5,FALSE)=0,
"Normalización",
IF(
VLOOKUP($C713,BASE_CIERRE_MES!$C:$G,5,FALSE)&lt;$H713,
"Recuperación",
IF(
VLOOKUP($C713,BASE_CIERRE_MES!$C:$G,5,FALSE)=$H713,
"Contención",
"Rodamiento"
)))</f>
        <v>Normalización</v>
      </c>
      <c r="Q713">
        <f t="shared" si="11"/>
        <v>9.8338351453155122E-3</v>
      </c>
    </row>
    <row r="714" spans="1:17" x14ac:dyDescent="0.25">
      <c r="A714">
        <v>8483919</v>
      </c>
      <c r="B714" t="s">
        <v>18</v>
      </c>
      <c r="C714">
        <v>26346244</v>
      </c>
      <c r="D714" t="s">
        <v>7</v>
      </c>
      <c r="E714">
        <v>1973660</v>
      </c>
      <c r="F714" s="2">
        <v>1973660</v>
      </c>
      <c r="G714" s="2">
        <v>570066</v>
      </c>
      <c r="H714">
        <v>90</v>
      </c>
      <c r="I714" s="1">
        <v>42522</v>
      </c>
      <c r="J714" t="s">
        <v>6</v>
      </c>
      <c r="K714">
        <f>COUNTIFS(GESTIONES!$A:$A, BASE_CUENTAS!$A714, GESTIONES!$B:$B, BASE_CUENTAS!$C714)</f>
        <v>3</v>
      </c>
      <c r="L714">
        <f>COUNTIFS(GESTIONES!$A:$A, BASE_CUENTAS!$A714,GESTIONES!$B:$B, BASE_CUENTAS!$C714,GESTIONES!$E:$E, "S")</f>
        <v>1</v>
      </c>
      <c r="M714">
        <f>COUNTIFS(GESTIONES!$A:$A, BASE_CUENTAS!$A714,GESTIONES!$B:$B, BASE_CUENTAS!$C714,GESTIONES!$E:$E, "N")</f>
        <v>2</v>
      </c>
      <c r="N714">
        <f>COUNTIFS(GESTIONES!$A:$A, BASE_CUENTAS!$A714,GESTIONES!$B:$B, BASE_CUENTAS!$C714,GESTIONES!$D:$D, "SMS")</f>
        <v>1</v>
      </c>
      <c r="O714">
        <f>SUMIFS(PAGOS!$D:$D,PAGOS!$A:$A, BASE_CUENTAS!$A714,PAGOS!$B:$B, BASE_CUENTAS!$C714)</f>
        <v>0</v>
      </c>
      <c r="P714" t="str">
        <f>IF(
VLOOKUP($C714,BASE_CIERRE_MES!$C:$G,5,FALSE)=0,
"Normalización",
IF(
VLOOKUP($C714,BASE_CIERRE_MES!$C:$G,5,FALSE)&lt;$H714,
"Recuperación",
IF(
VLOOKUP($C714,BASE_CIERRE_MES!$C:$G,5,FALSE)=$H714,
"Contención",
"Rodamiento"
)))</f>
        <v>Rodamiento</v>
      </c>
      <c r="Q714">
        <f t="shared" si="11"/>
        <v>0</v>
      </c>
    </row>
    <row r="715" spans="1:17" x14ac:dyDescent="0.25">
      <c r="A715">
        <v>8484108</v>
      </c>
      <c r="B715" t="s">
        <v>16</v>
      </c>
      <c r="C715">
        <v>24010205</v>
      </c>
      <c r="D715" t="s">
        <v>7</v>
      </c>
      <c r="E715">
        <v>39412450</v>
      </c>
      <c r="F715" s="2">
        <v>272199</v>
      </c>
      <c r="G715" s="2">
        <v>25647</v>
      </c>
      <c r="H715">
        <v>30</v>
      </c>
      <c r="I715" s="1">
        <v>42509</v>
      </c>
      <c r="J715" t="s">
        <v>6</v>
      </c>
      <c r="K715">
        <f>COUNTIFS(GESTIONES!$A:$A, BASE_CUENTAS!$A715, GESTIONES!$B:$B, BASE_CUENTAS!$C715)</f>
        <v>3</v>
      </c>
      <c r="L715">
        <f>COUNTIFS(GESTIONES!$A:$A, BASE_CUENTAS!$A715,GESTIONES!$B:$B, BASE_CUENTAS!$C715,GESTIONES!$E:$E, "S")</f>
        <v>1</v>
      </c>
      <c r="M715">
        <f>COUNTIFS(GESTIONES!$A:$A, BASE_CUENTAS!$A715,GESTIONES!$B:$B, BASE_CUENTAS!$C715,GESTIONES!$E:$E, "N")</f>
        <v>2</v>
      </c>
      <c r="N715">
        <f>COUNTIFS(GESTIONES!$A:$A, BASE_CUENTAS!$A715,GESTIONES!$B:$B, BASE_CUENTAS!$C715,GESTIONES!$D:$D, "SMS")</f>
        <v>0</v>
      </c>
      <c r="O715">
        <f>SUMIFS(PAGOS!$D:$D,PAGOS!$A:$A, BASE_CUENTAS!$A715,PAGOS!$B:$B, BASE_CUENTAS!$C715)</f>
        <v>0</v>
      </c>
      <c r="P715" t="str">
        <f>IF(
VLOOKUP($C715,BASE_CIERRE_MES!$C:$G,5,FALSE)=0,
"Normalización",
IF(
VLOOKUP($C715,BASE_CIERRE_MES!$C:$G,5,FALSE)&lt;$H715,
"Recuperación",
IF(
VLOOKUP($C715,BASE_CIERRE_MES!$C:$G,5,FALSE)=$H715,
"Contención",
"Rodamiento"
)))</f>
        <v>Rodamiento</v>
      </c>
      <c r="Q715">
        <f t="shared" si="11"/>
        <v>0</v>
      </c>
    </row>
    <row r="716" spans="1:17" x14ac:dyDescent="0.25">
      <c r="A716">
        <v>8485525</v>
      </c>
      <c r="B716" t="s">
        <v>16</v>
      </c>
      <c r="C716">
        <v>1469200</v>
      </c>
      <c r="D716" t="s">
        <v>7</v>
      </c>
      <c r="E716">
        <v>55379005</v>
      </c>
      <c r="F716" s="2">
        <v>4295473</v>
      </c>
      <c r="G716" s="2">
        <v>1799747</v>
      </c>
      <c r="H716">
        <v>90</v>
      </c>
      <c r="I716" s="1">
        <v>42481</v>
      </c>
      <c r="J716" t="s">
        <v>5</v>
      </c>
      <c r="K716">
        <f>COUNTIFS(GESTIONES!$A:$A, BASE_CUENTAS!$A716, GESTIONES!$B:$B, BASE_CUENTAS!$C716)</f>
        <v>3</v>
      </c>
      <c r="L716">
        <f>COUNTIFS(GESTIONES!$A:$A, BASE_CUENTAS!$A716,GESTIONES!$B:$B, BASE_CUENTAS!$C716,GESTIONES!$E:$E, "S")</f>
        <v>1</v>
      </c>
      <c r="M716">
        <f>COUNTIFS(GESTIONES!$A:$A, BASE_CUENTAS!$A716,GESTIONES!$B:$B, BASE_CUENTAS!$C716,GESTIONES!$E:$E, "N")</f>
        <v>2</v>
      </c>
      <c r="N716">
        <f>COUNTIFS(GESTIONES!$A:$A, BASE_CUENTAS!$A716,GESTIONES!$B:$B, BASE_CUENTAS!$C716,GESTIONES!$D:$D, "SMS")</f>
        <v>0</v>
      </c>
      <c r="O716">
        <f>SUMIFS(PAGOS!$D:$D,PAGOS!$A:$A, BASE_CUENTAS!$A716,PAGOS!$B:$B, BASE_CUENTAS!$C716)</f>
        <v>0</v>
      </c>
      <c r="P716" t="str">
        <f>IF(
VLOOKUP($C716,BASE_CIERRE_MES!$C:$G,5,FALSE)=0,
"Normalización",
IF(
VLOOKUP($C716,BASE_CIERRE_MES!$C:$G,5,FALSE)&lt;$H716,
"Recuperación",
IF(
VLOOKUP($C716,BASE_CIERRE_MES!$C:$G,5,FALSE)=$H716,
"Contención",
"Rodamiento"
)))</f>
        <v>Rodamiento</v>
      </c>
      <c r="Q716">
        <f t="shared" si="11"/>
        <v>0</v>
      </c>
    </row>
    <row r="717" spans="1:17" x14ac:dyDescent="0.25">
      <c r="A717">
        <v>8485525</v>
      </c>
      <c r="B717" t="s">
        <v>16</v>
      </c>
      <c r="C717">
        <v>2407079</v>
      </c>
      <c r="D717" t="s">
        <v>10</v>
      </c>
      <c r="E717">
        <v>55379005</v>
      </c>
      <c r="F717" s="2">
        <v>4764971</v>
      </c>
      <c r="G717" s="2">
        <v>4764971</v>
      </c>
      <c r="H717">
        <v>106</v>
      </c>
      <c r="I717" s="1">
        <v>42440</v>
      </c>
      <c r="J717" t="s">
        <v>5</v>
      </c>
      <c r="K717">
        <f>COUNTIFS(GESTIONES!$A:$A, BASE_CUENTAS!$A717, GESTIONES!$B:$B, BASE_CUENTAS!$C717)</f>
        <v>3</v>
      </c>
      <c r="L717">
        <f>COUNTIFS(GESTIONES!$A:$A, BASE_CUENTAS!$A717,GESTIONES!$B:$B, BASE_CUENTAS!$C717,GESTIONES!$E:$E, "S")</f>
        <v>0</v>
      </c>
      <c r="M717">
        <f>COUNTIFS(GESTIONES!$A:$A, BASE_CUENTAS!$A717,GESTIONES!$B:$B, BASE_CUENTAS!$C717,GESTIONES!$E:$E, "N")</f>
        <v>3</v>
      </c>
      <c r="N717">
        <f>COUNTIFS(GESTIONES!$A:$A, BASE_CUENTAS!$A717,GESTIONES!$B:$B, BASE_CUENTAS!$C717,GESTIONES!$D:$D, "SMS")</f>
        <v>2</v>
      </c>
      <c r="O717">
        <f>SUMIFS(PAGOS!$D:$D,PAGOS!$A:$A, BASE_CUENTAS!$A717,PAGOS!$B:$B, BASE_CUENTAS!$C717)</f>
        <v>4764971</v>
      </c>
      <c r="P717" t="str">
        <f>IF(
VLOOKUP($C717,BASE_CIERRE_MES!$C:$G,5,FALSE)=0,
"Normalización",
IF(
VLOOKUP($C717,BASE_CIERRE_MES!$C:$G,5,FALSE)&lt;$H717,
"Recuperación",
IF(
VLOOKUP($C717,BASE_CIERRE_MES!$C:$G,5,FALSE)=$H717,
"Contención",
"Rodamiento"
)))</f>
        <v>Normalización</v>
      </c>
      <c r="Q717">
        <f t="shared" si="11"/>
        <v>1</v>
      </c>
    </row>
    <row r="718" spans="1:17" x14ac:dyDescent="0.25">
      <c r="A718">
        <v>8485525</v>
      </c>
      <c r="B718" t="s">
        <v>16</v>
      </c>
      <c r="C718">
        <v>23930618</v>
      </c>
      <c r="D718" t="s">
        <v>12</v>
      </c>
      <c r="E718">
        <v>55379005</v>
      </c>
      <c r="F718" s="2">
        <v>309975</v>
      </c>
      <c r="G718" s="2">
        <v>301642</v>
      </c>
      <c r="H718">
        <v>85</v>
      </c>
      <c r="I718" s="1">
        <v>42445</v>
      </c>
      <c r="J718" t="s">
        <v>5</v>
      </c>
      <c r="K718">
        <f>COUNTIFS(GESTIONES!$A:$A, BASE_CUENTAS!$A718, GESTIONES!$B:$B, BASE_CUENTAS!$C718)</f>
        <v>3</v>
      </c>
      <c r="L718">
        <f>COUNTIFS(GESTIONES!$A:$A, BASE_CUENTAS!$A718,GESTIONES!$B:$B, BASE_CUENTAS!$C718,GESTIONES!$E:$E, "S")</f>
        <v>1</v>
      </c>
      <c r="M718">
        <f>COUNTIFS(GESTIONES!$A:$A, BASE_CUENTAS!$A718,GESTIONES!$B:$B, BASE_CUENTAS!$C718,GESTIONES!$E:$E, "N")</f>
        <v>2</v>
      </c>
      <c r="N718">
        <f>COUNTIFS(GESTIONES!$A:$A, BASE_CUENTAS!$A718,GESTIONES!$B:$B, BASE_CUENTAS!$C718,GESTIONES!$D:$D, "SMS")</f>
        <v>1</v>
      </c>
      <c r="O718">
        <f>SUMIFS(PAGOS!$D:$D,PAGOS!$A:$A, BASE_CUENTAS!$A718,PAGOS!$B:$B, BASE_CUENTAS!$C718)</f>
        <v>0</v>
      </c>
      <c r="P718" t="str">
        <f>IF(
VLOOKUP($C718,BASE_CIERRE_MES!$C:$G,5,FALSE)=0,
"Normalización",
IF(
VLOOKUP($C718,BASE_CIERRE_MES!$C:$G,5,FALSE)&lt;$H718,
"Recuperación",
IF(
VLOOKUP($C718,BASE_CIERRE_MES!$C:$G,5,FALSE)=$H718,
"Contención",
"Rodamiento"
)))</f>
        <v>Rodamiento</v>
      </c>
      <c r="Q718">
        <f t="shared" si="11"/>
        <v>0</v>
      </c>
    </row>
    <row r="719" spans="1:17" x14ac:dyDescent="0.25">
      <c r="A719">
        <v>8485525</v>
      </c>
      <c r="B719" t="s">
        <v>16</v>
      </c>
      <c r="C719">
        <v>24887918</v>
      </c>
      <c r="D719" t="s">
        <v>12</v>
      </c>
      <c r="E719">
        <v>55379005</v>
      </c>
      <c r="F719" s="2">
        <v>1171792</v>
      </c>
      <c r="G719" s="2">
        <v>508178</v>
      </c>
      <c r="H719">
        <v>85</v>
      </c>
      <c r="I719" s="1">
        <v>42445</v>
      </c>
      <c r="J719" t="s">
        <v>5</v>
      </c>
      <c r="K719">
        <f>COUNTIFS(GESTIONES!$A:$A, BASE_CUENTAS!$A719, GESTIONES!$B:$B, BASE_CUENTAS!$C719)</f>
        <v>3</v>
      </c>
      <c r="L719">
        <f>COUNTIFS(GESTIONES!$A:$A, BASE_CUENTAS!$A719,GESTIONES!$B:$B, BASE_CUENTAS!$C719,GESTIONES!$E:$E, "S")</f>
        <v>1</v>
      </c>
      <c r="M719">
        <f>COUNTIFS(GESTIONES!$A:$A, BASE_CUENTAS!$A719,GESTIONES!$B:$B, BASE_CUENTAS!$C719,GESTIONES!$E:$E, "N")</f>
        <v>2</v>
      </c>
      <c r="N719">
        <f>COUNTIFS(GESTIONES!$A:$A, BASE_CUENTAS!$A719,GESTIONES!$B:$B, BASE_CUENTAS!$C719,GESTIONES!$D:$D, "SMS")</f>
        <v>1</v>
      </c>
      <c r="O719">
        <f>SUMIFS(PAGOS!$D:$D,PAGOS!$A:$A, BASE_CUENTAS!$A719,PAGOS!$B:$B, BASE_CUENTAS!$C719)</f>
        <v>0</v>
      </c>
      <c r="P719" t="str">
        <f>IF(
VLOOKUP($C719,BASE_CIERRE_MES!$C:$G,5,FALSE)=0,
"Normalización",
IF(
VLOOKUP($C719,BASE_CIERRE_MES!$C:$G,5,FALSE)&lt;$H719,
"Recuperación",
IF(
VLOOKUP($C719,BASE_CIERRE_MES!$C:$G,5,FALSE)=$H719,
"Contención",
"Rodamiento"
)))</f>
        <v>Rodamiento</v>
      </c>
      <c r="Q719">
        <f t="shared" si="11"/>
        <v>0</v>
      </c>
    </row>
    <row r="720" spans="1:17" x14ac:dyDescent="0.25">
      <c r="A720">
        <v>8485525</v>
      </c>
      <c r="B720" t="s">
        <v>16</v>
      </c>
      <c r="C720">
        <v>24947872</v>
      </c>
      <c r="D720" t="s">
        <v>9</v>
      </c>
      <c r="E720">
        <v>55379005</v>
      </c>
      <c r="F720" s="2">
        <v>20529757</v>
      </c>
      <c r="G720" s="2">
        <v>6531104</v>
      </c>
      <c r="H720">
        <v>89</v>
      </c>
      <c r="I720" s="1">
        <v>42481</v>
      </c>
      <c r="J720" t="s">
        <v>5</v>
      </c>
      <c r="K720">
        <f>COUNTIFS(GESTIONES!$A:$A, BASE_CUENTAS!$A720, GESTIONES!$B:$B, BASE_CUENTAS!$C720)</f>
        <v>3</v>
      </c>
      <c r="L720">
        <f>COUNTIFS(GESTIONES!$A:$A, BASE_CUENTAS!$A720,GESTIONES!$B:$B, BASE_CUENTAS!$C720,GESTIONES!$E:$E, "S")</f>
        <v>1</v>
      </c>
      <c r="M720">
        <f>COUNTIFS(GESTIONES!$A:$A, BASE_CUENTAS!$A720,GESTIONES!$B:$B, BASE_CUENTAS!$C720,GESTIONES!$E:$E, "N")</f>
        <v>2</v>
      </c>
      <c r="N720">
        <f>COUNTIFS(GESTIONES!$A:$A, BASE_CUENTAS!$A720,GESTIONES!$B:$B, BASE_CUENTAS!$C720,GESTIONES!$D:$D, "SMS")</f>
        <v>0</v>
      </c>
      <c r="O720">
        <f>SUMIFS(PAGOS!$D:$D,PAGOS!$A:$A, BASE_CUENTAS!$A720,PAGOS!$B:$B, BASE_CUENTAS!$C720)</f>
        <v>6531104</v>
      </c>
      <c r="P720" t="str">
        <f>IF(
VLOOKUP($C720,BASE_CIERRE_MES!$C:$G,5,FALSE)=0,
"Normalización",
IF(
VLOOKUP($C720,BASE_CIERRE_MES!$C:$G,5,FALSE)&lt;$H720,
"Recuperación",
IF(
VLOOKUP($C720,BASE_CIERRE_MES!$C:$G,5,FALSE)=$H720,
"Contención",
"Rodamiento"
)))</f>
        <v>Normalización</v>
      </c>
      <c r="Q720">
        <f t="shared" si="11"/>
        <v>0.31812865588228834</v>
      </c>
    </row>
    <row r="721" spans="1:17" x14ac:dyDescent="0.25">
      <c r="A721">
        <v>8485525</v>
      </c>
      <c r="B721" t="s">
        <v>16</v>
      </c>
      <c r="C721">
        <v>26183633</v>
      </c>
      <c r="D721" t="s">
        <v>12</v>
      </c>
      <c r="E721">
        <v>55379005</v>
      </c>
      <c r="F721" s="2">
        <v>1519333</v>
      </c>
      <c r="G721" s="2">
        <v>1485139</v>
      </c>
      <c r="H721">
        <v>85</v>
      </c>
      <c r="I721" s="1">
        <v>42445</v>
      </c>
      <c r="J721" t="s">
        <v>5</v>
      </c>
      <c r="K721">
        <f>COUNTIFS(GESTIONES!$A:$A, BASE_CUENTAS!$A721, GESTIONES!$B:$B, BASE_CUENTAS!$C721)</f>
        <v>3</v>
      </c>
      <c r="L721">
        <f>COUNTIFS(GESTIONES!$A:$A, BASE_CUENTAS!$A721,GESTIONES!$B:$B, BASE_CUENTAS!$C721,GESTIONES!$E:$E, "S")</f>
        <v>2</v>
      </c>
      <c r="M721">
        <f>COUNTIFS(GESTIONES!$A:$A, BASE_CUENTAS!$A721,GESTIONES!$B:$B, BASE_CUENTAS!$C721,GESTIONES!$E:$E, "N")</f>
        <v>1</v>
      </c>
      <c r="N721">
        <f>COUNTIFS(GESTIONES!$A:$A, BASE_CUENTAS!$A721,GESTIONES!$B:$B, BASE_CUENTAS!$C721,GESTIONES!$D:$D, "SMS")</f>
        <v>0</v>
      </c>
      <c r="O721">
        <f>SUMIFS(PAGOS!$D:$D,PAGOS!$A:$A, BASE_CUENTAS!$A721,PAGOS!$B:$B, BASE_CUENTAS!$C721)</f>
        <v>1485139</v>
      </c>
      <c r="P721" t="str">
        <f>IF(
VLOOKUP($C721,BASE_CIERRE_MES!$C:$G,5,FALSE)=0,
"Normalización",
IF(
VLOOKUP($C721,BASE_CIERRE_MES!$C:$G,5,FALSE)&lt;$H721,
"Recuperación",
IF(
VLOOKUP($C721,BASE_CIERRE_MES!$C:$G,5,FALSE)=$H721,
"Contención",
"Rodamiento"
)))</f>
        <v>Normalización</v>
      </c>
      <c r="Q721">
        <f t="shared" si="11"/>
        <v>0.97749407141159972</v>
      </c>
    </row>
    <row r="722" spans="1:17" x14ac:dyDescent="0.25">
      <c r="A722">
        <v>8485525</v>
      </c>
      <c r="B722" t="s">
        <v>16</v>
      </c>
      <c r="C722">
        <v>26547564</v>
      </c>
      <c r="D722" t="s">
        <v>9</v>
      </c>
      <c r="E722">
        <v>55379005</v>
      </c>
      <c r="F722" s="2">
        <v>16927413</v>
      </c>
      <c r="G722" s="2">
        <v>16927413</v>
      </c>
      <c r="H722">
        <v>99</v>
      </c>
      <c r="I722" s="1">
        <v>42481</v>
      </c>
      <c r="J722" t="s">
        <v>5</v>
      </c>
      <c r="K722">
        <f>COUNTIFS(GESTIONES!$A:$A, BASE_CUENTAS!$A722, GESTIONES!$B:$B, BASE_CUENTAS!$C722)</f>
        <v>3</v>
      </c>
      <c r="L722">
        <f>COUNTIFS(GESTIONES!$A:$A, BASE_CUENTAS!$A722,GESTIONES!$B:$B, BASE_CUENTAS!$C722,GESTIONES!$E:$E, "S")</f>
        <v>1</v>
      </c>
      <c r="M722">
        <f>COUNTIFS(GESTIONES!$A:$A, BASE_CUENTAS!$A722,GESTIONES!$B:$B, BASE_CUENTAS!$C722,GESTIONES!$E:$E, "N")</f>
        <v>2</v>
      </c>
      <c r="N722">
        <f>COUNTIFS(GESTIONES!$A:$A, BASE_CUENTAS!$A722,GESTIONES!$B:$B, BASE_CUENTAS!$C722,GESTIONES!$D:$D, "SMS")</f>
        <v>1</v>
      </c>
      <c r="O722">
        <f>SUMIFS(PAGOS!$D:$D,PAGOS!$A:$A, BASE_CUENTAS!$A722,PAGOS!$B:$B, BASE_CUENTAS!$C722)</f>
        <v>8463706</v>
      </c>
      <c r="P722" t="str">
        <f>IF(
VLOOKUP($C722,BASE_CIERRE_MES!$C:$G,5,FALSE)=0,
"Normalización",
IF(
VLOOKUP($C722,BASE_CIERRE_MES!$C:$G,5,FALSE)&lt;$H722,
"Recuperación",
IF(
VLOOKUP($C722,BASE_CIERRE_MES!$C:$G,5,FALSE)=$H722,
"Contención",
"Rodamiento"
)))</f>
        <v>Recuperación</v>
      </c>
      <c r="Q722">
        <f t="shared" si="11"/>
        <v>0.49999997046211375</v>
      </c>
    </row>
    <row r="723" spans="1:17" x14ac:dyDescent="0.25">
      <c r="A723">
        <v>8485525</v>
      </c>
      <c r="B723" t="s">
        <v>16</v>
      </c>
      <c r="C723">
        <v>26839896</v>
      </c>
      <c r="D723" t="s">
        <v>12</v>
      </c>
      <c r="E723">
        <v>55379005</v>
      </c>
      <c r="F723" s="2">
        <v>1160956</v>
      </c>
      <c r="G723" s="2">
        <v>507449</v>
      </c>
      <c r="H723">
        <v>85</v>
      </c>
      <c r="I723" s="1">
        <v>42445</v>
      </c>
      <c r="J723" t="s">
        <v>5</v>
      </c>
      <c r="K723">
        <f>COUNTIFS(GESTIONES!$A:$A, BASE_CUENTAS!$A723, GESTIONES!$B:$B, BASE_CUENTAS!$C723)</f>
        <v>3</v>
      </c>
      <c r="L723">
        <f>COUNTIFS(GESTIONES!$A:$A, BASE_CUENTAS!$A723,GESTIONES!$B:$B, BASE_CUENTAS!$C723,GESTIONES!$E:$E, "S")</f>
        <v>0</v>
      </c>
      <c r="M723">
        <f>COUNTIFS(GESTIONES!$A:$A, BASE_CUENTAS!$A723,GESTIONES!$B:$B, BASE_CUENTAS!$C723,GESTIONES!$E:$E, "N")</f>
        <v>3</v>
      </c>
      <c r="N723">
        <f>COUNTIFS(GESTIONES!$A:$A, BASE_CUENTAS!$A723,GESTIONES!$B:$B, BASE_CUENTAS!$C723,GESTIONES!$D:$D, "SMS")</f>
        <v>1</v>
      </c>
      <c r="O723">
        <f>SUMIFS(PAGOS!$D:$D,PAGOS!$A:$A, BASE_CUENTAS!$A723,PAGOS!$B:$B, BASE_CUENTAS!$C723)</f>
        <v>169150</v>
      </c>
      <c r="P723" t="str">
        <f>IF(
VLOOKUP($C723,BASE_CIERRE_MES!$C:$G,5,FALSE)=0,
"Normalización",
IF(
VLOOKUP($C723,BASE_CIERRE_MES!$C:$G,5,FALSE)&lt;$H723,
"Recuperación",
IF(
VLOOKUP($C723,BASE_CIERRE_MES!$C:$G,5,FALSE)=$H723,
"Contención",
"Rodamiento"
)))</f>
        <v>Rodamiento</v>
      </c>
      <c r="Q723">
        <f t="shared" si="11"/>
        <v>0.14569888953586527</v>
      </c>
    </row>
    <row r="724" spans="1:17" x14ac:dyDescent="0.25">
      <c r="A724">
        <v>8485611</v>
      </c>
      <c r="B724" t="s">
        <v>18</v>
      </c>
      <c r="C724">
        <v>19639856</v>
      </c>
      <c r="D724" t="s">
        <v>7</v>
      </c>
      <c r="E724">
        <v>4043712</v>
      </c>
      <c r="F724" s="2">
        <v>4043712</v>
      </c>
      <c r="G724" s="2">
        <v>1035111</v>
      </c>
      <c r="H724">
        <v>30</v>
      </c>
      <c r="I724" s="1">
        <v>42521</v>
      </c>
      <c r="J724" t="s">
        <v>4</v>
      </c>
      <c r="K724">
        <f>COUNTIFS(GESTIONES!$A:$A, BASE_CUENTAS!$A724, GESTIONES!$B:$B, BASE_CUENTAS!$C724)</f>
        <v>3</v>
      </c>
      <c r="L724">
        <f>COUNTIFS(GESTIONES!$A:$A, BASE_CUENTAS!$A724,GESTIONES!$B:$B, BASE_CUENTAS!$C724,GESTIONES!$E:$E, "S")</f>
        <v>1</v>
      </c>
      <c r="M724">
        <f>COUNTIFS(GESTIONES!$A:$A, BASE_CUENTAS!$A724,GESTIONES!$B:$B, BASE_CUENTAS!$C724,GESTIONES!$E:$E, "N")</f>
        <v>2</v>
      </c>
      <c r="N724">
        <f>COUNTIFS(GESTIONES!$A:$A, BASE_CUENTAS!$A724,GESTIONES!$B:$B, BASE_CUENTAS!$C724,GESTIONES!$D:$D, "SMS")</f>
        <v>2</v>
      </c>
      <c r="O724">
        <f>SUMIFS(PAGOS!$D:$D,PAGOS!$A:$A, BASE_CUENTAS!$A724,PAGOS!$B:$B, BASE_CUENTAS!$C724)</f>
        <v>0</v>
      </c>
      <c r="P724" t="str">
        <f>IF(
VLOOKUP($C724,BASE_CIERRE_MES!$C:$G,5,FALSE)=0,
"Normalización",
IF(
VLOOKUP($C724,BASE_CIERRE_MES!$C:$G,5,FALSE)&lt;$H724,
"Recuperación",
IF(
VLOOKUP($C724,BASE_CIERRE_MES!$C:$G,5,FALSE)=$H724,
"Contención",
"Rodamiento"
)))</f>
        <v>Rodamiento</v>
      </c>
      <c r="Q724">
        <f t="shared" si="11"/>
        <v>0</v>
      </c>
    </row>
    <row r="725" spans="1:17" x14ac:dyDescent="0.25">
      <c r="A725">
        <v>8486068</v>
      </c>
      <c r="B725" t="s">
        <v>17</v>
      </c>
      <c r="C725">
        <v>25445221</v>
      </c>
      <c r="D725" t="s">
        <v>7</v>
      </c>
      <c r="E725">
        <v>11735405</v>
      </c>
      <c r="F725" s="2">
        <v>9259029</v>
      </c>
      <c r="G725" s="2">
        <v>901841</v>
      </c>
      <c r="H725">
        <v>30</v>
      </c>
      <c r="I725" s="1">
        <v>42509</v>
      </c>
      <c r="J725" t="s">
        <v>6</v>
      </c>
      <c r="K725">
        <f>COUNTIFS(GESTIONES!$A:$A, BASE_CUENTAS!$A725, GESTIONES!$B:$B, BASE_CUENTAS!$C725)</f>
        <v>3</v>
      </c>
      <c r="L725">
        <f>COUNTIFS(GESTIONES!$A:$A, BASE_CUENTAS!$A725,GESTIONES!$B:$B, BASE_CUENTAS!$C725,GESTIONES!$E:$E, "S")</f>
        <v>1</v>
      </c>
      <c r="M725">
        <f>COUNTIFS(GESTIONES!$A:$A, BASE_CUENTAS!$A725,GESTIONES!$B:$B, BASE_CUENTAS!$C725,GESTIONES!$E:$E, "N")</f>
        <v>2</v>
      </c>
      <c r="N725">
        <f>COUNTIFS(GESTIONES!$A:$A, BASE_CUENTAS!$A725,GESTIONES!$B:$B, BASE_CUENTAS!$C725,GESTIONES!$D:$D, "SMS")</f>
        <v>0</v>
      </c>
      <c r="O725">
        <f>SUMIFS(PAGOS!$D:$D,PAGOS!$A:$A, BASE_CUENTAS!$A725,PAGOS!$B:$B, BASE_CUENTAS!$C725)</f>
        <v>300614</v>
      </c>
      <c r="P725" t="str">
        <f>IF(
VLOOKUP($C725,BASE_CIERRE_MES!$C:$G,5,FALSE)=0,
"Normalización",
IF(
VLOOKUP($C725,BASE_CIERRE_MES!$C:$G,5,FALSE)&lt;$H725,
"Recuperación",
IF(
VLOOKUP($C725,BASE_CIERRE_MES!$C:$G,5,FALSE)=$H725,
"Contención",
"Rodamiento"
)))</f>
        <v>Contención</v>
      </c>
      <c r="Q725">
        <f t="shared" si="11"/>
        <v>3.246711939232505E-2</v>
      </c>
    </row>
    <row r="726" spans="1:17" x14ac:dyDescent="0.25">
      <c r="A726">
        <v>8486068</v>
      </c>
      <c r="B726" t="s">
        <v>17</v>
      </c>
      <c r="C726">
        <v>27085828</v>
      </c>
      <c r="D726" t="s">
        <v>12</v>
      </c>
      <c r="E726">
        <v>11735405</v>
      </c>
      <c r="F726" s="2">
        <v>2476375</v>
      </c>
      <c r="G726" s="2">
        <v>426685</v>
      </c>
      <c r="H726">
        <v>24</v>
      </c>
      <c r="I726" s="1">
        <v>42509</v>
      </c>
      <c r="J726" t="s">
        <v>6</v>
      </c>
      <c r="K726">
        <f>COUNTIFS(GESTIONES!$A:$A, BASE_CUENTAS!$A726, GESTIONES!$B:$B, BASE_CUENTAS!$C726)</f>
        <v>3</v>
      </c>
      <c r="L726">
        <f>COUNTIFS(GESTIONES!$A:$A, BASE_CUENTAS!$A726,GESTIONES!$B:$B, BASE_CUENTAS!$C726,GESTIONES!$E:$E, "S")</f>
        <v>1</v>
      </c>
      <c r="M726">
        <f>COUNTIFS(GESTIONES!$A:$A, BASE_CUENTAS!$A726,GESTIONES!$B:$B, BASE_CUENTAS!$C726,GESTIONES!$E:$E, "N")</f>
        <v>2</v>
      </c>
      <c r="N726">
        <f>COUNTIFS(GESTIONES!$A:$A, BASE_CUENTAS!$A726,GESTIONES!$B:$B, BASE_CUENTAS!$C726,GESTIONES!$D:$D, "SMS")</f>
        <v>0</v>
      </c>
      <c r="O726">
        <f>SUMIFS(PAGOS!$D:$D,PAGOS!$A:$A, BASE_CUENTAS!$A726,PAGOS!$B:$B, BASE_CUENTAS!$C726)</f>
        <v>426685</v>
      </c>
      <c r="P726" t="str">
        <f>IF(
VLOOKUP($C726,BASE_CIERRE_MES!$C:$G,5,FALSE)=0,
"Normalización",
IF(
VLOOKUP($C726,BASE_CIERRE_MES!$C:$G,5,FALSE)&lt;$H726,
"Recuperación",
IF(
VLOOKUP($C726,BASE_CIERRE_MES!$C:$G,5,FALSE)=$H726,
"Contención",
"Rodamiento"
)))</f>
        <v>Normalización</v>
      </c>
      <c r="Q726">
        <f t="shared" si="11"/>
        <v>0.17230225632224522</v>
      </c>
    </row>
    <row r="727" spans="1:17" x14ac:dyDescent="0.25">
      <c r="A727">
        <v>8486233</v>
      </c>
      <c r="B727" t="s">
        <v>18</v>
      </c>
      <c r="C727">
        <v>26369161</v>
      </c>
      <c r="D727" t="s">
        <v>7</v>
      </c>
      <c r="E727">
        <v>189965</v>
      </c>
      <c r="F727" s="2">
        <v>189965</v>
      </c>
      <c r="G727" s="2">
        <v>4810</v>
      </c>
      <c r="H727">
        <v>30</v>
      </c>
      <c r="I727" s="1">
        <v>42507</v>
      </c>
      <c r="J727" t="s">
        <v>6</v>
      </c>
      <c r="K727">
        <f>COUNTIFS(GESTIONES!$A:$A, BASE_CUENTAS!$A727, GESTIONES!$B:$B, BASE_CUENTAS!$C727)</f>
        <v>3</v>
      </c>
      <c r="L727">
        <f>COUNTIFS(GESTIONES!$A:$A, BASE_CUENTAS!$A727,GESTIONES!$B:$B, BASE_CUENTAS!$C727,GESTIONES!$E:$E, "S")</f>
        <v>1</v>
      </c>
      <c r="M727">
        <f>COUNTIFS(GESTIONES!$A:$A, BASE_CUENTAS!$A727,GESTIONES!$B:$B, BASE_CUENTAS!$C727,GESTIONES!$E:$E, "N")</f>
        <v>2</v>
      </c>
      <c r="N727">
        <f>COUNTIFS(GESTIONES!$A:$A, BASE_CUENTAS!$A727,GESTIONES!$B:$B, BASE_CUENTAS!$C727,GESTIONES!$D:$D, "SMS")</f>
        <v>1</v>
      </c>
      <c r="O727">
        <f>SUMIFS(PAGOS!$D:$D,PAGOS!$A:$A, BASE_CUENTAS!$A727,PAGOS!$B:$B, BASE_CUENTAS!$C727)</f>
        <v>0</v>
      </c>
      <c r="P727" t="str">
        <f>IF(
VLOOKUP($C727,BASE_CIERRE_MES!$C:$G,5,FALSE)=0,
"Normalización",
IF(
VLOOKUP($C727,BASE_CIERRE_MES!$C:$G,5,FALSE)&lt;$H727,
"Recuperación",
IF(
VLOOKUP($C727,BASE_CIERRE_MES!$C:$G,5,FALSE)=$H727,
"Contención",
"Rodamiento"
)))</f>
        <v>Rodamiento</v>
      </c>
      <c r="Q727">
        <f t="shared" si="11"/>
        <v>0</v>
      </c>
    </row>
    <row r="728" spans="1:17" x14ac:dyDescent="0.25">
      <c r="A728">
        <v>8486527</v>
      </c>
      <c r="B728" t="s">
        <v>17</v>
      </c>
      <c r="C728">
        <v>23843578</v>
      </c>
      <c r="D728" t="s">
        <v>7</v>
      </c>
      <c r="E728">
        <v>2963085</v>
      </c>
      <c r="F728" s="2">
        <v>18394</v>
      </c>
      <c r="G728" s="2">
        <v>8743</v>
      </c>
      <c r="H728">
        <v>30</v>
      </c>
      <c r="I728" s="1">
        <v>42509</v>
      </c>
      <c r="J728" t="s">
        <v>6</v>
      </c>
      <c r="K728">
        <f>COUNTIFS(GESTIONES!$A:$A, BASE_CUENTAS!$A728, GESTIONES!$B:$B, BASE_CUENTAS!$C728)</f>
        <v>3</v>
      </c>
      <c r="L728">
        <f>COUNTIFS(GESTIONES!$A:$A, BASE_CUENTAS!$A728,GESTIONES!$B:$B, BASE_CUENTAS!$C728,GESTIONES!$E:$E, "S")</f>
        <v>0</v>
      </c>
      <c r="M728">
        <f>COUNTIFS(GESTIONES!$A:$A, BASE_CUENTAS!$A728,GESTIONES!$B:$B, BASE_CUENTAS!$C728,GESTIONES!$E:$E, "N")</f>
        <v>3</v>
      </c>
      <c r="N728">
        <f>COUNTIFS(GESTIONES!$A:$A, BASE_CUENTAS!$A728,GESTIONES!$B:$B, BASE_CUENTAS!$C728,GESTIONES!$D:$D, "SMS")</f>
        <v>1</v>
      </c>
      <c r="O728">
        <f>SUMIFS(PAGOS!$D:$D,PAGOS!$A:$A, BASE_CUENTAS!$A728,PAGOS!$B:$B, BASE_CUENTAS!$C728)</f>
        <v>0</v>
      </c>
      <c r="P728" t="str">
        <f>IF(
VLOOKUP($C728,BASE_CIERRE_MES!$C:$G,5,FALSE)=0,
"Normalización",
IF(
VLOOKUP($C728,BASE_CIERRE_MES!$C:$G,5,FALSE)&lt;$H728,
"Recuperación",
IF(
VLOOKUP($C728,BASE_CIERRE_MES!$C:$G,5,FALSE)=$H728,
"Contención",
"Rodamiento"
)))</f>
        <v>Rodamiento</v>
      </c>
      <c r="Q728">
        <f t="shared" si="11"/>
        <v>0</v>
      </c>
    </row>
    <row r="729" spans="1:17" x14ac:dyDescent="0.25">
      <c r="A729">
        <v>8486527</v>
      </c>
      <c r="B729" t="s">
        <v>17</v>
      </c>
      <c r="C729">
        <v>23868894</v>
      </c>
      <c r="D729" t="s">
        <v>9</v>
      </c>
      <c r="E729">
        <v>2963085</v>
      </c>
      <c r="F729" s="2">
        <v>2019392</v>
      </c>
      <c r="G729" s="2">
        <v>206127</v>
      </c>
      <c r="H729">
        <v>41</v>
      </c>
      <c r="I729" s="1">
        <v>42489</v>
      </c>
      <c r="J729" t="s">
        <v>6</v>
      </c>
      <c r="K729">
        <f>COUNTIFS(GESTIONES!$A:$A, BASE_CUENTAS!$A729, GESTIONES!$B:$B, BASE_CUENTAS!$C729)</f>
        <v>3</v>
      </c>
      <c r="L729">
        <f>COUNTIFS(GESTIONES!$A:$A, BASE_CUENTAS!$A729,GESTIONES!$B:$B, BASE_CUENTAS!$C729,GESTIONES!$E:$E, "S")</f>
        <v>1</v>
      </c>
      <c r="M729">
        <f>COUNTIFS(GESTIONES!$A:$A, BASE_CUENTAS!$A729,GESTIONES!$B:$B, BASE_CUENTAS!$C729,GESTIONES!$E:$E, "N")</f>
        <v>2</v>
      </c>
      <c r="N729">
        <f>COUNTIFS(GESTIONES!$A:$A, BASE_CUENTAS!$A729,GESTIONES!$B:$B, BASE_CUENTAS!$C729,GESTIONES!$D:$D, "SMS")</f>
        <v>2</v>
      </c>
      <c r="O729">
        <f>SUMIFS(PAGOS!$D:$D,PAGOS!$A:$A, BASE_CUENTAS!$A729,PAGOS!$B:$B, BASE_CUENTAS!$C729)</f>
        <v>68709</v>
      </c>
      <c r="P729" t="str">
        <f>IF(
VLOOKUP($C729,BASE_CIERRE_MES!$C:$G,5,FALSE)=0,
"Normalización",
IF(
VLOOKUP($C729,BASE_CIERRE_MES!$C:$G,5,FALSE)&lt;$H729,
"Recuperación",
IF(
VLOOKUP($C729,BASE_CIERRE_MES!$C:$G,5,FALSE)=$H729,
"Contención",
"Rodamiento"
)))</f>
        <v>Rodamiento</v>
      </c>
      <c r="Q729">
        <f t="shared" si="11"/>
        <v>3.4024597502614648E-2</v>
      </c>
    </row>
    <row r="730" spans="1:17" x14ac:dyDescent="0.25">
      <c r="A730">
        <v>8486527</v>
      </c>
      <c r="B730" t="s">
        <v>17</v>
      </c>
      <c r="C730">
        <v>24371347</v>
      </c>
      <c r="D730" t="s">
        <v>7</v>
      </c>
      <c r="E730">
        <v>2963085</v>
      </c>
      <c r="F730" s="2">
        <v>925299</v>
      </c>
      <c r="G730" s="2">
        <v>137873</v>
      </c>
      <c r="H730">
        <v>60</v>
      </c>
      <c r="I730" s="1">
        <v>42480</v>
      </c>
      <c r="J730" t="s">
        <v>6</v>
      </c>
      <c r="K730">
        <f>COUNTIFS(GESTIONES!$A:$A, BASE_CUENTAS!$A730, GESTIONES!$B:$B, BASE_CUENTAS!$C730)</f>
        <v>3</v>
      </c>
      <c r="L730">
        <f>COUNTIFS(GESTIONES!$A:$A, BASE_CUENTAS!$A730,GESTIONES!$B:$B, BASE_CUENTAS!$C730,GESTIONES!$E:$E, "S")</f>
        <v>1</v>
      </c>
      <c r="M730">
        <f>COUNTIFS(GESTIONES!$A:$A, BASE_CUENTAS!$A730,GESTIONES!$B:$B, BASE_CUENTAS!$C730,GESTIONES!$E:$E, "N")</f>
        <v>2</v>
      </c>
      <c r="N730">
        <f>COUNTIFS(GESTIONES!$A:$A, BASE_CUENTAS!$A730,GESTIONES!$B:$B, BASE_CUENTAS!$C730,GESTIONES!$D:$D, "SMS")</f>
        <v>0</v>
      </c>
      <c r="O730">
        <f>SUMIFS(PAGOS!$D:$D,PAGOS!$A:$A, BASE_CUENTAS!$A730,PAGOS!$B:$B, BASE_CUENTAS!$C730)</f>
        <v>0</v>
      </c>
      <c r="P730" t="str">
        <f>IF(
VLOOKUP($C730,BASE_CIERRE_MES!$C:$G,5,FALSE)=0,
"Normalización",
IF(
VLOOKUP($C730,BASE_CIERRE_MES!$C:$G,5,FALSE)&lt;$H730,
"Recuperación",
IF(
VLOOKUP($C730,BASE_CIERRE_MES!$C:$G,5,FALSE)=$H730,
"Contención",
"Rodamiento"
)))</f>
        <v>Rodamiento</v>
      </c>
      <c r="Q730">
        <f t="shared" si="11"/>
        <v>0</v>
      </c>
    </row>
    <row r="731" spans="1:17" x14ac:dyDescent="0.25">
      <c r="A731">
        <v>8486686</v>
      </c>
      <c r="B731" t="s">
        <v>18</v>
      </c>
      <c r="C731">
        <v>16157140</v>
      </c>
      <c r="D731" t="s">
        <v>7</v>
      </c>
      <c r="E731">
        <v>1656324</v>
      </c>
      <c r="F731" s="2">
        <v>1656324</v>
      </c>
      <c r="G731" s="2">
        <v>148602</v>
      </c>
      <c r="H731">
        <v>30</v>
      </c>
      <c r="I731" s="1">
        <v>42521</v>
      </c>
      <c r="J731" t="s">
        <v>4</v>
      </c>
      <c r="K731">
        <f>COUNTIFS(GESTIONES!$A:$A, BASE_CUENTAS!$A731, GESTIONES!$B:$B, BASE_CUENTAS!$C731)</f>
        <v>3</v>
      </c>
      <c r="L731">
        <f>COUNTIFS(GESTIONES!$A:$A, BASE_CUENTAS!$A731,GESTIONES!$B:$B, BASE_CUENTAS!$C731,GESTIONES!$E:$E, "S")</f>
        <v>1</v>
      </c>
      <c r="M731">
        <f>COUNTIFS(GESTIONES!$A:$A, BASE_CUENTAS!$A731,GESTIONES!$B:$B, BASE_CUENTAS!$C731,GESTIONES!$E:$E, "N")</f>
        <v>2</v>
      </c>
      <c r="N731">
        <f>COUNTIFS(GESTIONES!$A:$A, BASE_CUENTAS!$A731,GESTIONES!$B:$B, BASE_CUENTAS!$C731,GESTIONES!$D:$D, "SMS")</f>
        <v>0</v>
      </c>
      <c r="O731">
        <f>SUMIFS(PAGOS!$D:$D,PAGOS!$A:$A, BASE_CUENTAS!$A731,PAGOS!$B:$B, BASE_CUENTAS!$C731)</f>
        <v>0</v>
      </c>
      <c r="P731" t="str">
        <f>IF(
VLOOKUP($C731,BASE_CIERRE_MES!$C:$G,5,FALSE)=0,
"Normalización",
IF(
VLOOKUP($C731,BASE_CIERRE_MES!$C:$G,5,FALSE)&lt;$H731,
"Recuperación",
IF(
VLOOKUP($C731,BASE_CIERRE_MES!$C:$G,5,FALSE)=$H731,
"Contención",
"Rodamiento"
)))</f>
        <v>Rodamiento</v>
      </c>
      <c r="Q731">
        <f t="shared" si="11"/>
        <v>0</v>
      </c>
    </row>
    <row r="732" spans="1:17" x14ac:dyDescent="0.25">
      <c r="A732">
        <v>8486807</v>
      </c>
      <c r="B732" t="s">
        <v>18</v>
      </c>
      <c r="C732">
        <v>27598664</v>
      </c>
      <c r="D732" t="s">
        <v>7</v>
      </c>
      <c r="E732">
        <v>768869</v>
      </c>
      <c r="F732" s="2">
        <v>282331</v>
      </c>
      <c r="G732" s="2">
        <v>5109</v>
      </c>
      <c r="H732">
        <v>30</v>
      </c>
      <c r="I732" s="1">
        <v>42509</v>
      </c>
      <c r="J732" t="s">
        <v>6</v>
      </c>
      <c r="K732">
        <f>COUNTIFS(GESTIONES!$A:$A, BASE_CUENTAS!$A732, GESTIONES!$B:$B, BASE_CUENTAS!$C732)</f>
        <v>3</v>
      </c>
      <c r="L732">
        <f>COUNTIFS(GESTIONES!$A:$A, BASE_CUENTAS!$A732,GESTIONES!$B:$B, BASE_CUENTAS!$C732,GESTIONES!$E:$E, "S")</f>
        <v>1</v>
      </c>
      <c r="M732">
        <f>COUNTIFS(GESTIONES!$A:$A, BASE_CUENTAS!$A732,GESTIONES!$B:$B, BASE_CUENTAS!$C732,GESTIONES!$E:$E, "N")</f>
        <v>2</v>
      </c>
      <c r="N732">
        <f>COUNTIFS(GESTIONES!$A:$A, BASE_CUENTAS!$A732,GESTIONES!$B:$B, BASE_CUENTAS!$C732,GESTIONES!$D:$D, "SMS")</f>
        <v>1</v>
      </c>
      <c r="O732">
        <f>SUMIFS(PAGOS!$D:$D,PAGOS!$A:$A, BASE_CUENTAS!$A732,PAGOS!$B:$B, BASE_CUENTAS!$C732)</f>
        <v>0</v>
      </c>
      <c r="P732" t="str">
        <f>IF(
VLOOKUP($C732,BASE_CIERRE_MES!$C:$G,5,FALSE)=0,
"Normalización",
IF(
VLOOKUP($C732,BASE_CIERRE_MES!$C:$G,5,FALSE)&lt;$H732,
"Recuperación",
IF(
VLOOKUP($C732,BASE_CIERRE_MES!$C:$G,5,FALSE)=$H732,
"Contención",
"Rodamiento"
)))</f>
        <v>Rodamiento</v>
      </c>
      <c r="Q732">
        <f t="shared" si="11"/>
        <v>0</v>
      </c>
    </row>
    <row r="733" spans="1:17" x14ac:dyDescent="0.25">
      <c r="A733">
        <v>8487330</v>
      </c>
      <c r="B733" t="s">
        <v>18</v>
      </c>
      <c r="C733">
        <v>22547293</v>
      </c>
      <c r="D733" t="s">
        <v>7</v>
      </c>
      <c r="E733">
        <v>1159662</v>
      </c>
      <c r="F733" s="2">
        <v>1159662</v>
      </c>
      <c r="G733" s="2">
        <v>213292</v>
      </c>
      <c r="H733">
        <v>60</v>
      </c>
      <c r="I733" s="1">
        <v>42491</v>
      </c>
      <c r="J733" t="s">
        <v>6</v>
      </c>
      <c r="K733">
        <f>COUNTIFS(GESTIONES!$A:$A, BASE_CUENTAS!$A733, GESTIONES!$B:$B, BASE_CUENTAS!$C733)</f>
        <v>3</v>
      </c>
      <c r="L733">
        <f>COUNTIFS(GESTIONES!$A:$A, BASE_CUENTAS!$A733,GESTIONES!$B:$B, BASE_CUENTAS!$C733,GESTIONES!$E:$E, "S")</f>
        <v>0</v>
      </c>
      <c r="M733">
        <f>COUNTIFS(GESTIONES!$A:$A, BASE_CUENTAS!$A733,GESTIONES!$B:$B, BASE_CUENTAS!$C733,GESTIONES!$E:$E, "N")</f>
        <v>3</v>
      </c>
      <c r="N733">
        <f>COUNTIFS(GESTIONES!$A:$A, BASE_CUENTAS!$A733,GESTIONES!$B:$B, BASE_CUENTAS!$C733,GESTIONES!$D:$D, "SMS")</f>
        <v>1</v>
      </c>
      <c r="O733">
        <f>SUMIFS(PAGOS!$D:$D,PAGOS!$A:$A, BASE_CUENTAS!$A733,PAGOS!$B:$B, BASE_CUENTAS!$C733)</f>
        <v>1159662</v>
      </c>
      <c r="P733" t="str">
        <f>IF(
VLOOKUP($C733,BASE_CIERRE_MES!$C:$G,5,FALSE)=0,
"Normalización",
IF(
VLOOKUP($C733,BASE_CIERRE_MES!$C:$G,5,FALSE)&lt;$H733,
"Recuperación",
IF(
VLOOKUP($C733,BASE_CIERRE_MES!$C:$G,5,FALSE)=$H733,
"Contención",
"Rodamiento"
)))</f>
        <v>Normalización</v>
      </c>
      <c r="Q733">
        <f t="shared" si="11"/>
        <v>1</v>
      </c>
    </row>
    <row r="734" spans="1:17" x14ac:dyDescent="0.25">
      <c r="A734">
        <v>8487332</v>
      </c>
      <c r="B734" t="s">
        <v>16</v>
      </c>
      <c r="C734">
        <v>4441692</v>
      </c>
      <c r="D734" t="s">
        <v>7</v>
      </c>
      <c r="E734">
        <v>15967485</v>
      </c>
      <c r="F734" s="2">
        <v>2050268</v>
      </c>
      <c r="G734" s="2">
        <v>2058752</v>
      </c>
      <c r="H734">
        <v>120</v>
      </c>
      <c r="I734" s="1">
        <v>42519</v>
      </c>
      <c r="J734" t="s">
        <v>5</v>
      </c>
      <c r="K734">
        <f>COUNTIFS(GESTIONES!$A:$A, BASE_CUENTAS!$A734, GESTIONES!$B:$B, BASE_CUENTAS!$C734)</f>
        <v>3</v>
      </c>
      <c r="L734">
        <f>COUNTIFS(GESTIONES!$A:$A, BASE_CUENTAS!$A734,GESTIONES!$B:$B, BASE_CUENTAS!$C734,GESTIONES!$E:$E, "S")</f>
        <v>1</v>
      </c>
      <c r="M734">
        <f>COUNTIFS(GESTIONES!$A:$A, BASE_CUENTAS!$A734,GESTIONES!$B:$B, BASE_CUENTAS!$C734,GESTIONES!$E:$E, "N")</f>
        <v>2</v>
      </c>
      <c r="N734">
        <f>COUNTIFS(GESTIONES!$A:$A, BASE_CUENTAS!$A734,GESTIONES!$B:$B, BASE_CUENTAS!$C734,GESTIONES!$D:$D, "SMS")</f>
        <v>2</v>
      </c>
      <c r="O734">
        <f>SUMIFS(PAGOS!$D:$D,PAGOS!$A:$A, BASE_CUENTAS!$A734,PAGOS!$B:$B, BASE_CUENTAS!$C734)</f>
        <v>1029376</v>
      </c>
      <c r="P734" t="str">
        <f>IF(
VLOOKUP($C734,BASE_CIERRE_MES!$C:$G,5,FALSE)=0,
"Normalización",
IF(
VLOOKUP($C734,BASE_CIERRE_MES!$C:$G,5,FALSE)&lt;$H734,
"Recuperación",
IF(
VLOOKUP($C734,BASE_CIERRE_MES!$C:$G,5,FALSE)=$H734,
"Contención",
"Rodamiento"
)))</f>
        <v>Recuperación</v>
      </c>
      <c r="Q734">
        <f t="shared" si="11"/>
        <v>0.50206899780906689</v>
      </c>
    </row>
    <row r="735" spans="1:17" x14ac:dyDescent="0.25">
      <c r="A735">
        <v>8487332</v>
      </c>
      <c r="B735" t="s">
        <v>16</v>
      </c>
      <c r="C735">
        <v>21577757</v>
      </c>
      <c r="D735" t="s">
        <v>11</v>
      </c>
      <c r="E735">
        <v>15967485</v>
      </c>
      <c r="F735" s="2">
        <v>13917217</v>
      </c>
      <c r="G735" s="2">
        <v>695414</v>
      </c>
      <c r="H735">
        <v>3</v>
      </c>
      <c r="I735" s="1">
        <v>42529</v>
      </c>
      <c r="J735" t="s">
        <v>5</v>
      </c>
      <c r="K735">
        <f>COUNTIFS(GESTIONES!$A:$A, BASE_CUENTAS!$A735, GESTIONES!$B:$B, BASE_CUENTAS!$C735)</f>
        <v>3</v>
      </c>
      <c r="L735">
        <f>COUNTIFS(GESTIONES!$A:$A, BASE_CUENTAS!$A735,GESTIONES!$B:$B, BASE_CUENTAS!$C735,GESTIONES!$E:$E, "S")</f>
        <v>1</v>
      </c>
      <c r="M735">
        <f>COUNTIFS(GESTIONES!$A:$A, BASE_CUENTAS!$A735,GESTIONES!$B:$B, BASE_CUENTAS!$C735,GESTIONES!$E:$E, "N")</f>
        <v>2</v>
      </c>
      <c r="N735">
        <f>COUNTIFS(GESTIONES!$A:$A, BASE_CUENTAS!$A735,GESTIONES!$B:$B, BASE_CUENTAS!$C735,GESTIONES!$D:$D, "SMS")</f>
        <v>0</v>
      </c>
      <c r="O735">
        <f>SUMIFS(PAGOS!$D:$D,PAGOS!$A:$A, BASE_CUENTAS!$A735,PAGOS!$B:$B, BASE_CUENTAS!$C735)</f>
        <v>0</v>
      </c>
      <c r="P735" t="str">
        <f>IF(
VLOOKUP($C735,BASE_CIERRE_MES!$C:$G,5,FALSE)=0,
"Normalización",
IF(
VLOOKUP($C735,BASE_CIERRE_MES!$C:$G,5,FALSE)&lt;$H735,
"Recuperación",
IF(
VLOOKUP($C735,BASE_CIERRE_MES!$C:$G,5,FALSE)=$H735,
"Contención",
"Rodamiento"
)))</f>
        <v>Rodamiento</v>
      </c>
      <c r="Q735">
        <f t="shared" si="11"/>
        <v>0</v>
      </c>
    </row>
    <row r="736" spans="1:17" x14ac:dyDescent="0.25">
      <c r="A736">
        <v>8487669</v>
      </c>
      <c r="B736" t="s">
        <v>18</v>
      </c>
      <c r="C736">
        <v>24385491</v>
      </c>
      <c r="D736" t="s">
        <v>7</v>
      </c>
      <c r="E736">
        <v>2906781</v>
      </c>
      <c r="F736" s="2">
        <v>2224309</v>
      </c>
      <c r="G736" s="2">
        <v>242146</v>
      </c>
      <c r="H736">
        <v>30</v>
      </c>
      <c r="I736" s="1">
        <v>42521</v>
      </c>
      <c r="J736" t="s">
        <v>4</v>
      </c>
      <c r="K736">
        <f>COUNTIFS(GESTIONES!$A:$A, BASE_CUENTAS!$A736, GESTIONES!$B:$B, BASE_CUENTAS!$C736)</f>
        <v>3</v>
      </c>
      <c r="L736">
        <f>COUNTIFS(GESTIONES!$A:$A, BASE_CUENTAS!$A736,GESTIONES!$B:$B, BASE_CUENTAS!$C736,GESTIONES!$E:$E, "S")</f>
        <v>1</v>
      </c>
      <c r="M736">
        <f>COUNTIFS(GESTIONES!$A:$A, BASE_CUENTAS!$A736,GESTIONES!$B:$B, BASE_CUENTAS!$C736,GESTIONES!$E:$E, "N")</f>
        <v>2</v>
      </c>
      <c r="N736">
        <f>COUNTIFS(GESTIONES!$A:$A, BASE_CUENTAS!$A736,GESTIONES!$B:$B, BASE_CUENTAS!$C736,GESTIONES!$D:$D, "SMS")</f>
        <v>0</v>
      </c>
      <c r="O736">
        <f>SUMIFS(PAGOS!$D:$D,PAGOS!$A:$A, BASE_CUENTAS!$A736,PAGOS!$B:$B, BASE_CUENTAS!$C736)</f>
        <v>242146</v>
      </c>
      <c r="P736" t="str">
        <f>IF(
VLOOKUP($C736,BASE_CIERRE_MES!$C:$G,5,FALSE)=0,
"Normalización",
IF(
VLOOKUP($C736,BASE_CIERRE_MES!$C:$G,5,FALSE)&lt;$H736,
"Recuperación",
IF(
VLOOKUP($C736,BASE_CIERRE_MES!$C:$G,5,FALSE)=$H736,
"Contención",
"Rodamiento"
)))</f>
        <v>Normalización</v>
      </c>
      <c r="Q736">
        <f t="shared" si="11"/>
        <v>0.10886347175684673</v>
      </c>
    </row>
    <row r="737" spans="1:17" x14ac:dyDescent="0.25">
      <c r="A737">
        <v>8487742</v>
      </c>
      <c r="B737" t="s">
        <v>18</v>
      </c>
      <c r="C737">
        <v>22273203</v>
      </c>
      <c r="D737" t="s">
        <v>7</v>
      </c>
      <c r="E737">
        <v>732109</v>
      </c>
      <c r="F737" s="2">
        <v>732109</v>
      </c>
      <c r="G737" s="2">
        <v>336505</v>
      </c>
      <c r="H737">
        <v>60</v>
      </c>
      <c r="I737" s="1">
        <v>42480</v>
      </c>
      <c r="J737" t="s">
        <v>6</v>
      </c>
      <c r="K737">
        <f>COUNTIFS(GESTIONES!$A:$A, BASE_CUENTAS!$A737, GESTIONES!$B:$B, BASE_CUENTAS!$C737)</f>
        <v>3</v>
      </c>
      <c r="L737">
        <f>COUNTIFS(GESTIONES!$A:$A, BASE_CUENTAS!$A737,GESTIONES!$B:$B, BASE_CUENTAS!$C737,GESTIONES!$E:$E, "S")</f>
        <v>2</v>
      </c>
      <c r="M737">
        <f>COUNTIFS(GESTIONES!$A:$A, BASE_CUENTAS!$A737,GESTIONES!$B:$B, BASE_CUENTAS!$C737,GESTIONES!$E:$E, "N")</f>
        <v>1</v>
      </c>
      <c r="N737">
        <f>COUNTIFS(GESTIONES!$A:$A, BASE_CUENTAS!$A737,GESTIONES!$B:$B, BASE_CUENTAS!$C737,GESTIONES!$D:$D, "SMS")</f>
        <v>1</v>
      </c>
      <c r="O737">
        <f>SUMIFS(PAGOS!$D:$D,PAGOS!$A:$A, BASE_CUENTAS!$A737,PAGOS!$B:$B, BASE_CUENTAS!$C737)</f>
        <v>336505</v>
      </c>
      <c r="P737" t="str">
        <f>IF(
VLOOKUP($C737,BASE_CIERRE_MES!$C:$G,5,FALSE)=0,
"Normalización",
IF(
VLOOKUP($C737,BASE_CIERRE_MES!$C:$G,5,FALSE)&lt;$H737,
"Recuperación",
IF(
VLOOKUP($C737,BASE_CIERRE_MES!$C:$G,5,FALSE)=$H737,
"Contención",
"Rodamiento"
)))</f>
        <v>Normalización</v>
      </c>
      <c r="Q737">
        <f t="shared" si="11"/>
        <v>0.45963784081332154</v>
      </c>
    </row>
    <row r="738" spans="1:17" x14ac:dyDescent="0.25">
      <c r="A738">
        <v>8487795</v>
      </c>
      <c r="B738" t="s">
        <v>18</v>
      </c>
      <c r="C738">
        <v>25989548</v>
      </c>
      <c r="D738" t="s">
        <v>7</v>
      </c>
      <c r="E738">
        <v>3696775</v>
      </c>
      <c r="F738" s="2">
        <v>1348128</v>
      </c>
      <c r="G738" s="2">
        <v>117902</v>
      </c>
      <c r="H738">
        <v>30</v>
      </c>
      <c r="I738" s="1">
        <v>42521</v>
      </c>
      <c r="J738" t="s">
        <v>4</v>
      </c>
      <c r="K738">
        <f>COUNTIFS(GESTIONES!$A:$A, BASE_CUENTAS!$A738, GESTIONES!$B:$B, BASE_CUENTAS!$C738)</f>
        <v>3</v>
      </c>
      <c r="L738">
        <f>COUNTIFS(GESTIONES!$A:$A, BASE_CUENTAS!$A738,GESTIONES!$B:$B, BASE_CUENTAS!$C738,GESTIONES!$E:$E, "S")</f>
        <v>1</v>
      </c>
      <c r="M738">
        <f>COUNTIFS(GESTIONES!$A:$A, BASE_CUENTAS!$A738,GESTIONES!$B:$B, BASE_CUENTAS!$C738,GESTIONES!$E:$E, "N")</f>
        <v>2</v>
      </c>
      <c r="N738">
        <f>COUNTIFS(GESTIONES!$A:$A, BASE_CUENTAS!$A738,GESTIONES!$B:$B, BASE_CUENTAS!$C738,GESTIONES!$D:$D, "SMS")</f>
        <v>0</v>
      </c>
      <c r="O738">
        <f>SUMIFS(PAGOS!$D:$D,PAGOS!$A:$A, BASE_CUENTAS!$A738,PAGOS!$B:$B, BASE_CUENTAS!$C738)</f>
        <v>39301</v>
      </c>
      <c r="P738" t="str">
        <f>IF(
VLOOKUP($C738,BASE_CIERRE_MES!$C:$G,5,FALSE)=0,
"Normalización",
IF(
VLOOKUP($C738,BASE_CIERRE_MES!$C:$G,5,FALSE)&lt;$H738,
"Recuperación",
IF(
VLOOKUP($C738,BASE_CIERRE_MES!$C:$G,5,FALSE)=$H738,
"Contención",
"Rodamiento"
)))</f>
        <v>Contención</v>
      </c>
      <c r="Q738">
        <f t="shared" si="11"/>
        <v>2.9152276341712361E-2</v>
      </c>
    </row>
    <row r="739" spans="1:17" x14ac:dyDescent="0.25">
      <c r="A739">
        <v>8488069</v>
      </c>
      <c r="B739" t="s">
        <v>18</v>
      </c>
      <c r="C739">
        <v>26845371</v>
      </c>
      <c r="D739" t="s">
        <v>7</v>
      </c>
      <c r="E739">
        <v>4782380</v>
      </c>
      <c r="F739" s="2">
        <v>4782380</v>
      </c>
      <c r="G739" s="2">
        <v>4782380</v>
      </c>
      <c r="H739">
        <v>210</v>
      </c>
      <c r="I739" s="1">
        <v>42487</v>
      </c>
      <c r="J739" t="s">
        <v>5</v>
      </c>
      <c r="K739">
        <f>COUNTIFS(GESTIONES!$A:$A, BASE_CUENTAS!$A739, GESTIONES!$B:$B, BASE_CUENTAS!$C739)</f>
        <v>3</v>
      </c>
      <c r="L739">
        <f>COUNTIFS(GESTIONES!$A:$A, BASE_CUENTAS!$A739,GESTIONES!$B:$B, BASE_CUENTAS!$C739,GESTIONES!$E:$E, "S")</f>
        <v>0</v>
      </c>
      <c r="M739">
        <f>COUNTIFS(GESTIONES!$A:$A, BASE_CUENTAS!$A739,GESTIONES!$B:$B, BASE_CUENTAS!$C739,GESTIONES!$E:$E, "N")</f>
        <v>3</v>
      </c>
      <c r="N739">
        <f>COUNTIFS(GESTIONES!$A:$A, BASE_CUENTAS!$A739,GESTIONES!$B:$B, BASE_CUENTAS!$C739,GESTIONES!$D:$D, "SMS")</f>
        <v>2</v>
      </c>
      <c r="O739">
        <f>SUMIFS(PAGOS!$D:$D,PAGOS!$A:$A, BASE_CUENTAS!$A739,PAGOS!$B:$B, BASE_CUENTAS!$C739)</f>
        <v>0</v>
      </c>
      <c r="P739" t="str">
        <f>IF(
VLOOKUP($C739,BASE_CIERRE_MES!$C:$G,5,FALSE)=0,
"Normalización",
IF(
VLOOKUP($C739,BASE_CIERRE_MES!$C:$G,5,FALSE)&lt;$H739,
"Recuperación",
IF(
VLOOKUP($C739,BASE_CIERRE_MES!$C:$G,5,FALSE)=$H739,
"Contención",
"Rodamiento"
)))</f>
        <v>Rodamiento</v>
      </c>
      <c r="Q739">
        <f t="shared" si="11"/>
        <v>0</v>
      </c>
    </row>
    <row r="740" spans="1:17" x14ac:dyDescent="0.25">
      <c r="A740">
        <v>8488114</v>
      </c>
      <c r="B740" t="s">
        <v>18</v>
      </c>
      <c r="C740">
        <v>25928078</v>
      </c>
      <c r="D740" t="s">
        <v>7</v>
      </c>
      <c r="E740">
        <v>160767</v>
      </c>
      <c r="F740" s="2">
        <v>80440</v>
      </c>
      <c r="G740" s="2">
        <v>42151</v>
      </c>
      <c r="H740">
        <v>30</v>
      </c>
      <c r="I740" s="1">
        <v>42508</v>
      </c>
      <c r="J740" t="s">
        <v>6</v>
      </c>
      <c r="K740">
        <f>COUNTIFS(GESTIONES!$A:$A, BASE_CUENTAS!$A740, GESTIONES!$B:$B, BASE_CUENTAS!$C740)</f>
        <v>3</v>
      </c>
      <c r="L740">
        <f>COUNTIFS(GESTIONES!$A:$A, BASE_CUENTAS!$A740,GESTIONES!$B:$B, BASE_CUENTAS!$C740,GESTIONES!$E:$E, "S")</f>
        <v>1</v>
      </c>
      <c r="M740">
        <f>COUNTIFS(GESTIONES!$A:$A, BASE_CUENTAS!$A740,GESTIONES!$B:$B, BASE_CUENTAS!$C740,GESTIONES!$E:$E, "N")</f>
        <v>2</v>
      </c>
      <c r="N740">
        <f>COUNTIFS(GESTIONES!$A:$A, BASE_CUENTAS!$A740,GESTIONES!$B:$B, BASE_CUENTAS!$C740,GESTIONES!$D:$D, "SMS")</f>
        <v>1</v>
      </c>
      <c r="O740">
        <f>SUMIFS(PAGOS!$D:$D,PAGOS!$A:$A, BASE_CUENTAS!$A740,PAGOS!$B:$B, BASE_CUENTAS!$C740)</f>
        <v>80440</v>
      </c>
      <c r="P740" t="str">
        <f>IF(
VLOOKUP($C740,BASE_CIERRE_MES!$C:$G,5,FALSE)=0,
"Normalización",
IF(
VLOOKUP($C740,BASE_CIERRE_MES!$C:$G,5,FALSE)&lt;$H740,
"Recuperación",
IF(
VLOOKUP($C740,BASE_CIERRE_MES!$C:$G,5,FALSE)=$H740,
"Contención",
"Rodamiento"
)))</f>
        <v>Normalización</v>
      </c>
      <c r="Q740">
        <f t="shared" si="11"/>
        <v>1</v>
      </c>
    </row>
    <row r="741" spans="1:17" x14ac:dyDescent="0.25">
      <c r="A741">
        <v>8488114</v>
      </c>
      <c r="B741" t="s">
        <v>18</v>
      </c>
      <c r="C741">
        <v>25929542</v>
      </c>
      <c r="D741" t="s">
        <v>7</v>
      </c>
      <c r="E741">
        <v>160767</v>
      </c>
      <c r="F741" s="2">
        <v>80326</v>
      </c>
      <c r="G741" s="2">
        <v>61182</v>
      </c>
      <c r="H741">
        <v>30</v>
      </c>
      <c r="I741" s="1">
        <v>42509</v>
      </c>
      <c r="J741" t="s">
        <v>6</v>
      </c>
      <c r="K741">
        <f>COUNTIFS(GESTIONES!$A:$A, BASE_CUENTAS!$A741, GESTIONES!$B:$B, BASE_CUENTAS!$C741)</f>
        <v>3</v>
      </c>
      <c r="L741">
        <f>COUNTIFS(GESTIONES!$A:$A, BASE_CUENTAS!$A741,GESTIONES!$B:$B, BASE_CUENTAS!$C741,GESTIONES!$E:$E, "S")</f>
        <v>1</v>
      </c>
      <c r="M741">
        <f>COUNTIFS(GESTIONES!$A:$A, BASE_CUENTAS!$A741,GESTIONES!$B:$B, BASE_CUENTAS!$C741,GESTIONES!$E:$E, "N")</f>
        <v>2</v>
      </c>
      <c r="N741">
        <f>COUNTIFS(GESTIONES!$A:$A, BASE_CUENTAS!$A741,GESTIONES!$B:$B, BASE_CUENTAS!$C741,GESTIONES!$D:$D, "SMS")</f>
        <v>0</v>
      </c>
      <c r="O741">
        <f>SUMIFS(PAGOS!$D:$D,PAGOS!$A:$A, BASE_CUENTAS!$A741,PAGOS!$B:$B, BASE_CUENTAS!$C741)</f>
        <v>61182</v>
      </c>
      <c r="P741" t="str">
        <f>IF(
VLOOKUP($C741,BASE_CIERRE_MES!$C:$G,5,FALSE)=0,
"Normalización",
IF(
VLOOKUP($C741,BASE_CIERRE_MES!$C:$G,5,FALSE)&lt;$H741,
"Recuperación",
IF(
VLOOKUP($C741,BASE_CIERRE_MES!$C:$G,5,FALSE)=$H741,
"Contención",
"Rodamiento"
)))</f>
        <v>Normalización</v>
      </c>
      <c r="Q741">
        <f t="shared" si="11"/>
        <v>0.76167118990115279</v>
      </c>
    </row>
    <row r="742" spans="1:17" x14ac:dyDescent="0.25">
      <c r="A742">
        <v>8488151</v>
      </c>
      <c r="B742" t="s">
        <v>18</v>
      </c>
      <c r="C742">
        <v>27177262</v>
      </c>
      <c r="D742" t="s">
        <v>7</v>
      </c>
      <c r="E742">
        <v>2505054</v>
      </c>
      <c r="F742" s="2">
        <v>2505054</v>
      </c>
      <c r="G742" s="2">
        <v>221851</v>
      </c>
      <c r="H742">
        <v>30</v>
      </c>
      <c r="I742" s="1">
        <v>42509</v>
      </c>
      <c r="J742" t="s">
        <v>6</v>
      </c>
      <c r="K742">
        <f>COUNTIFS(GESTIONES!$A:$A, BASE_CUENTAS!$A742, GESTIONES!$B:$B, BASE_CUENTAS!$C742)</f>
        <v>3</v>
      </c>
      <c r="L742">
        <f>COUNTIFS(GESTIONES!$A:$A, BASE_CUENTAS!$A742,GESTIONES!$B:$B, BASE_CUENTAS!$C742,GESTIONES!$E:$E, "S")</f>
        <v>1</v>
      </c>
      <c r="M742">
        <f>COUNTIFS(GESTIONES!$A:$A, BASE_CUENTAS!$A742,GESTIONES!$B:$B, BASE_CUENTAS!$C742,GESTIONES!$E:$E, "N")</f>
        <v>2</v>
      </c>
      <c r="N742">
        <f>COUNTIFS(GESTIONES!$A:$A, BASE_CUENTAS!$A742,GESTIONES!$B:$B, BASE_CUENTAS!$C742,GESTIONES!$D:$D, "SMS")</f>
        <v>1</v>
      </c>
      <c r="O742">
        <f>SUMIFS(PAGOS!$D:$D,PAGOS!$A:$A, BASE_CUENTAS!$A742,PAGOS!$B:$B, BASE_CUENTAS!$C742)</f>
        <v>110926</v>
      </c>
      <c r="P742" t="str">
        <f>IF(
VLOOKUP($C742,BASE_CIERRE_MES!$C:$G,5,FALSE)=0,
"Normalización",
IF(
VLOOKUP($C742,BASE_CIERRE_MES!$C:$G,5,FALSE)&lt;$H742,
"Recuperación",
IF(
VLOOKUP($C742,BASE_CIERRE_MES!$C:$G,5,FALSE)=$H742,
"Contención",
"Rodamiento"
)))</f>
        <v>Recuperación</v>
      </c>
      <c r="Q742">
        <f t="shared" si="11"/>
        <v>4.428088176941495E-2</v>
      </c>
    </row>
    <row r="743" spans="1:17" x14ac:dyDescent="0.25">
      <c r="A743">
        <v>8488441</v>
      </c>
      <c r="B743" t="s">
        <v>18</v>
      </c>
      <c r="C743">
        <v>19581466</v>
      </c>
      <c r="D743" t="s">
        <v>7</v>
      </c>
      <c r="E743">
        <v>2711713</v>
      </c>
      <c r="F743" s="2">
        <v>2711713</v>
      </c>
      <c r="G743" s="2">
        <v>364062</v>
      </c>
      <c r="H743">
        <v>90</v>
      </c>
      <c r="I743" s="1">
        <v>42490</v>
      </c>
      <c r="J743" t="s">
        <v>6</v>
      </c>
      <c r="K743">
        <f>COUNTIFS(GESTIONES!$A:$A, BASE_CUENTAS!$A743, GESTIONES!$B:$B, BASE_CUENTAS!$C743)</f>
        <v>3</v>
      </c>
      <c r="L743">
        <f>COUNTIFS(GESTIONES!$A:$A, BASE_CUENTAS!$A743,GESTIONES!$B:$B, BASE_CUENTAS!$C743,GESTIONES!$E:$E, "S")</f>
        <v>1</v>
      </c>
      <c r="M743">
        <f>COUNTIFS(GESTIONES!$A:$A, BASE_CUENTAS!$A743,GESTIONES!$B:$B, BASE_CUENTAS!$C743,GESTIONES!$E:$E, "N")</f>
        <v>2</v>
      </c>
      <c r="N743">
        <f>COUNTIFS(GESTIONES!$A:$A, BASE_CUENTAS!$A743,GESTIONES!$B:$B, BASE_CUENTAS!$C743,GESTIONES!$D:$D, "SMS")</f>
        <v>0</v>
      </c>
      <c r="O743">
        <f>SUMIFS(PAGOS!$D:$D,PAGOS!$A:$A, BASE_CUENTAS!$A743,PAGOS!$B:$B, BASE_CUENTAS!$C743)</f>
        <v>0</v>
      </c>
      <c r="P743" t="str">
        <f>IF(
VLOOKUP($C743,BASE_CIERRE_MES!$C:$G,5,FALSE)=0,
"Normalización",
IF(
VLOOKUP($C743,BASE_CIERRE_MES!$C:$G,5,FALSE)&lt;$H743,
"Recuperación",
IF(
VLOOKUP($C743,BASE_CIERRE_MES!$C:$G,5,FALSE)=$H743,
"Contención",
"Rodamiento"
)))</f>
        <v>Rodamiento</v>
      </c>
      <c r="Q743">
        <f t="shared" si="11"/>
        <v>0</v>
      </c>
    </row>
    <row r="744" spans="1:17" x14ac:dyDescent="0.25">
      <c r="A744">
        <v>8488549</v>
      </c>
      <c r="B744" t="s">
        <v>16</v>
      </c>
      <c r="C744">
        <v>21549880</v>
      </c>
      <c r="D744" t="s">
        <v>8</v>
      </c>
      <c r="E744">
        <v>79236782</v>
      </c>
      <c r="F744" s="2">
        <v>55543497</v>
      </c>
      <c r="G744" s="2">
        <v>678579</v>
      </c>
      <c r="H744">
        <v>3</v>
      </c>
      <c r="I744" s="1">
        <v>42529</v>
      </c>
      <c r="J744" t="s">
        <v>6</v>
      </c>
      <c r="K744">
        <f>COUNTIFS(GESTIONES!$A:$A, BASE_CUENTAS!$A744, GESTIONES!$B:$B, BASE_CUENTAS!$C744)</f>
        <v>3</v>
      </c>
      <c r="L744">
        <f>COUNTIFS(GESTIONES!$A:$A, BASE_CUENTAS!$A744,GESTIONES!$B:$B, BASE_CUENTAS!$C744,GESTIONES!$E:$E, "S")</f>
        <v>0</v>
      </c>
      <c r="M744">
        <f>COUNTIFS(GESTIONES!$A:$A, BASE_CUENTAS!$A744,GESTIONES!$B:$B, BASE_CUENTAS!$C744,GESTIONES!$E:$E, "N")</f>
        <v>3</v>
      </c>
      <c r="N744">
        <f>COUNTIFS(GESTIONES!$A:$A, BASE_CUENTAS!$A744,GESTIONES!$B:$B, BASE_CUENTAS!$C744,GESTIONES!$D:$D, "SMS")</f>
        <v>2</v>
      </c>
      <c r="O744">
        <f>SUMIFS(PAGOS!$D:$D,PAGOS!$A:$A, BASE_CUENTAS!$A744,PAGOS!$B:$B, BASE_CUENTAS!$C744)</f>
        <v>0</v>
      </c>
      <c r="P744" t="str">
        <f>IF(
VLOOKUP($C744,BASE_CIERRE_MES!$C:$G,5,FALSE)=0,
"Normalización",
IF(
VLOOKUP($C744,BASE_CIERRE_MES!$C:$G,5,FALSE)&lt;$H744,
"Recuperación",
IF(
VLOOKUP($C744,BASE_CIERRE_MES!$C:$G,5,FALSE)=$H744,
"Contención",
"Rodamiento"
)))</f>
        <v>Rodamiento</v>
      </c>
      <c r="Q744">
        <f t="shared" si="11"/>
        <v>0</v>
      </c>
    </row>
    <row r="745" spans="1:17" x14ac:dyDescent="0.25">
      <c r="A745">
        <v>8488549</v>
      </c>
      <c r="B745" t="s">
        <v>16</v>
      </c>
      <c r="C745">
        <v>26419172</v>
      </c>
      <c r="D745" t="s">
        <v>7</v>
      </c>
      <c r="E745">
        <v>79236782</v>
      </c>
      <c r="F745" s="2">
        <v>11784529</v>
      </c>
      <c r="G745" s="2">
        <v>11709</v>
      </c>
      <c r="H745">
        <v>30</v>
      </c>
      <c r="I745" s="1">
        <v>42529</v>
      </c>
      <c r="J745" t="s">
        <v>6</v>
      </c>
      <c r="K745">
        <f>COUNTIFS(GESTIONES!$A:$A, BASE_CUENTAS!$A745, GESTIONES!$B:$B, BASE_CUENTAS!$C745)</f>
        <v>3</v>
      </c>
      <c r="L745">
        <f>COUNTIFS(GESTIONES!$A:$A, BASE_CUENTAS!$A745,GESTIONES!$B:$B, BASE_CUENTAS!$C745,GESTIONES!$E:$E, "S")</f>
        <v>1</v>
      </c>
      <c r="M745">
        <f>COUNTIFS(GESTIONES!$A:$A, BASE_CUENTAS!$A745,GESTIONES!$B:$B, BASE_CUENTAS!$C745,GESTIONES!$E:$E, "N")</f>
        <v>2</v>
      </c>
      <c r="N745">
        <f>COUNTIFS(GESTIONES!$A:$A, BASE_CUENTAS!$A745,GESTIONES!$B:$B, BASE_CUENTAS!$C745,GESTIONES!$D:$D, "SMS")</f>
        <v>1</v>
      </c>
      <c r="O745">
        <f>SUMIFS(PAGOS!$D:$D,PAGOS!$A:$A, BASE_CUENTAS!$A745,PAGOS!$B:$B, BASE_CUENTAS!$C745)</f>
        <v>11709</v>
      </c>
      <c r="P745" t="str">
        <f>IF(
VLOOKUP($C745,BASE_CIERRE_MES!$C:$G,5,FALSE)=0,
"Normalización",
IF(
VLOOKUP($C745,BASE_CIERRE_MES!$C:$G,5,FALSE)&lt;$H745,
"Recuperación",
IF(
VLOOKUP($C745,BASE_CIERRE_MES!$C:$G,5,FALSE)=$H745,
"Contención",
"Rodamiento"
)))</f>
        <v>Normalización</v>
      </c>
      <c r="Q745">
        <f t="shared" si="11"/>
        <v>9.9359083422001851E-4</v>
      </c>
    </row>
    <row r="746" spans="1:17" x14ac:dyDescent="0.25">
      <c r="A746">
        <v>8488607</v>
      </c>
      <c r="B746" t="s">
        <v>16</v>
      </c>
      <c r="C746">
        <v>15630098</v>
      </c>
      <c r="D746" t="s">
        <v>7</v>
      </c>
      <c r="E746">
        <v>8837306</v>
      </c>
      <c r="F746" s="2">
        <v>2878801</v>
      </c>
      <c r="G746" s="2">
        <v>281451</v>
      </c>
      <c r="H746">
        <v>30</v>
      </c>
      <c r="I746" s="1">
        <v>42508</v>
      </c>
      <c r="J746" t="s">
        <v>6</v>
      </c>
      <c r="K746">
        <f>COUNTIFS(GESTIONES!$A:$A, BASE_CUENTAS!$A746, GESTIONES!$B:$B, BASE_CUENTAS!$C746)</f>
        <v>3</v>
      </c>
      <c r="L746">
        <f>COUNTIFS(GESTIONES!$A:$A, BASE_CUENTAS!$A746,GESTIONES!$B:$B, BASE_CUENTAS!$C746,GESTIONES!$E:$E, "S")</f>
        <v>1</v>
      </c>
      <c r="M746">
        <f>COUNTIFS(GESTIONES!$A:$A, BASE_CUENTAS!$A746,GESTIONES!$B:$B, BASE_CUENTAS!$C746,GESTIONES!$E:$E, "N")</f>
        <v>2</v>
      </c>
      <c r="N746">
        <f>COUNTIFS(GESTIONES!$A:$A, BASE_CUENTAS!$A746,GESTIONES!$B:$B, BASE_CUENTAS!$C746,GESTIONES!$D:$D, "SMS")</f>
        <v>0</v>
      </c>
      <c r="O746">
        <f>SUMIFS(PAGOS!$D:$D,PAGOS!$A:$A, BASE_CUENTAS!$A746,PAGOS!$B:$B, BASE_CUENTAS!$C746)</f>
        <v>93817</v>
      </c>
      <c r="P746" t="str">
        <f>IF(
VLOOKUP($C746,BASE_CIERRE_MES!$C:$G,5,FALSE)=0,
"Normalización",
IF(
VLOOKUP($C746,BASE_CIERRE_MES!$C:$G,5,FALSE)&lt;$H746,
"Recuperación",
IF(
VLOOKUP($C746,BASE_CIERRE_MES!$C:$G,5,FALSE)=$H746,
"Contención",
"Rodamiento"
)))</f>
        <v>Contención</v>
      </c>
      <c r="Q746">
        <f t="shared" si="11"/>
        <v>3.2588914621052303E-2</v>
      </c>
    </row>
    <row r="747" spans="1:17" x14ac:dyDescent="0.25">
      <c r="A747">
        <v>8488607</v>
      </c>
      <c r="B747" t="s">
        <v>16</v>
      </c>
      <c r="C747">
        <v>16298760</v>
      </c>
      <c r="D747" t="s">
        <v>7</v>
      </c>
      <c r="E747">
        <v>8837306</v>
      </c>
      <c r="F747" s="2">
        <v>2961989</v>
      </c>
      <c r="G747" s="2">
        <v>245574</v>
      </c>
      <c r="H747">
        <v>30</v>
      </c>
      <c r="I747" s="1">
        <v>42509</v>
      </c>
      <c r="J747" t="s">
        <v>6</v>
      </c>
      <c r="K747">
        <f>COUNTIFS(GESTIONES!$A:$A, BASE_CUENTAS!$A747, GESTIONES!$B:$B, BASE_CUENTAS!$C747)</f>
        <v>3</v>
      </c>
      <c r="L747">
        <f>COUNTIFS(GESTIONES!$A:$A, BASE_CUENTAS!$A747,GESTIONES!$B:$B, BASE_CUENTAS!$C747,GESTIONES!$E:$E, "S")</f>
        <v>1</v>
      </c>
      <c r="M747">
        <f>COUNTIFS(GESTIONES!$A:$A, BASE_CUENTAS!$A747,GESTIONES!$B:$B, BASE_CUENTAS!$C747,GESTIONES!$E:$E, "N")</f>
        <v>2</v>
      </c>
      <c r="N747">
        <f>COUNTIFS(GESTIONES!$A:$A, BASE_CUENTAS!$A747,GESTIONES!$B:$B, BASE_CUENTAS!$C747,GESTIONES!$D:$D, "SMS")</f>
        <v>1</v>
      </c>
      <c r="O747">
        <f>SUMIFS(PAGOS!$D:$D,PAGOS!$A:$A, BASE_CUENTAS!$A747,PAGOS!$B:$B, BASE_CUENTAS!$C747)</f>
        <v>0</v>
      </c>
      <c r="P747" t="str">
        <f>IF(
VLOOKUP($C747,BASE_CIERRE_MES!$C:$G,5,FALSE)=0,
"Normalización",
IF(
VLOOKUP($C747,BASE_CIERRE_MES!$C:$G,5,FALSE)&lt;$H747,
"Recuperación",
IF(
VLOOKUP($C747,BASE_CIERRE_MES!$C:$G,5,FALSE)=$H747,
"Contención",
"Rodamiento"
)))</f>
        <v>Rodamiento</v>
      </c>
      <c r="Q747">
        <f t="shared" si="11"/>
        <v>0</v>
      </c>
    </row>
    <row r="748" spans="1:17" x14ac:dyDescent="0.25">
      <c r="A748">
        <v>8488607</v>
      </c>
      <c r="B748" t="s">
        <v>16</v>
      </c>
      <c r="C748">
        <v>25367323</v>
      </c>
      <c r="D748" t="s">
        <v>12</v>
      </c>
      <c r="E748">
        <v>8837306</v>
      </c>
      <c r="F748" s="2">
        <v>2996515</v>
      </c>
      <c r="G748" s="2">
        <v>156705</v>
      </c>
      <c r="H748">
        <v>24</v>
      </c>
      <c r="I748" s="1">
        <v>42507</v>
      </c>
      <c r="J748" t="s">
        <v>6</v>
      </c>
      <c r="K748">
        <f>COUNTIFS(GESTIONES!$A:$A, BASE_CUENTAS!$A748, GESTIONES!$B:$B, BASE_CUENTAS!$C748)</f>
        <v>3</v>
      </c>
      <c r="L748">
        <f>COUNTIFS(GESTIONES!$A:$A, BASE_CUENTAS!$A748,GESTIONES!$B:$B, BASE_CUENTAS!$C748,GESTIONES!$E:$E, "S")</f>
        <v>1</v>
      </c>
      <c r="M748">
        <f>COUNTIFS(GESTIONES!$A:$A, BASE_CUENTAS!$A748,GESTIONES!$B:$B, BASE_CUENTAS!$C748,GESTIONES!$E:$E, "N")</f>
        <v>2</v>
      </c>
      <c r="N748">
        <f>COUNTIFS(GESTIONES!$A:$A, BASE_CUENTAS!$A748,GESTIONES!$B:$B, BASE_CUENTAS!$C748,GESTIONES!$D:$D, "SMS")</f>
        <v>0</v>
      </c>
      <c r="O748">
        <f>SUMIFS(PAGOS!$D:$D,PAGOS!$A:$A, BASE_CUENTAS!$A748,PAGOS!$B:$B, BASE_CUENTAS!$C748)</f>
        <v>156705</v>
      </c>
      <c r="P748" t="str">
        <f>IF(
VLOOKUP($C748,BASE_CIERRE_MES!$C:$G,5,FALSE)=0,
"Normalización",
IF(
VLOOKUP($C748,BASE_CIERRE_MES!$C:$G,5,FALSE)&lt;$H748,
"Recuperación",
IF(
VLOOKUP($C748,BASE_CIERRE_MES!$C:$G,5,FALSE)=$H748,
"Contención",
"Rodamiento"
)))</f>
        <v>Normalización</v>
      </c>
      <c r="Q748">
        <f t="shared" si="11"/>
        <v>5.2295750229850342E-2</v>
      </c>
    </row>
    <row r="749" spans="1:17" x14ac:dyDescent="0.25">
      <c r="A749">
        <v>8488668</v>
      </c>
      <c r="B749" t="s">
        <v>18</v>
      </c>
      <c r="C749">
        <v>25472034</v>
      </c>
      <c r="D749" t="s">
        <v>7</v>
      </c>
      <c r="E749">
        <v>2463473</v>
      </c>
      <c r="F749" s="2">
        <v>365906</v>
      </c>
      <c r="G749" s="2">
        <v>87773</v>
      </c>
      <c r="H749">
        <v>30</v>
      </c>
      <c r="I749" s="1">
        <v>42509</v>
      </c>
      <c r="J749" t="s">
        <v>6</v>
      </c>
      <c r="K749">
        <f>COUNTIFS(GESTIONES!$A:$A, BASE_CUENTAS!$A749, GESTIONES!$B:$B, BASE_CUENTAS!$C749)</f>
        <v>3</v>
      </c>
      <c r="L749">
        <f>COUNTIFS(GESTIONES!$A:$A, BASE_CUENTAS!$A749,GESTIONES!$B:$B, BASE_CUENTAS!$C749,GESTIONES!$E:$E, "S")</f>
        <v>0</v>
      </c>
      <c r="M749">
        <f>COUNTIFS(GESTIONES!$A:$A, BASE_CUENTAS!$A749,GESTIONES!$B:$B, BASE_CUENTAS!$C749,GESTIONES!$E:$E, "N")</f>
        <v>3</v>
      </c>
      <c r="N749">
        <f>COUNTIFS(GESTIONES!$A:$A, BASE_CUENTAS!$A749,GESTIONES!$B:$B, BASE_CUENTAS!$C749,GESTIONES!$D:$D, "SMS")</f>
        <v>2</v>
      </c>
      <c r="O749">
        <f>SUMIFS(PAGOS!$D:$D,PAGOS!$A:$A, BASE_CUENTAS!$A749,PAGOS!$B:$B, BASE_CUENTAS!$C749)</f>
        <v>0</v>
      </c>
      <c r="P749" t="str">
        <f>IF(
VLOOKUP($C749,BASE_CIERRE_MES!$C:$G,5,FALSE)=0,
"Normalización",
IF(
VLOOKUP($C749,BASE_CIERRE_MES!$C:$G,5,FALSE)&lt;$H749,
"Recuperación",
IF(
VLOOKUP($C749,BASE_CIERRE_MES!$C:$G,5,FALSE)=$H749,
"Contención",
"Rodamiento"
)))</f>
        <v>Rodamiento</v>
      </c>
      <c r="Q749">
        <f t="shared" si="11"/>
        <v>0</v>
      </c>
    </row>
    <row r="750" spans="1:17" x14ac:dyDescent="0.25">
      <c r="A750">
        <v>8488668</v>
      </c>
      <c r="B750" t="s">
        <v>18</v>
      </c>
      <c r="C750">
        <v>25483738</v>
      </c>
      <c r="D750" t="s">
        <v>11</v>
      </c>
      <c r="E750">
        <v>2463473</v>
      </c>
      <c r="F750" s="2">
        <v>2097567</v>
      </c>
      <c r="G750" s="2">
        <v>841065</v>
      </c>
      <c r="H750">
        <v>124</v>
      </c>
      <c r="I750" s="1">
        <v>42495</v>
      </c>
      <c r="J750" t="s">
        <v>6</v>
      </c>
      <c r="K750">
        <f>COUNTIFS(GESTIONES!$A:$A, BASE_CUENTAS!$A750, GESTIONES!$B:$B, BASE_CUENTAS!$C750)</f>
        <v>3</v>
      </c>
      <c r="L750">
        <f>COUNTIFS(GESTIONES!$A:$A, BASE_CUENTAS!$A750,GESTIONES!$B:$B, BASE_CUENTAS!$C750,GESTIONES!$E:$E, "S")</f>
        <v>1</v>
      </c>
      <c r="M750">
        <f>COUNTIFS(GESTIONES!$A:$A, BASE_CUENTAS!$A750,GESTIONES!$B:$B, BASE_CUENTAS!$C750,GESTIONES!$E:$E, "N")</f>
        <v>2</v>
      </c>
      <c r="N750">
        <f>COUNTIFS(GESTIONES!$A:$A, BASE_CUENTAS!$A750,GESTIONES!$B:$B, BASE_CUENTAS!$C750,GESTIONES!$D:$D, "SMS")</f>
        <v>1</v>
      </c>
      <c r="O750">
        <f>SUMIFS(PAGOS!$D:$D,PAGOS!$A:$A, BASE_CUENTAS!$A750,PAGOS!$B:$B, BASE_CUENTAS!$C750)</f>
        <v>0</v>
      </c>
      <c r="P750" t="str">
        <f>IF(
VLOOKUP($C750,BASE_CIERRE_MES!$C:$G,5,FALSE)=0,
"Normalización",
IF(
VLOOKUP($C750,BASE_CIERRE_MES!$C:$G,5,FALSE)&lt;$H750,
"Recuperación",
IF(
VLOOKUP($C750,BASE_CIERRE_MES!$C:$G,5,FALSE)=$H750,
"Contención",
"Rodamiento"
)))</f>
        <v>Rodamiento</v>
      </c>
      <c r="Q750">
        <f t="shared" si="11"/>
        <v>0</v>
      </c>
    </row>
    <row r="751" spans="1:17" x14ac:dyDescent="0.25">
      <c r="A751">
        <v>8488982</v>
      </c>
      <c r="B751" t="s">
        <v>17</v>
      </c>
      <c r="C751">
        <v>24163017</v>
      </c>
      <c r="D751" t="s">
        <v>7</v>
      </c>
      <c r="E751">
        <v>6112138</v>
      </c>
      <c r="F751" s="2">
        <v>5436720</v>
      </c>
      <c r="G751" s="2">
        <v>1380839</v>
      </c>
      <c r="H751">
        <v>90</v>
      </c>
      <c r="I751" s="1">
        <v>42519</v>
      </c>
      <c r="J751" t="s">
        <v>6</v>
      </c>
      <c r="K751">
        <f>COUNTIFS(GESTIONES!$A:$A, BASE_CUENTAS!$A751, GESTIONES!$B:$B, BASE_CUENTAS!$C751)</f>
        <v>3</v>
      </c>
      <c r="L751">
        <f>COUNTIFS(GESTIONES!$A:$A, BASE_CUENTAS!$A751,GESTIONES!$B:$B, BASE_CUENTAS!$C751,GESTIONES!$E:$E, "S")</f>
        <v>1</v>
      </c>
      <c r="M751">
        <f>COUNTIFS(GESTIONES!$A:$A, BASE_CUENTAS!$A751,GESTIONES!$B:$B, BASE_CUENTAS!$C751,GESTIONES!$E:$E, "N")</f>
        <v>2</v>
      </c>
      <c r="N751">
        <f>COUNTIFS(GESTIONES!$A:$A, BASE_CUENTAS!$A751,GESTIONES!$B:$B, BASE_CUENTAS!$C751,GESTIONES!$D:$D, "SMS")</f>
        <v>0</v>
      </c>
      <c r="O751">
        <f>SUMIFS(PAGOS!$D:$D,PAGOS!$A:$A, BASE_CUENTAS!$A751,PAGOS!$B:$B, BASE_CUENTAS!$C751)</f>
        <v>0</v>
      </c>
      <c r="P751" t="str">
        <f>IF(
VLOOKUP($C751,BASE_CIERRE_MES!$C:$G,5,FALSE)=0,
"Normalización",
IF(
VLOOKUP($C751,BASE_CIERRE_MES!$C:$G,5,FALSE)&lt;$H751,
"Recuperación",
IF(
VLOOKUP($C751,BASE_CIERRE_MES!$C:$G,5,FALSE)=$H751,
"Contención",
"Rodamiento"
)))</f>
        <v>Rodamiento</v>
      </c>
      <c r="Q751">
        <f t="shared" si="11"/>
        <v>0</v>
      </c>
    </row>
    <row r="752" spans="1:17" x14ac:dyDescent="0.25">
      <c r="A752">
        <v>8489163</v>
      </c>
      <c r="B752" t="s">
        <v>18</v>
      </c>
      <c r="C752">
        <v>25275656</v>
      </c>
      <c r="D752" t="s">
        <v>7</v>
      </c>
      <c r="E752">
        <v>157959</v>
      </c>
      <c r="F752" s="2">
        <v>124553</v>
      </c>
      <c r="G752" s="2">
        <v>81233</v>
      </c>
      <c r="H752">
        <v>30</v>
      </c>
      <c r="I752" s="1">
        <v>42521</v>
      </c>
      <c r="J752" t="s">
        <v>4</v>
      </c>
      <c r="K752">
        <f>COUNTIFS(GESTIONES!$A:$A, BASE_CUENTAS!$A752, GESTIONES!$B:$B, BASE_CUENTAS!$C752)</f>
        <v>3</v>
      </c>
      <c r="L752">
        <f>COUNTIFS(GESTIONES!$A:$A, BASE_CUENTAS!$A752,GESTIONES!$B:$B, BASE_CUENTAS!$C752,GESTIONES!$E:$E, "S")</f>
        <v>1</v>
      </c>
      <c r="M752">
        <f>COUNTIFS(GESTIONES!$A:$A, BASE_CUENTAS!$A752,GESTIONES!$B:$B, BASE_CUENTAS!$C752,GESTIONES!$E:$E, "N")</f>
        <v>2</v>
      </c>
      <c r="N752">
        <f>COUNTIFS(GESTIONES!$A:$A, BASE_CUENTAS!$A752,GESTIONES!$B:$B, BASE_CUENTAS!$C752,GESTIONES!$D:$D, "SMS")</f>
        <v>1</v>
      </c>
      <c r="O752">
        <f>SUMIFS(PAGOS!$D:$D,PAGOS!$A:$A, BASE_CUENTAS!$A752,PAGOS!$B:$B, BASE_CUENTAS!$C752)</f>
        <v>0</v>
      </c>
      <c r="P752" t="str">
        <f>IF(
VLOOKUP($C752,BASE_CIERRE_MES!$C:$G,5,FALSE)=0,
"Normalización",
IF(
VLOOKUP($C752,BASE_CIERRE_MES!$C:$G,5,FALSE)&lt;$H752,
"Recuperación",
IF(
VLOOKUP($C752,BASE_CIERRE_MES!$C:$G,5,FALSE)=$H752,
"Contención",
"Rodamiento"
)))</f>
        <v>Rodamiento</v>
      </c>
      <c r="Q752">
        <f t="shared" si="11"/>
        <v>0</v>
      </c>
    </row>
    <row r="753" spans="1:17" x14ac:dyDescent="0.25">
      <c r="A753">
        <v>8489318</v>
      </c>
      <c r="B753" t="s">
        <v>18</v>
      </c>
      <c r="C753">
        <v>25471498</v>
      </c>
      <c r="D753" t="s">
        <v>7</v>
      </c>
      <c r="E753">
        <v>944626</v>
      </c>
      <c r="F753" s="2">
        <v>944626</v>
      </c>
      <c r="G753" s="2">
        <v>944626</v>
      </c>
      <c r="H753">
        <v>360</v>
      </c>
      <c r="I753" s="1">
        <v>42443</v>
      </c>
      <c r="J753" t="s">
        <v>5</v>
      </c>
      <c r="K753">
        <f>COUNTIFS(GESTIONES!$A:$A, BASE_CUENTAS!$A753, GESTIONES!$B:$B, BASE_CUENTAS!$C753)</f>
        <v>3</v>
      </c>
      <c r="L753">
        <f>COUNTIFS(GESTIONES!$A:$A, BASE_CUENTAS!$A753,GESTIONES!$B:$B, BASE_CUENTAS!$C753,GESTIONES!$E:$E, "S")</f>
        <v>2</v>
      </c>
      <c r="M753">
        <f>COUNTIFS(GESTIONES!$A:$A, BASE_CUENTAS!$A753,GESTIONES!$B:$B, BASE_CUENTAS!$C753,GESTIONES!$E:$E, "N")</f>
        <v>1</v>
      </c>
      <c r="N753">
        <f>COUNTIFS(GESTIONES!$A:$A, BASE_CUENTAS!$A753,GESTIONES!$B:$B, BASE_CUENTAS!$C753,GESTIONES!$D:$D, "SMS")</f>
        <v>0</v>
      </c>
      <c r="O753">
        <f>SUMIFS(PAGOS!$D:$D,PAGOS!$A:$A, BASE_CUENTAS!$A753,PAGOS!$B:$B, BASE_CUENTAS!$C753)</f>
        <v>0</v>
      </c>
      <c r="P753" t="str">
        <f>IF(
VLOOKUP($C753,BASE_CIERRE_MES!$C:$G,5,FALSE)=0,
"Normalización",
IF(
VLOOKUP($C753,BASE_CIERRE_MES!$C:$G,5,FALSE)&lt;$H753,
"Recuperación",
IF(
VLOOKUP($C753,BASE_CIERRE_MES!$C:$G,5,FALSE)=$H753,
"Contención",
"Rodamiento"
)))</f>
        <v>Rodamiento</v>
      </c>
      <c r="Q753">
        <f t="shared" si="11"/>
        <v>0</v>
      </c>
    </row>
    <row r="754" spans="1:17" x14ac:dyDescent="0.25">
      <c r="A754">
        <v>8489458</v>
      </c>
      <c r="B754" t="s">
        <v>18</v>
      </c>
      <c r="C754">
        <v>25194912</v>
      </c>
      <c r="D754" t="s">
        <v>7</v>
      </c>
      <c r="E754">
        <v>2295366</v>
      </c>
      <c r="F754" s="2">
        <v>808042</v>
      </c>
      <c r="G754" s="2">
        <v>152063</v>
      </c>
      <c r="H754">
        <v>30</v>
      </c>
      <c r="I754" s="1">
        <v>42508</v>
      </c>
      <c r="J754" t="s">
        <v>6</v>
      </c>
      <c r="K754">
        <f>COUNTIFS(GESTIONES!$A:$A, BASE_CUENTAS!$A754, GESTIONES!$B:$B, BASE_CUENTAS!$C754)</f>
        <v>3</v>
      </c>
      <c r="L754">
        <f>COUNTIFS(GESTIONES!$A:$A, BASE_CUENTAS!$A754,GESTIONES!$B:$B, BASE_CUENTAS!$C754,GESTIONES!$E:$E, "S")</f>
        <v>1</v>
      </c>
      <c r="M754">
        <f>COUNTIFS(GESTIONES!$A:$A, BASE_CUENTAS!$A754,GESTIONES!$B:$B, BASE_CUENTAS!$C754,GESTIONES!$E:$E, "N")</f>
        <v>2</v>
      </c>
      <c r="N754">
        <f>COUNTIFS(GESTIONES!$A:$A, BASE_CUENTAS!$A754,GESTIONES!$B:$B, BASE_CUENTAS!$C754,GESTIONES!$D:$D, "SMS")</f>
        <v>1</v>
      </c>
      <c r="O754">
        <f>SUMIFS(PAGOS!$D:$D,PAGOS!$A:$A, BASE_CUENTAS!$A754,PAGOS!$B:$B, BASE_CUENTAS!$C754)</f>
        <v>0</v>
      </c>
      <c r="P754" t="str">
        <f>IF(
VLOOKUP($C754,BASE_CIERRE_MES!$C:$G,5,FALSE)=0,
"Normalización",
IF(
VLOOKUP($C754,BASE_CIERRE_MES!$C:$G,5,FALSE)&lt;$H754,
"Recuperación",
IF(
VLOOKUP($C754,BASE_CIERRE_MES!$C:$G,5,FALSE)=$H754,
"Contención",
"Rodamiento"
)))</f>
        <v>Rodamiento</v>
      </c>
      <c r="Q754">
        <f t="shared" si="11"/>
        <v>0</v>
      </c>
    </row>
    <row r="755" spans="1:17" x14ac:dyDescent="0.25">
      <c r="A755">
        <v>8489458</v>
      </c>
      <c r="B755" t="s">
        <v>18</v>
      </c>
      <c r="C755">
        <v>26251506</v>
      </c>
      <c r="D755" t="s">
        <v>7</v>
      </c>
      <c r="E755">
        <v>2295366</v>
      </c>
      <c r="F755" s="2">
        <v>1487324</v>
      </c>
      <c r="G755" s="2">
        <v>251315</v>
      </c>
      <c r="H755">
        <v>30</v>
      </c>
      <c r="I755" s="1">
        <v>42509</v>
      </c>
      <c r="J755" t="s">
        <v>6</v>
      </c>
      <c r="K755">
        <f>COUNTIFS(GESTIONES!$A:$A, BASE_CUENTAS!$A755, GESTIONES!$B:$B, BASE_CUENTAS!$C755)</f>
        <v>3</v>
      </c>
      <c r="L755">
        <f>COUNTIFS(GESTIONES!$A:$A, BASE_CUENTAS!$A755,GESTIONES!$B:$B, BASE_CUENTAS!$C755,GESTIONES!$E:$E, "S")</f>
        <v>0</v>
      </c>
      <c r="M755">
        <f>COUNTIFS(GESTIONES!$A:$A, BASE_CUENTAS!$A755,GESTIONES!$B:$B, BASE_CUENTAS!$C755,GESTIONES!$E:$E, "N")</f>
        <v>3</v>
      </c>
      <c r="N755">
        <f>COUNTIFS(GESTIONES!$A:$A, BASE_CUENTAS!$A755,GESTIONES!$B:$B, BASE_CUENTAS!$C755,GESTIONES!$D:$D, "SMS")</f>
        <v>1</v>
      </c>
      <c r="O755">
        <f>SUMIFS(PAGOS!$D:$D,PAGOS!$A:$A, BASE_CUENTAS!$A755,PAGOS!$B:$B, BASE_CUENTAS!$C755)</f>
        <v>251315</v>
      </c>
      <c r="P755" t="str">
        <f>IF(
VLOOKUP($C755,BASE_CIERRE_MES!$C:$G,5,FALSE)=0,
"Normalización",
IF(
VLOOKUP($C755,BASE_CIERRE_MES!$C:$G,5,FALSE)&lt;$H755,
"Recuperación",
IF(
VLOOKUP($C755,BASE_CIERRE_MES!$C:$G,5,FALSE)=$H755,
"Contención",
"Rodamiento"
)))</f>
        <v>Normalización</v>
      </c>
      <c r="Q755">
        <f t="shared" si="11"/>
        <v>0.16897125306927072</v>
      </c>
    </row>
    <row r="756" spans="1:17" x14ac:dyDescent="0.25">
      <c r="A756">
        <v>8489663</v>
      </c>
      <c r="B756" t="s">
        <v>18</v>
      </c>
      <c r="C756">
        <v>25490054</v>
      </c>
      <c r="D756" t="s">
        <v>7</v>
      </c>
      <c r="E756">
        <v>2475385</v>
      </c>
      <c r="F756" s="2">
        <v>2394824</v>
      </c>
      <c r="G756" s="2">
        <v>2394824</v>
      </c>
      <c r="H756">
        <v>150</v>
      </c>
      <c r="I756" s="1">
        <v>42508</v>
      </c>
      <c r="J756" t="s">
        <v>5</v>
      </c>
      <c r="K756">
        <f>COUNTIFS(GESTIONES!$A:$A, BASE_CUENTAS!$A756, GESTIONES!$B:$B, BASE_CUENTAS!$C756)</f>
        <v>3</v>
      </c>
      <c r="L756">
        <f>COUNTIFS(GESTIONES!$A:$A, BASE_CUENTAS!$A756,GESTIONES!$B:$B, BASE_CUENTAS!$C756,GESTIONES!$E:$E, "S")</f>
        <v>1</v>
      </c>
      <c r="M756">
        <f>COUNTIFS(GESTIONES!$A:$A, BASE_CUENTAS!$A756,GESTIONES!$B:$B, BASE_CUENTAS!$C756,GESTIONES!$E:$E, "N")</f>
        <v>2</v>
      </c>
      <c r="N756">
        <f>COUNTIFS(GESTIONES!$A:$A, BASE_CUENTAS!$A756,GESTIONES!$B:$B, BASE_CUENTAS!$C756,GESTIONES!$D:$D, "SMS")</f>
        <v>1</v>
      </c>
      <c r="O756">
        <f>SUMIFS(PAGOS!$D:$D,PAGOS!$A:$A, BASE_CUENTAS!$A756,PAGOS!$B:$B, BASE_CUENTAS!$C756)</f>
        <v>0</v>
      </c>
      <c r="P756" t="str">
        <f>IF(
VLOOKUP($C756,BASE_CIERRE_MES!$C:$G,5,FALSE)=0,
"Normalización",
IF(
VLOOKUP($C756,BASE_CIERRE_MES!$C:$G,5,FALSE)&lt;$H756,
"Recuperación",
IF(
VLOOKUP($C756,BASE_CIERRE_MES!$C:$G,5,FALSE)=$H756,
"Contención",
"Rodamiento"
)))</f>
        <v>Rodamiento</v>
      </c>
      <c r="Q756">
        <f t="shared" si="11"/>
        <v>0</v>
      </c>
    </row>
    <row r="757" spans="1:17" x14ac:dyDescent="0.25">
      <c r="A757">
        <v>8489663</v>
      </c>
      <c r="B757" t="s">
        <v>18</v>
      </c>
      <c r="C757">
        <v>27844618</v>
      </c>
      <c r="D757" t="s">
        <v>7</v>
      </c>
      <c r="E757">
        <v>2475385</v>
      </c>
      <c r="F757" s="2">
        <v>80562</v>
      </c>
      <c r="G757" s="2">
        <v>80562</v>
      </c>
      <c r="H757">
        <v>60</v>
      </c>
      <c r="I757" s="1">
        <v>42481</v>
      </c>
      <c r="J757" t="s">
        <v>5</v>
      </c>
      <c r="K757">
        <f>COUNTIFS(GESTIONES!$A:$A, BASE_CUENTAS!$A757, GESTIONES!$B:$B, BASE_CUENTAS!$C757)</f>
        <v>3</v>
      </c>
      <c r="L757">
        <f>COUNTIFS(GESTIONES!$A:$A, BASE_CUENTAS!$A757,GESTIONES!$B:$B, BASE_CUENTAS!$C757,GESTIONES!$E:$E, "S")</f>
        <v>1</v>
      </c>
      <c r="M757">
        <f>COUNTIFS(GESTIONES!$A:$A, BASE_CUENTAS!$A757,GESTIONES!$B:$B, BASE_CUENTAS!$C757,GESTIONES!$E:$E, "N")</f>
        <v>2</v>
      </c>
      <c r="N757">
        <f>COUNTIFS(GESTIONES!$A:$A, BASE_CUENTAS!$A757,GESTIONES!$B:$B, BASE_CUENTAS!$C757,GESTIONES!$D:$D, "SMS")</f>
        <v>1</v>
      </c>
      <c r="O757">
        <f>SUMIFS(PAGOS!$D:$D,PAGOS!$A:$A, BASE_CUENTAS!$A757,PAGOS!$B:$B, BASE_CUENTAS!$C757)</f>
        <v>0</v>
      </c>
      <c r="P757" t="str">
        <f>IF(
VLOOKUP($C757,BASE_CIERRE_MES!$C:$G,5,FALSE)=0,
"Normalización",
IF(
VLOOKUP($C757,BASE_CIERRE_MES!$C:$G,5,FALSE)&lt;$H757,
"Recuperación",
IF(
VLOOKUP($C757,BASE_CIERRE_MES!$C:$G,5,FALSE)=$H757,
"Contención",
"Rodamiento"
)))</f>
        <v>Rodamiento</v>
      </c>
      <c r="Q757">
        <f t="shared" si="11"/>
        <v>0</v>
      </c>
    </row>
    <row r="758" spans="1:17" x14ac:dyDescent="0.25">
      <c r="A758">
        <v>8489760</v>
      </c>
      <c r="B758" t="s">
        <v>17</v>
      </c>
      <c r="C758">
        <v>14047669</v>
      </c>
      <c r="D758" t="s">
        <v>7</v>
      </c>
      <c r="E758">
        <v>6355350</v>
      </c>
      <c r="F758" s="2">
        <v>2394448</v>
      </c>
      <c r="G758" s="2">
        <v>196646</v>
      </c>
      <c r="H758">
        <v>30</v>
      </c>
      <c r="I758" s="1">
        <v>42508</v>
      </c>
      <c r="J758" t="s">
        <v>6</v>
      </c>
      <c r="K758">
        <f>COUNTIFS(GESTIONES!$A:$A, BASE_CUENTAS!$A758, GESTIONES!$B:$B, BASE_CUENTAS!$C758)</f>
        <v>3</v>
      </c>
      <c r="L758">
        <f>COUNTIFS(GESTIONES!$A:$A, BASE_CUENTAS!$A758,GESTIONES!$B:$B, BASE_CUENTAS!$C758,GESTIONES!$E:$E, "S")</f>
        <v>1</v>
      </c>
      <c r="M758">
        <f>COUNTIFS(GESTIONES!$A:$A, BASE_CUENTAS!$A758,GESTIONES!$B:$B, BASE_CUENTAS!$C758,GESTIONES!$E:$E, "N")</f>
        <v>2</v>
      </c>
      <c r="N758">
        <f>COUNTIFS(GESTIONES!$A:$A, BASE_CUENTAS!$A758,GESTIONES!$B:$B, BASE_CUENTAS!$C758,GESTIONES!$D:$D, "SMS")</f>
        <v>0</v>
      </c>
      <c r="O758">
        <f>SUMIFS(PAGOS!$D:$D,PAGOS!$A:$A, BASE_CUENTAS!$A758,PAGOS!$B:$B, BASE_CUENTAS!$C758)</f>
        <v>0</v>
      </c>
      <c r="P758" t="str">
        <f>IF(
VLOOKUP($C758,BASE_CIERRE_MES!$C:$G,5,FALSE)=0,
"Normalización",
IF(
VLOOKUP($C758,BASE_CIERRE_MES!$C:$G,5,FALSE)&lt;$H758,
"Recuperación",
IF(
VLOOKUP($C758,BASE_CIERRE_MES!$C:$G,5,FALSE)=$H758,
"Contención",
"Rodamiento"
)))</f>
        <v>Rodamiento</v>
      </c>
      <c r="Q758">
        <f t="shared" si="11"/>
        <v>0</v>
      </c>
    </row>
    <row r="759" spans="1:17" x14ac:dyDescent="0.25">
      <c r="A759">
        <v>8489760</v>
      </c>
      <c r="B759" t="s">
        <v>17</v>
      </c>
      <c r="C759">
        <v>15290708</v>
      </c>
      <c r="D759" t="s">
        <v>7</v>
      </c>
      <c r="E759">
        <v>6355350</v>
      </c>
      <c r="F759" s="2">
        <v>3960902</v>
      </c>
      <c r="G759" s="2">
        <v>444418</v>
      </c>
      <c r="H759">
        <v>30</v>
      </c>
      <c r="I759" s="1">
        <v>42519</v>
      </c>
      <c r="J759" t="s">
        <v>6</v>
      </c>
      <c r="K759">
        <f>COUNTIFS(GESTIONES!$A:$A, BASE_CUENTAS!$A759, GESTIONES!$B:$B, BASE_CUENTAS!$C759)</f>
        <v>3</v>
      </c>
      <c r="L759">
        <f>COUNTIFS(GESTIONES!$A:$A, BASE_CUENTAS!$A759,GESTIONES!$B:$B, BASE_CUENTAS!$C759,GESTIONES!$E:$E, "S")</f>
        <v>1</v>
      </c>
      <c r="M759">
        <f>COUNTIFS(GESTIONES!$A:$A, BASE_CUENTAS!$A759,GESTIONES!$B:$B, BASE_CUENTAS!$C759,GESTIONES!$E:$E, "N")</f>
        <v>2</v>
      </c>
      <c r="N759">
        <f>COUNTIFS(GESTIONES!$A:$A, BASE_CUENTAS!$A759,GESTIONES!$B:$B, BASE_CUENTAS!$C759,GESTIONES!$D:$D, "SMS")</f>
        <v>1</v>
      </c>
      <c r="O759">
        <f>SUMIFS(PAGOS!$D:$D,PAGOS!$A:$A, BASE_CUENTAS!$A759,PAGOS!$B:$B, BASE_CUENTAS!$C759)</f>
        <v>0</v>
      </c>
      <c r="P759" t="str">
        <f>IF(
VLOOKUP($C759,BASE_CIERRE_MES!$C:$G,5,FALSE)=0,
"Normalización",
IF(
VLOOKUP($C759,BASE_CIERRE_MES!$C:$G,5,FALSE)&lt;$H759,
"Recuperación",
IF(
VLOOKUP($C759,BASE_CIERRE_MES!$C:$G,5,FALSE)=$H759,
"Contención",
"Rodamiento"
)))</f>
        <v>Rodamiento</v>
      </c>
      <c r="Q759">
        <f t="shared" si="11"/>
        <v>0</v>
      </c>
    </row>
    <row r="760" spans="1:17" x14ac:dyDescent="0.25">
      <c r="A760">
        <v>8489781</v>
      </c>
      <c r="B760" t="s">
        <v>18</v>
      </c>
      <c r="C760">
        <v>21416984</v>
      </c>
      <c r="D760" t="s">
        <v>7</v>
      </c>
      <c r="E760">
        <v>620711</v>
      </c>
      <c r="F760" s="2">
        <v>620711</v>
      </c>
      <c r="G760" s="2">
        <v>66377</v>
      </c>
      <c r="H760">
        <v>30</v>
      </c>
      <c r="I760" s="1">
        <v>42508</v>
      </c>
      <c r="J760" t="s">
        <v>6</v>
      </c>
      <c r="K760">
        <f>COUNTIFS(GESTIONES!$A:$A, BASE_CUENTAS!$A760, GESTIONES!$B:$B, BASE_CUENTAS!$C760)</f>
        <v>3</v>
      </c>
      <c r="L760">
        <f>COUNTIFS(GESTIONES!$A:$A, BASE_CUENTAS!$A760,GESTIONES!$B:$B, BASE_CUENTAS!$C760,GESTIONES!$E:$E, "S")</f>
        <v>0</v>
      </c>
      <c r="M760">
        <f>COUNTIFS(GESTIONES!$A:$A, BASE_CUENTAS!$A760,GESTIONES!$B:$B, BASE_CUENTAS!$C760,GESTIONES!$E:$E, "N")</f>
        <v>3</v>
      </c>
      <c r="N760">
        <f>COUNTIFS(GESTIONES!$A:$A, BASE_CUENTAS!$A760,GESTIONES!$B:$B, BASE_CUENTAS!$C760,GESTIONES!$D:$D, "SMS")</f>
        <v>1</v>
      </c>
      <c r="O760">
        <f>SUMIFS(PAGOS!$D:$D,PAGOS!$A:$A, BASE_CUENTAS!$A760,PAGOS!$B:$B, BASE_CUENTAS!$C760)</f>
        <v>33189</v>
      </c>
      <c r="P760" t="str">
        <f>IF(
VLOOKUP($C760,BASE_CIERRE_MES!$C:$G,5,FALSE)=0,
"Normalización",
IF(
VLOOKUP($C760,BASE_CIERRE_MES!$C:$G,5,FALSE)&lt;$H760,
"Recuperación",
IF(
VLOOKUP($C760,BASE_CIERRE_MES!$C:$G,5,FALSE)=$H760,
"Contención",
"Rodamiento"
)))</f>
        <v>Recuperación</v>
      </c>
      <c r="Q760">
        <f t="shared" si="11"/>
        <v>5.3469327915890007E-2</v>
      </c>
    </row>
    <row r="761" spans="1:17" x14ac:dyDescent="0.25">
      <c r="A761">
        <v>8489786</v>
      </c>
      <c r="B761" t="s">
        <v>17</v>
      </c>
      <c r="C761">
        <v>26575860</v>
      </c>
      <c r="D761" t="s">
        <v>7</v>
      </c>
      <c r="E761">
        <v>5533130</v>
      </c>
      <c r="F761" s="2">
        <v>4539422</v>
      </c>
      <c r="G761" s="2">
        <v>30632</v>
      </c>
      <c r="H761">
        <v>30</v>
      </c>
      <c r="I761" s="1">
        <v>42509</v>
      </c>
      <c r="J761" t="s">
        <v>6</v>
      </c>
      <c r="K761">
        <f>COUNTIFS(GESTIONES!$A:$A, BASE_CUENTAS!$A761, GESTIONES!$B:$B, BASE_CUENTAS!$C761)</f>
        <v>3</v>
      </c>
      <c r="L761">
        <f>COUNTIFS(GESTIONES!$A:$A, BASE_CUENTAS!$A761,GESTIONES!$B:$B, BASE_CUENTAS!$C761,GESTIONES!$E:$E, "S")</f>
        <v>1</v>
      </c>
      <c r="M761">
        <f>COUNTIFS(GESTIONES!$A:$A, BASE_CUENTAS!$A761,GESTIONES!$B:$B, BASE_CUENTAS!$C761,GESTIONES!$E:$E, "N")</f>
        <v>2</v>
      </c>
      <c r="N761">
        <f>COUNTIFS(GESTIONES!$A:$A, BASE_CUENTAS!$A761,GESTIONES!$B:$B, BASE_CUENTAS!$C761,GESTIONES!$D:$D, "SMS")</f>
        <v>1</v>
      </c>
      <c r="O761">
        <f>SUMIFS(PAGOS!$D:$D,PAGOS!$A:$A, BASE_CUENTAS!$A761,PAGOS!$B:$B, BASE_CUENTAS!$C761)</f>
        <v>4539422</v>
      </c>
      <c r="P761" t="str">
        <f>IF(
VLOOKUP($C761,BASE_CIERRE_MES!$C:$G,5,FALSE)=0,
"Normalización",
IF(
VLOOKUP($C761,BASE_CIERRE_MES!$C:$G,5,FALSE)&lt;$H761,
"Recuperación",
IF(
VLOOKUP($C761,BASE_CIERRE_MES!$C:$G,5,FALSE)=$H761,
"Contención",
"Rodamiento"
)))</f>
        <v>Normalización</v>
      </c>
      <c r="Q761">
        <f t="shared" si="11"/>
        <v>1</v>
      </c>
    </row>
    <row r="762" spans="1:17" x14ac:dyDescent="0.25">
      <c r="A762">
        <v>8489792</v>
      </c>
      <c r="B762" t="s">
        <v>17</v>
      </c>
      <c r="C762">
        <v>20199251</v>
      </c>
      <c r="D762" t="s">
        <v>7</v>
      </c>
      <c r="E762">
        <v>3827572</v>
      </c>
      <c r="F762" s="2">
        <v>1877885</v>
      </c>
      <c r="G762" s="2">
        <v>658349</v>
      </c>
      <c r="H762">
        <v>60</v>
      </c>
      <c r="I762" s="1">
        <v>42480</v>
      </c>
      <c r="J762" t="s">
        <v>6</v>
      </c>
      <c r="K762">
        <f>COUNTIFS(GESTIONES!$A:$A, BASE_CUENTAS!$A762, GESTIONES!$B:$B, BASE_CUENTAS!$C762)</f>
        <v>3</v>
      </c>
      <c r="L762">
        <f>COUNTIFS(GESTIONES!$A:$A, BASE_CUENTAS!$A762,GESTIONES!$B:$B, BASE_CUENTAS!$C762,GESTIONES!$E:$E, "S")</f>
        <v>1</v>
      </c>
      <c r="M762">
        <f>COUNTIFS(GESTIONES!$A:$A, BASE_CUENTAS!$A762,GESTIONES!$B:$B, BASE_CUENTAS!$C762,GESTIONES!$E:$E, "N")</f>
        <v>2</v>
      </c>
      <c r="N762">
        <f>COUNTIFS(GESTIONES!$A:$A, BASE_CUENTAS!$A762,GESTIONES!$B:$B, BASE_CUENTAS!$C762,GESTIONES!$D:$D, "SMS")</f>
        <v>1</v>
      </c>
      <c r="O762">
        <f>SUMIFS(PAGOS!$D:$D,PAGOS!$A:$A, BASE_CUENTAS!$A762,PAGOS!$B:$B, BASE_CUENTAS!$C762)</f>
        <v>1877885</v>
      </c>
      <c r="P762" t="str">
        <f>IF(
VLOOKUP($C762,BASE_CIERRE_MES!$C:$G,5,FALSE)=0,
"Normalización",
IF(
VLOOKUP($C762,BASE_CIERRE_MES!$C:$G,5,FALSE)&lt;$H762,
"Recuperación",
IF(
VLOOKUP($C762,BASE_CIERRE_MES!$C:$G,5,FALSE)=$H762,
"Contención",
"Rodamiento"
)))</f>
        <v>Normalización</v>
      </c>
      <c r="Q762">
        <f t="shared" si="11"/>
        <v>1</v>
      </c>
    </row>
    <row r="763" spans="1:17" x14ac:dyDescent="0.25">
      <c r="A763">
        <v>8489792</v>
      </c>
      <c r="B763" t="s">
        <v>17</v>
      </c>
      <c r="C763">
        <v>20199357</v>
      </c>
      <c r="D763" t="s">
        <v>7</v>
      </c>
      <c r="E763">
        <v>3827572</v>
      </c>
      <c r="F763" s="2">
        <v>1949687</v>
      </c>
      <c r="G763" s="2">
        <v>762874</v>
      </c>
      <c r="H763">
        <v>60</v>
      </c>
      <c r="I763" s="1">
        <v>42487</v>
      </c>
      <c r="J763" t="s">
        <v>6</v>
      </c>
      <c r="K763">
        <f>COUNTIFS(GESTIONES!$A:$A, BASE_CUENTAS!$A763, GESTIONES!$B:$B, BASE_CUENTAS!$C763)</f>
        <v>3</v>
      </c>
      <c r="L763">
        <f>COUNTIFS(GESTIONES!$A:$A, BASE_CUENTAS!$A763,GESTIONES!$B:$B, BASE_CUENTAS!$C763,GESTIONES!$E:$E, "S")</f>
        <v>1</v>
      </c>
      <c r="M763">
        <f>COUNTIFS(GESTIONES!$A:$A, BASE_CUENTAS!$A763,GESTIONES!$B:$B, BASE_CUENTAS!$C763,GESTIONES!$E:$E, "N")</f>
        <v>2</v>
      </c>
      <c r="N763">
        <f>COUNTIFS(GESTIONES!$A:$A, BASE_CUENTAS!$A763,GESTIONES!$B:$B, BASE_CUENTAS!$C763,GESTIONES!$D:$D, "SMS")</f>
        <v>0</v>
      </c>
      <c r="O763">
        <f>SUMIFS(PAGOS!$D:$D,PAGOS!$A:$A, BASE_CUENTAS!$A763,PAGOS!$B:$B, BASE_CUENTAS!$C763)</f>
        <v>762874</v>
      </c>
      <c r="P763" t="str">
        <f>IF(
VLOOKUP($C763,BASE_CIERRE_MES!$C:$G,5,FALSE)=0,
"Normalización",
IF(
VLOOKUP($C763,BASE_CIERRE_MES!$C:$G,5,FALSE)&lt;$H763,
"Recuperación",
IF(
VLOOKUP($C763,BASE_CIERRE_MES!$C:$G,5,FALSE)=$H763,
"Contención",
"Rodamiento"
)))</f>
        <v>Normalización</v>
      </c>
      <c r="Q763">
        <f t="shared" si="11"/>
        <v>0.39128024139259276</v>
      </c>
    </row>
    <row r="764" spans="1:17" x14ac:dyDescent="0.25">
      <c r="A764">
        <v>8489814</v>
      </c>
      <c r="B764" t="s">
        <v>16</v>
      </c>
      <c r="C764">
        <v>27893831</v>
      </c>
      <c r="D764" t="s">
        <v>7</v>
      </c>
      <c r="E764">
        <v>124612756</v>
      </c>
      <c r="F764" s="2">
        <v>2224830</v>
      </c>
      <c r="G764" s="2">
        <v>200346</v>
      </c>
      <c r="H764">
        <v>30</v>
      </c>
      <c r="I764" s="1">
        <v>42522</v>
      </c>
      <c r="J764" t="s">
        <v>6</v>
      </c>
      <c r="K764">
        <f>COUNTIFS(GESTIONES!$A:$A, BASE_CUENTAS!$A764, GESTIONES!$B:$B, BASE_CUENTAS!$C764)</f>
        <v>3</v>
      </c>
      <c r="L764">
        <f>COUNTIFS(GESTIONES!$A:$A, BASE_CUENTAS!$A764,GESTIONES!$B:$B, BASE_CUENTAS!$C764,GESTIONES!$E:$E, "S")</f>
        <v>1</v>
      </c>
      <c r="M764">
        <f>COUNTIFS(GESTIONES!$A:$A, BASE_CUENTAS!$A764,GESTIONES!$B:$B, BASE_CUENTAS!$C764,GESTIONES!$E:$E, "N")</f>
        <v>2</v>
      </c>
      <c r="N764">
        <f>COUNTIFS(GESTIONES!$A:$A, BASE_CUENTAS!$A764,GESTIONES!$B:$B, BASE_CUENTAS!$C764,GESTIONES!$D:$D, "SMS")</f>
        <v>1</v>
      </c>
      <c r="O764">
        <f>SUMIFS(PAGOS!$D:$D,PAGOS!$A:$A, BASE_CUENTAS!$A764,PAGOS!$B:$B, BASE_CUENTAS!$C764)</f>
        <v>0</v>
      </c>
      <c r="P764" t="str">
        <f>IF(
VLOOKUP($C764,BASE_CIERRE_MES!$C:$G,5,FALSE)=0,
"Normalización",
IF(
VLOOKUP($C764,BASE_CIERRE_MES!$C:$G,5,FALSE)&lt;$H764,
"Recuperación",
IF(
VLOOKUP($C764,BASE_CIERRE_MES!$C:$G,5,FALSE)=$H764,
"Contención",
"Rodamiento"
)))</f>
        <v>Rodamiento</v>
      </c>
      <c r="Q764">
        <f t="shared" si="11"/>
        <v>0</v>
      </c>
    </row>
    <row r="765" spans="1:17" x14ac:dyDescent="0.25">
      <c r="A765">
        <v>8489859</v>
      </c>
      <c r="B765" t="s">
        <v>18</v>
      </c>
      <c r="C765">
        <v>21249039</v>
      </c>
      <c r="D765" t="s">
        <v>7</v>
      </c>
      <c r="E765">
        <v>985472</v>
      </c>
      <c r="F765" s="2">
        <v>985472</v>
      </c>
      <c r="G765" s="2">
        <v>164171</v>
      </c>
      <c r="H765">
        <v>30</v>
      </c>
      <c r="I765" s="1">
        <v>42521</v>
      </c>
      <c r="J765" t="s">
        <v>4</v>
      </c>
      <c r="K765">
        <f>COUNTIFS(GESTIONES!$A:$A, BASE_CUENTAS!$A765, GESTIONES!$B:$B, BASE_CUENTAS!$C765)</f>
        <v>3</v>
      </c>
      <c r="L765">
        <f>COUNTIFS(GESTIONES!$A:$A, BASE_CUENTAS!$A765,GESTIONES!$B:$B, BASE_CUENTAS!$C765,GESTIONES!$E:$E, "S")</f>
        <v>0</v>
      </c>
      <c r="M765">
        <f>COUNTIFS(GESTIONES!$A:$A, BASE_CUENTAS!$A765,GESTIONES!$B:$B, BASE_CUENTAS!$C765,GESTIONES!$E:$E, "N")</f>
        <v>3</v>
      </c>
      <c r="N765">
        <f>COUNTIFS(GESTIONES!$A:$A, BASE_CUENTAS!$A765,GESTIONES!$B:$B, BASE_CUENTAS!$C765,GESTIONES!$D:$D, "SMS")</f>
        <v>1</v>
      </c>
      <c r="O765">
        <f>SUMIFS(PAGOS!$D:$D,PAGOS!$A:$A, BASE_CUENTAS!$A765,PAGOS!$B:$B, BASE_CUENTAS!$C765)</f>
        <v>0</v>
      </c>
      <c r="P765" t="str">
        <f>IF(
VLOOKUP($C765,BASE_CIERRE_MES!$C:$G,5,FALSE)=0,
"Normalización",
IF(
VLOOKUP($C765,BASE_CIERRE_MES!$C:$G,5,FALSE)&lt;$H765,
"Recuperación",
IF(
VLOOKUP($C765,BASE_CIERRE_MES!$C:$G,5,FALSE)=$H765,
"Contención",
"Rodamiento"
)))</f>
        <v>Rodamiento</v>
      </c>
      <c r="Q765">
        <f t="shared" si="11"/>
        <v>0</v>
      </c>
    </row>
    <row r="766" spans="1:17" x14ac:dyDescent="0.25">
      <c r="A766">
        <v>8489892</v>
      </c>
      <c r="B766" t="s">
        <v>18</v>
      </c>
      <c r="C766">
        <v>20521084</v>
      </c>
      <c r="D766" t="s">
        <v>7</v>
      </c>
      <c r="E766">
        <v>548033</v>
      </c>
      <c r="F766" s="2">
        <v>548033</v>
      </c>
      <c r="G766" s="2">
        <v>548033</v>
      </c>
      <c r="H766">
        <v>120</v>
      </c>
      <c r="I766" s="1">
        <v>42508</v>
      </c>
      <c r="J766" t="s">
        <v>5</v>
      </c>
      <c r="K766">
        <f>COUNTIFS(GESTIONES!$A:$A, BASE_CUENTAS!$A766, GESTIONES!$B:$B, BASE_CUENTAS!$C766)</f>
        <v>3</v>
      </c>
      <c r="L766">
        <f>COUNTIFS(GESTIONES!$A:$A, BASE_CUENTAS!$A766,GESTIONES!$B:$B, BASE_CUENTAS!$C766,GESTIONES!$E:$E, "S")</f>
        <v>1</v>
      </c>
      <c r="M766">
        <f>COUNTIFS(GESTIONES!$A:$A, BASE_CUENTAS!$A766,GESTIONES!$B:$B, BASE_CUENTAS!$C766,GESTIONES!$E:$E, "N")</f>
        <v>2</v>
      </c>
      <c r="N766">
        <f>COUNTIFS(GESTIONES!$A:$A, BASE_CUENTAS!$A766,GESTIONES!$B:$B, BASE_CUENTAS!$C766,GESTIONES!$D:$D, "SMS")</f>
        <v>1</v>
      </c>
      <c r="O766">
        <f>SUMIFS(PAGOS!$D:$D,PAGOS!$A:$A, BASE_CUENTAS!$A766,PAGOS!$B:$B, BASE_CUENTAS!$C766)</f>
        <v>548033</v>
      </c>
      <c r="P766" t="str">
        <f>IF(
VLOOKUP($C766,BASE_CIERRE_MES!$C:$G,5,FALSE)=0,
"Normalización",
IF(
VLOOKUP($C766,BASE_CIERRE_MES!$C:$G,5,FALSE)&lt;$H766,
"Recuperación",
IF(
VLOOKUP($C766,BASE_CIERRE_MES!$C:$G,5,FALSE)=$H766,
"Contención",
"Rodamiento"
)))</f>
        <v>Normalización</v>
      </c>
      <c r="Q766">
        <f t="shared" si="11"/>
        <v>1</v>
      </c>
    </row>
    <row r="767" spans="1:17" x14ac:dyDescent="0.25">
      <c r="A767">
        <v>8489935</v>
      </c>
      <c r="B767" t="s">
        <v>18</v>
      </c>
      <c r="C767">
        <v>21568705</v>
      </c>
      <c r="D767" t="s">
        <v>7</v>
      </c>
      <c r="E767">
        <v>460501</v>
      </c>
      <c r="F767" s="2">
        <v>460501</v>
      </c>
      <c r="G767" s="2">
        <v>63829</v>
      </c>
      <c r="H767">
        <v>30</v>
      </c>
      <c r="I767" s="1">
        <v>42522</v>
      </c>
      <c r="J767" t="s">
        <v>6</v>
      </c>
      <c r="K767">
        <f>COUNTIFS(GESTIONES!$A:$A, BASE_CUENTAS!$A767, GESTIONES!$B:$B, BASE_CUENTAS!$C767)</f>
        <v>3</v>
      </c>
      <c r="L767">
        <f>COUNTIFS(GESTIONES!$A:$A, BASE_CUENTAS!$A767,GESTIONES!$B:$B, BASE_CUENTAS!$C767,GESTIONES!$E:$E, "S")</f>
        <v>1</v>
      </c>
      <c r="M767">
        <f>COUNTIFS(GESTIONES!$A:$A, BASE_CUENTAS!$A767,GESTIONES!$B:$B, BASE_CUENTAS!$C767,GESTIONES!$E:$E, "N")</f>
        <v>2</v>
      </c>
      <c r="N767">
        <f>COUNTIFS(GESTIONES!$A:$A, BASE_CUENTAS!$A767,GESTIONES!$B:$B, BASE_CUENTAS!$C767,GESTIONES!$D:$D, "SMS")</f>
        <v>1</v>
      </c>
      <c r="O767">
        <f>SUMIFS(PAGOS!$D:$D,PAGOS!$A:$A, BASE_CUENTAS!$A767,PAGOS!$B:$B, BASE_CUENTAS!$C767)</f>
        <v>63829</v>
      </c>
      <c r="P767" t="str">
        <f>IF(
VLOOKUP($C767,BASE_CIERRE_MES!$C:$G,5,FALSE)=0,
"Normalización",
IF(
VLOOKUP($C767,BASE_CIERRE_MES!$C:$G,5,FALSE)&lt;$H767,
"Recuperación",
IF(
VLOOKUP($C767,BASE_CIERRE_MES!$C:$G,5,FALSE)=$H767,
"Contención",
"Rodamiento"
)))</f>
        <v>Normalización</v>
      </c>
      <c r="Q767">
        <f t="shared" si="11"/>
        <v>0.13860773375084962</v>
      </c>
    </row>
    <row r="768" spans="1:17" x14ac:dyDescent="0.25">
      <c r="A768">
        <v>8489978</v>
      </c>
      <c r="B768" t="s">
        <v>17</v>
      </c>
      <c r="C768">
        <v>25970137</v>
      </c>
      <c r="D768" t="s">
        <v>7</v>
      </c>
      <c r="E768">
        <v>20653260</v>
      </c>
      <c r="F768" s="2">
        <v>20653260</v>
      </c>
      <c r="G768" s="2">
        <v>20653260</v>
      </c>
      <c r="H768">
        <v>120</v>
      </c>
      <c r="I768" s="1">
        <v>42518</v>
      </c>
      <c r="J768" t="s">
        <v>5</v>
      </c>
      <c r="K768">
        <f>COUNTIFS(GESTIONES!$A:$A, BASE_CUENTAS!$A768, GESTIONES!$B:$B, BASE_CUENTAS!$C768)</f>
        <v>3</v>
      </c>
      <c r="L768">
        <f>COUNTIFS(GESTIONES!$A:$A, BASE_CUENTAS!$A768,GESTIONES!$B:$B, BASE_CUENTAS!$C768,GESTIONES!$E:$E, "S")</f>
        <v>1</v>
      </c>
      <c r="M768">
        <f>COUNTIFS(GESTIONES!$A:$A, BASE_CUENTAS!$A768,GESTIONES!$B:$B, BASE_CUENTAS!$C768,GESTIONES!$E:$E, "N")</f>
        <v>2</v>
      </c>
      <c r="N768">
        <f>COUNTIFS(GESTIONES!$A:$A, BASE_CUENTAS!$A768,GESTIONES!$B:$B, BASE_CUENTAS!$C768,GESTIONES!$D:$D, "SMS")</f>
        <v>0</v>
      </c>
      <c r="O768">
        <f>SUMIFS(PAGOS!$D:$D,PAGOS!$A:$A, BASE_CUENTAS!$A768,PAGOS!$B:$B, BASE_CUENTAS!$C768)</f>
        <v>0</v>
      </c>
      <c r="P768" t="str">
        <f>IF(
VLOOKUP($C768,BASE_CIERRE_MES!$C:$G,5,FALSE)=0,
"Normalización",
IF(
VLOOKUP($C768,BASE_CIERRE_MES!$C:$G,5,FALSE)&lt;$H768,
"Recuperación",
IF(
VLOOKUP($C768,BASE_CIERRE_MES!$C:$G,5,FALSE)=$H768,
"Contención",
"Rodamiento"
)))</f>
        <v>Rodamiento</v>
      </c>
      <c r="Q768">
        <f t="shared" si="11"/>
        <v>0</v>
      </c>
    </row>
    <row r="769" spans="1:17" x14ac:dyDescent="0.25">
      <c r="A769">
        <v>8490008</v>
      </c>
      <c r="B769" t="s">
        <v>18</v>
      </c>
      <c r="C769">
        <v>23864357</v>
      </c>
      <c r="D769" t="s">
        <v>7</v>
      </c>
      <c r="E769">
        <v>1835478</v>
      </c>
      <c r="F769" s="2">
        <v>1835478</v>
      </c>
      <c r="G769" s="2">
        <v>613989</v>
      </c>
      <c r="H769">
        <v>60</v>
      </c>
      <c r="I769" s="1">
        <v>42487</v>
      </c>
      <c r="J769" t="s">
        <v>6</v>
      </c>
      <c r="K769">
        <f>COUNTIFS(GESTIONES!$A:$A, BASE_CUENTAS!$A769, GESTIONES!$B:$B, BASE_CUENTAS!$C769)</f>
        <v>3</v>
      </c>
      <c r="L769">
        <f>COUNTIFS(GESTIONES!$A:$A, BASE_CUENTAS!$A769,GESTIONES!$B:$B, BASE_CUENTAS!$C769,GESTIONES!$E:$E, "S")</f>
        <v>2</v>
      </c>
      <c r="M769">
        <f>COUNTIFS(GESTIONES!$A:$A, BASE_CUENTAS!$A769,GESTIONES!$B:$B, BASE_CUENTAS!$C769,GESTIONES!$E:$E, "N")</f>
        <v>1</v>
      </c>
      <c r="N769">
        <f>COUNTIFS(GESTIONES!$A:$A, BASE_CUENTAS!$A769,GESTIONES!$B:$B, BASE_CUENTAS!$C769,GESTIONES!$D:$D, "SMS")</f>
        <v>1</v>
      </c>
      <c r="O769">
        <f>SUMIFS(PAGOS!$D:$D,PAGOS!$A:$A, BASE_CUENTAS!$A769,PAGOS!$B:$B, BASE_CUENTAS!$C769)</f>
        <v>1835478</v>
      </c>
      <c r="P769" t="str">
        <f>IF(
VLOOKUP($C769,BASE_CIERRE_MES!$C:$G,5,FALSE)=0,
"Normalización",
IF(
VLOOKUP($C769,BASE_CIERRE_MES!$C:$G,5,FALSE)&lt;$H769,
"Recuperación",
IF(
VLOOKUP($C769,BASE_CIERRE_MES!$C:$G,5,FALSE)=$H769,
"Contención",
"Rodamiento"
)))</f>
        <v>Normalización</v>
      </c>
      <c r="Q769">
        <f t="shared" si="11"/>
        <v>1</v>
      </c>
    </row>
    <row r="770" spans="1:17" x14ac:dyDescent="0.25">
      <c r="A770">
        <v>8490353</v>
      </c>
      <c r="B770" t="s">
        <v>17</v>
      </c>
      <c r="C770">
        <v>23277912</v>
      </c>
      <c r="D770" t="s">
        <v>7</v>
      </c>
      <c r="E770">
        <v>8223687</v>
      </c>
      <c r="F770" s="2">
        <v>521608</v>
      </c>
      <c r="G770" s="2">
        <v>521608</v>
      </c>
      <c r="H770">
        <v>360</v>
      </c>
      <c r="I770" s="1">
        <v>42451</v>
      </c>
      <c r="J770" t="s">
        <v>5</v>
      </c>
      <c r="K770">
        <f>COUNTIFS(GESTIONES!$A:$A, BASE_CUENTAS!$A770, GESTIONES!$B:$B, BASE_CUENTAS!$C770)</f>
        <v>3</v>
      </c>
      <c r="L770">
        <f>COUNTIFS(GESTIONES!$A:$A, BASE_CUENTAS!$A770,GESTIONES!$B:$B, BASE_CUENTAS!$C770,GESTIONES!$E:$E, "S")</f>
        <v>1</v>
      </c>
      <c r="M770">
        <f>COUNTIFS(GESTIONES!$A:$A, BASE_CUENTAS!$A770,GESTIONES!$B:$B, BASE_CUENTAS!$C770,GESTIONES!$E:$E, "N")</f>
        <v>2</v>
      </c>
      <c r="N770">
        <f>COUNTIFS(GESTIONES!$A:$A, BASE_CUENTAS!$A770,GESTIONES!$B:$B, BASE_CUENTAS!$C770,GESTIONES!$D:$D, "SMS")</f>
        <v>0</v>
      </c>
      <c r="O770">
        <f>SUMIFS(PAGOS!$D:$D,PAGOS!$A:$A, BASE_CUENTAS!$A770,PAGOS!$B:$B, BASE_CUENTAS!$C770)</f>
        <v>0</v>
      </c>
      <c r="P770" t="str">
        <f>IF(
VLOOKUP($C770,BASE_CIERRE_MES!$C:$G,5,FALSE)=0,
"Normalización",
IF(
VLOOKUP($C770,BASE_CIERRE_MES!$C:$G,5,FALSE)&lt;$H770,
"Recuperación",
IF(
VLOOKUP($C770,BASE_CIERRE_MES!$C:$G,5,FALSE)=$H770,
"Contención",
"Rodamiento"
)))</f>
        <v>Rodamiento</v>
      </c>
      <c r="Q770">
        <f t="shared" si="11"/>
        <v>0</v>
      </c>
    </row>
    <row r="771" spans="1:17" x14ac:dyDescent="0.25">
      <c r="A771">
        <v>8490527</v>
      </c>
      <c r="B771" t="s">
        <v>17</v>
      </c>
      <c r="C771">
        <v>20854367</v>
      </c>
      <c r="D771" t="s">
        <v>7</v>
      </c>
      <c r="E771">
        <v>6648177</v>
      </c>
      <c r="F771" s="2">
        <v>3285243</v>
      </c>
      <c r="G771" s="2">
        <v>3285243</v>
      </c>
      <c r="H771">
        <v>150</v>
      </c>
      <c r="I771" s="1">
        <v>42508</v>
      </c>
      <c r="J771" t="s">
        <v>5</v>
      </c>
      <c r="K771">
        <f>COUNTIFS(GESTIONES!$A:$A, BASE_CUENTAS!$A771, GESTIONES!$B:$B, BASE_CUENTAS!$C771)</f>
        <v>3</v>
      </c>
      <c r="L771">
        <f>COUNTIFS(GESTIONES!$A:$A, BASE_CUENTAS!$A771,GESTIONES!$B:$B, BASE_CUENTAS!$C771,GESTIONES!$E:$E, "S")</f>
        <v>0</v>
      </c>
      <c r="M771">
        <f>COUNTIFS(GESTIONES!$A:$A, BASE_CUENTAS!$A771,GESTIONES!$B:$B, BASE_CUENTAS!$C771,GESTIONES!$E:$E, "N")</f>
        <v>3</v>
      </c>
      <c r="N771">
        <f>COUNTIFS(GESTIONES!$A:$A, BASE_CUENTAS!$A771,GESTIONES!$B:$B, BASE_CUENTAS!$C771,GESTIONES!$D:$D, "SMS")</f>
        <v>1</v>
      </c>
      <c r="O771">
        <f>SUMIFS(PAGOS!$D:$D,PAGOS!$A:$A, BASE_CUENTAS!$A771,PAGOS!$B:$B, BASE_CUENTAS!$C771)</f>
        <v>0</v>
      </c>
      <c r="P771" t="str">
        <f>IF(
VLOOKUP($C771,BASE_CIERRE_MES!$C:$G,5,FALSE)=0,
"Normalización",
IF(
VLOOKUP($C771,BASE_CIERRE_MES!$C:$G,5,FALSE)&lt;$H771,
"Recuperación",
IF(
VLOOKUP($C771,BASE_CIERRE_MES!$C:$G,5,FALSE)=$H771,
"Contención",
"Rodamiento"
)))</f>
        <v>Rodamiento</v>
      </c>
      <c r="Q771">
        <f t="shared" ref="Q771:Q834" si="12">IF(F771=0,0,VALUE(O771)/VALUE(F771))</f>
        <v>0</v>
      </c>
    </row>
    <row r="772" spans="1:17" x14ac:dyDescent="0.25">
      <c r="A772">
        <v>8490527</v>
      </c>
      <c r="B772" t="s">
        <v>17</v>
      </c>
      <c r="C772">
        <v>20854953</v>
      </c>
      <c r="D772" t="s">
        <v>7</v>
      </c>
      <c r="E772">
        <v>6648177</v>
      </c>
      <c r="F772" s="2">
        <v>3285524</v>
      </c>
      <c r="G772" s="2">
        <v>3285524</v>
      </c>
      <c r="H772">
        <v>150</v>
      </c>
      <c r="I772" s="1">
        <v>42509</v>
      </c>
      <c r="J772" t="s">
        <v>5</v>
      </c>
      <c r="K772">
        <f>COUNTIFS(GESTIONES!$A:$A, BASE_CUENTAS!$A772, GESTIONES!$B:$B, BASE_CUENTAS!$C772)</f>
        <v>3</v>
      </c>
      <c r="L772">
        <f>COUNTIFS(GESTIONES!$A:$A, BASE_CUENTAS!$A772,GESTIONES!$B:$B, BASE_CUENTAS!$C772,GESTIONES!$E:$E, "S")</f>
        <v>1</v>
      </c>
      <c r="M772">
        <f>COUNTIFS(GESTIONES!$A:$A, BASE_CUENTAS!$A772,GESTIONES!$B:$B, BASE_CUENTAS!$C772,GESTIONES!$E:$E, "N")</f>
        <v>2</v>
      </c>
      <c r="N772">
        <f>COUNTIFS(GESTIONES!$A:$A, BASE_CUENTAS!$A772,GESTIONES!$B:$B, BASE_CUENTAS!$C772,GESTIONES!$D:$D, "SMS")</f>
        <v>2</v>
      </c>
      <c r="O772">
        <f>SUMIFS(PAGOS!$D:$D,PAGOS!$A:$A, BASE_CUENTAS!$A772,PAGOS!$B:$B, BASE_CUENTAS!$C772)</f>
        <v>1095175</v>
      </c>
      <c r="P772" t="str">
        <f>IF(
VLOOKUP($C772,BASE_CIERRE_MES!$C:$G,5,FALSE)=0,
"Normalización",
IF(
VLOOKUP($C772,BASE_CIERRE_MES!$C:$G,5,FALSE)&lt;$H772,
"Recuperación",
IF(
VLOOKUP($C772,BASE_CIERRE_MES!$C:$G,5,FALSE)=$H772,
"Contención",
"Rodamiento"
)))</f>
        <v>Contención</v>
      </c>
      <c r="Q772">
        <f t="shared" si="12"/>
        <v>0.33333343478848426</v>
      </c>
    </row>
    <row r="773" spans="1:17" x14ac:dyDescent="0.25">
      <c r="A773">
        <v>8490527</v>
      </c>
      <c r="B773" t="s">
        <v>17</v>
      </c>
      <c r="C773">
        <v>20855710</v>
      </c>
      <c r="D773" t="s">
        <v>7</v>
      </c>
      <c r="E773">
        <v>6648177</v>
      </c>
      <c r="F773" s="2">
        <v>77409</v>
      </c>
      <c r="G773" s="2">
        <v>77409</v>
      </c>
      <c r="H773">
        <v>150</v>
      </c>
      <c r="I773" s="1">
        <v>42508</v>
      </c>
      <c r="J773" t="s">
        <v>5</v>
      </c>
      <c r="K773">
        <f>COUNTIFS(GESTIONES!$A:$A, BASE_CUENTAS!$A773, GESTIONES!$B:$B, BASE_CUENTAS!$C773)</f>
        <v>3</v>
      </c>
      <c r="L773">
        <f>COUNTIFS(GESTIONES!$A:$A, BASE_CUENTAS!$A773,GESTIONES!$B:$B, BASE_CUENTAS!$C773,GESTIONES!$E:$E, "S")</f>
        <v>1</v>
      </c>
      <c r="M773">
        <f>COUNTIFS(GESTIONES!$A:$A, BASE_CUENTAS!$A773,GESTIONES!$B:$B, BASE_CUENTAS!$C773,GESTIONES!$E:$E, "N")</f>
        <v>2</v>
      </c>
      <c r="N773">
        <f>COUNTIFS(GESTIONES!$A:$A, BASE_CUENTAS!$A773,GESTIONES!$B:$B, BASE_CUENTAS!$C773,GESTIONES!$D:$D, "SMS")</f>
        <v>0</v>
      </c>
      <c r="O773">
        <f>SUMIFS(PAGOS!$D:$D,PAGOS!$A:$A, BASE_CUENTAS!$A773,PAGOS!$B:$B, BASE_CUENTAS!$C773)</f>
        <v>0</v>
      </c>
      <c r="P773" t="str">
        <f>IF(
VLOOKUP($C773,BASE_CIERRE_MES!$C:$G,5,FALSE)=0,
"Normalización",
IF(
VLOOKUP($C773,BASE_CIERRE_MES!$C:$G,5,FALSE)&lt;$H773,
"Recuperación",
IF(
VLOOKUP($C773,BASE_CIERRE_MES!$C:$G,5,FALSE)=$H773,
"Contención",
"Rodamiento"
)))</f>
        <v>Rodamiento</v>
      </c>
      <c r="Q773">
        <f t="shared" si="12"/>
        <v>0</v>
      </c>
    </row>
    <row r="774" spans="1:17" x14ac:dyDescent="0.25">
      <c r="A774">
        <v>8490649</v>
      </c>
      <c r="B774" t="s">
        <v>18</v>
      </c>
      <c r="C774">
        <v>21553476</v>
      </c>
      <c r="D774" t="s">
        <v>7</v>
      </c>
      <c r="E774">
        <v>61553</v>
      </c>
      <c r="F774" s="2">
        <v>61553</v>
      </c>
      <c r="G774" s="2">
        <v>28996</v>
      </c>
      <c r="H774">
        <v>30</v>
      </c>
      <c r="I774" s="1">
        <v>42508</v>
      </c>
      <c r="J774" t="s">
        <v>6</v>
      </c>
      <c r="K774">
        <f>COUNTIFS(GESTIONES!$A:$A, BASE_CUENTAS!$A774, GESTIONES!$B:$B, BASE_CUENTAS!$C774)</f>
        <v>3</v>
      </c>
      <c r="L774">
        <f>COUNTIFS(GESTIONES!$A:$A, BASE_CUENTAS!$A774,GESTIONES!$B:$B, BASE_CUENTAS!$C774,GESTIONES!$E:$E, "S")</f>
        <v>1</v>
      </c>
      <c r="M774">
        <f>COUNTIFS(GESTIONES!$A:$A, BASE_CUENTAS!$A774,GESTIONES!$B:$B, BASE_CUENTAS!$C774,GESTIONES!$E:$E, "N")</f>
        <v>2</v>
      </c>
      <c r="N774">
        <f>COUNTIFS(GESTIONES!$A:$A, BASE_CUENTAS!$A774,GESTIONES!$B:$B, BASE_CUENTAS!$C774,GESTIONES!$D:$D, "SMS")</f>
        <v>1</v>
      </c>
      <c r="O774">
        <f>SUMIFS(PAGOS!$D:$D,PAGOS!$A:$A, BASE_CUENTAS!$A774,PAGOS!$B:$B, BASE_CUENTAS!$C774)</f>
        <v>28996</v>
      </c>
      <c r="P774" t="str">
        <f>IF(
VLOOKUP($C774,BASE_CIERRE_MES!$C:$G,5,FALSE)=0,
"Normalización",
IF(
VLOOKUP($C774,BASE_CIERRE_MES!$C:$G,5,FALSE)&lt;$H774,
"Recuperación",
IF(
VLOOKUP($C774,BASE_CIERRE_MES!$C:$G,5,FALSE)=$H774,
"Contención",
"Rodamiento"
)))</f>
        <v>Normalización</v>
      </c>
      <c r="Q774">
        <f t="shared" si="12"/>
        <v>0.47107370883628741</v>
      </c>
    </row>
    <row r="775" spans="1:17" x14ac:dyDescent="0.25">
      <c r="A775">
        <v>8490689</v>
      </c>
      <c r="B775" t="s">
        <v>18</v>
      </c>
      <c r="C775">
        <v>27154092</v>
      </c>
      <c r="D775" t="s">
        <v>7</v>
      </c>
      <c r="E775">
        <v>2102084</v>
      </c>
      <c r="F775" s="2">
        <v>2102084</v>
      </c>
      <c r="G775" s="2">
        <v>476625</v>
      </c>
      <c r="H775">
        <v>60</v>
      </c>
      <c r="I775" s="1">
        <v>42491</v>
      </c>
      <c r="J775" t="s">
        <v>6</v>
      </c>
      <c r="K775">
        <f>COUNTIFS(GESTIONES!$A:$A, BASE_CUENTAS!$A775, GESTIONES!$B:$B, BASE_CUENTAS!$C775)</f>
        <v>3</v>
      </c>
      <c r="L775">
        <f>COUNTIFS(GESTIONES!$A:$A, BASE_CUENTAS!$A775,GESTIONES!$B:$B, BASE_CUENTAS!$C775,GESTIONES!$E:$E, "S")</f>
        <v>1</v>
      </c>
      <c r="M775">
        <f>COUNTIFS(GESTIONES!$A:$A, BASE_CUENTAS!$A775,GESTIONES!$B:$B, BASE_CUENTAS!$C775,GESTIONES!$E:$E, "N")</f>
        <v>2</v>
      </c>
      <c r="N775">
        <f>COUNTIFS(GESTIONES!$A:$A, BASE_CUENTAS!$A775,GESTIONES!$B:$B, BASE_CUENTAS!$C775,GESTIONES!$D:$D, "SMS")</f>
        <v>0</v>
      </c>
      <c r="O775">
        <f>SUMIFS(PAGOS!$D:$D,PAGOS!$A:$A, BASE_CUENTAS!$A775,PAGOS!$B:$B, BASE_CUENTAS!$C775)</f>
        <v>238313</v>
      </c>
      <c r="P775" t="str">
        <f>IF(
VLOOKUP($C775,BASE_CIERRE_MES!$C:$G,5,FALSE)=0,
"Normalización",
IF(
VLOOKUP($C775,BASE_CIERRE_MES!$C:$G,5,FALSE)&lt;$H775,
"Recuperación",
IF(
VLOOKUP($C775,BASE_CIERRE_MES!$C:$G,5,FALSE)=$H775,
"Contención",
"Rodamiento"
)))</f>
        <v>Recuperación</v>
      </c>
      <c r="Q775">
        <f t="shared" si="12"/>
        <v>0.11336987484800798</v>
      </c>
    </row>
    <row r="776" spans="1:17" x14ac:dyDescent="0.25">
      <c r="A776">
        <v>8490699</v>
      </c>
      <c r="B776" t="s">
        <v>18</v>
      </c>
      <c r="C776">
        <v>18460872</v>
      </c>
      <c r="D776" t="s">
        <v>7</v>
      </c>
      <c r="E776">
        <v>2310603</v>
      </c>
      <c r="F776" s="2">
        <v>1426858</v>
      </c>
      <c r="G776" s="2">
        <v>3309</v>
      </c>
      <c r="H776">
        <v>30</v>
      </c>
      <c r="I776" s="1">
        <v>42508</v>
      </c>
      <c r="J776" t="s">
        <v>6</v>
      </c>
      <c r="K776">
        <f>COUNTIFS(GESTIONES!$A:$A, BASE_CUENTAS!$A776, GESTIONES!$B:$B, BASE_CUENTAS!$C776)</f>
        <v>3</v>
      </c>
      <c r="L776">
        <f>COUNTIFS(GESTIONES!$A:$A, BASE_CUENTAS!$A776,GESTIONES!$B:$B, BASE_CUENTAS!$C776,GESTIONES!$E:$E, "S")</f>
        <v>0</v>
      </c>
      <c r="M776">
        <f>COUNTIFS(GESTIONES!$A:$A, BASE_CUENTAS!$A776,GESTIONES!$B:$B, BASE_CUENTAS!$C776,GESTIONES!$E:$E, "N")</f>
        <v>3</v>
      </c>
      <c r="N776">
        <f>COUNTIFS(GESTIONES!$A:$A, BASE_CUENTAS!$A776,GESTIONES!$B:$B, BASE_CUENTAS!$C776,GESTIONES!$D:$D, "SMS")</f>
        <v>1</v>
      </c>
      <c r="O776">
        <f>SUMIFS(PAGOS!$D:$D,PAGOS!$A:$A, BASE_CUENTAS!$A776,PAGOS!$B:$B, BASE_CUENTAS!$C776)</f>
        <v>1103</v>
      </c>
      <c r="P776" t="str">
        <f>IF(
VLOOKUP($C776,BASE_CIERRE_MES!$C:$G,5,FALSE)=0,
"Normalización",
IF(
VLOOKUP($C776,BASE_CIERRE_MES!$C:$G,5,FALSE)&lt;$H776,
"Recuperación",
IF(
VLOOKUP($C776,BASE_CIERRE_MES!$C:$G,5,FALSE)=$H776,
"Contención",
"Rodamiento"
)))</f>
        <v>Contención</v>
      </c>
      <c r="Q776">
        <f t="shared" si="12"/>
        <v>7.7302716878624217E-4</v>
      </c>
    </row>
    <row r="777" spans="1:17" x14ac:dyDescent="0.25">
      <c r="A777">
        <v>8490839</v>
      </c>
      <c r="B777" t="s">
        <v>18</v>
      </c>
      <c r="C777">
        <v>19557175</v>
      </c>
      <c r="D777" t="s">
        <v>7</v>
      </c>
      <c r="E777">
        <v>843175</v>
      </c>
      <c r="F777" s="2">
        <v>843175</v>
      </c>
      <c r="G777" s="2">
        <v>63489</v>
      </c>
      <c r="H777">
        <v>30</v>
      </c>
      <c r="I777" s="1">
        <v>42521</v>
      </c>
      <c r="J777" t="s">
        <v>4</v>
      </c>
      <c r="K777">
        <f>COUNTIFS(GESTIONES!$A:$A, BASE_CUENTAS!$A777, GESTIONES!$B:$B, BASE_CUENTAS!$C777)</f>
        <v>3</v>
      </c>
      <c r="L777">
        <f>COUNTIFS(GESTIONES!$A:$A, BASE_CUENTAS!$A777,GESTIONES!$B:$B, BASE_CUENTAS!$C777,GESTIONES!$E:$E, "S")</f>
        <v>1</v>
      </c>
      <c r="M777">
        <f>COUNTIFS(GESTIONES!$A:$A, BASE_CUENTAS!$A777,GESTIONES!$B:$B, BASE_CUENTAS!$C777,GESTIONES!$E:$E, "N")</f>
        <v>2</v>
      </c>
      <c r="N777">
        <f>COUNTIFS(GESTIONES!$A:$A, BASE_CUENTAS!$A777,GESTIONES!$B:$B, BASE_CUENTAS!$C777,GESTIONES!$D:$D, "SMS")</f>
        <v>2</v>
      </c>
      <c r="O777">
        <f>SUMIFS(PAGOS!$D:$D,PAGOS!$A:$A, BASE_CUENTAS!$A777,PAGOS!$B:$B, BASE_CUENTAS!$C777)</f>
        <v>63489</v>
      </c>
      <c r="P777" t="str">
        <f>IF(
VLOOKUP($C777,BASE_CIERRE_MES!$C:$G,5,FALSE)=0,
"Normalización",
IF(
VLOOKUP($C777,BASE_CIERRE_MES!$C:$G,5,FALSE)&lt;$H777,
"Recuperación",
IF(
VLOOKUP($C777,BASE_CIERRE_MES!$C:$G,5,FALSE)=$H777,
"Contención",
"Rodamiento"
)))</f>
        <v>Normalización</v>
      </c>
      <c r="Q777">
        <f t="shared" si="12"/>
        <v>7.529753609867465E-2</v>
      </c>
    </row>
    <row r="778" spans="1:17" x14ac:dyDescent="0.25">
      <c r="A778">
        <v>8490841</v>
      </c>
      <c r="B778" t="s">
        <v>18</v>
      </c>
      <c r="C778">
        <v>19490815</v>
      </c>
      <c r="D778" t="s">
        <v>7</v>
      </c>
      <c r="E778">
        <v>2267242</v>
      </c>
      <c r="F778" s="2">
        <v>2267242</v>
      </c>
      <c r="G778" s="2">
        <v>232809</v>
      </c>
      <c r="H778">
        <v>30</v>
      </c>
      <c r="I778" s="1">
        <v>42522</v>
      </c>
      <c r="J778" t="s">
        <v>6</v>
      </c>
      <c r="K778">
        <f>COUNTIFS(GESTIONES!$A:$A, BASE_CUENTAS!$A778, GESTIONES!$B:$B, BASE_CUENTAS!$C778)</f>
        <v>3</v>
      </c>
      <c r="L778">
        <f>COUNTIFS(GESTIONES!$A:$A, BASE_CUENTAS!$A778,GESTIONES!$B:$B, BASE_CUENTAS!$C778,GESTIONES!$E:$E, "S")</f>
        <v>1</v>
      </c>
      <c r="M778">
        <f>COUNTIFS(GESTIONES!$A:$A, BASE_CUENTAS!$A778,GESTIONES!$B:$B, BASE_CUENTAS!$C778,GESTIONES!$E:$E, "N")</f>
        <v>2</v>
      </c>
      <c r="N778">
        <f>COUNTIFS(GESTIONES!$A:$A, BASE_CUENTAS!$A778,GESTIONES!$B:$B, BASE_CUENTAS!$C778,GESTIONES!$D:$D, "SMS")</f>
        <v>0</v>
      </c>
      <c r="O778">
        <f>SUMIFS(PAGOS!$D:$D,PAGOS!$A:$A, BASE_CUENTAS!$A778,PAGOS!$B:$B, BASE_CUENTAS!$C778)</f>
        <v>2267242</v>
      </c>
      <c r="P778" t="str">
        <f>IF(
VLOOKUP($C778,BASE_CIERRE_MES!$C:$G,5,FALSE)=0,
"Normalización",
IF(
VLOOKUP($C778,BASE_CIERRE_MES!$C:$G,5,FALSE)&lt;$H778,
"Recuperación",
IF(
VLOOKUP($C778,BASE_CIERRE_MES!$C:$G,5,FALSE)=$H778,
"Contención",
"Rodamiento"
)))</f>
        <v>Normalización</v>
      </c>
      <c r="Q778">
        <f t="shared" si="12"/>
        <v>1</v>
      </c>
    </row>
    <row r="779" spans="1:17" x14ac:dyDescent="0.25">
      <c r="A779">
        <v>8490856</v>
      </c>
      <c r="B779" t="s">
        <v>17</v>
      </c>
      <c r="C779">
        <v>19824822</v>
      </c>
      <c r="D779" t="s">
        <v>7</v>
      </c>
      <c r="E779">
        <v>3954244</v>
      </c>
      <c r="F779" s="2">
        <v>2500322</v>
      </c>
      <c r="G779" s="2">
        <v>338198</v>
      </c>
      <c r="H779">
        <v>30</v>
      </c>
      <c r="I779" s="1">
        <v>42519</v>
      </c>
      <c r="J779" t="s">
        <v>6</v>
      </c>
      <c r="K779">
        <f>COUNTIFS(GESTIONES!$A:$A, BASE_CUENTAS!$A779, GESTIONES!$B:$B, BASE_CUENTAS!$C779)</f>
        <v>3</v>
      </c>
      <c r="L779">
        <f>COUNTIFS(GESTIONES!$A:$A, BASE_CUENTAS!$A779,GESTIONES!$B:$B, BASE_CUENTAS!$C779,GESTIONES!$E:$E, "S")</f>
        <v>1</v>
      </c>
      <c r="M779">
        <f>COUNTIFS(GESTIONES!$A:$A, BASE_CUENTAS!$A779,GESTIONES!$B:$B, BASE_CUENTAS!$C779,GESTIONES!$E:$E, "N")</f>
        <v>2</v>
      </c>
      <c r="N779">
        <f>COUNTIFS(GESTIONES!$A:$A, BASE_CUENTAS!$A779,GESTIONES!$B:$B, BASE_CUENTAS!$C779,GESTIONES!$D:$D, "SMS")</f>
        <v>1</v>
      </c>
      <c r="O779">
        <f>SUMIFS(PAGOS!$D:$D,PAGOS!$A:$A, BASE_CUENTAS!$A779,PAGOS!$B:$B, BASE_CUENTAS!$C779)</f>
        <v>0</v>
      </c>
      <c r="P779" t="str">
        <f>IF(
VLOOKUP($C779,BASE_CIERRE_MES!$C:$G,5,FALSE)=0,
"Normalización",
IF(
VLOOKUP($C779,BASE_CIERRE_MES!$C:$G,5,FALSE)&lt;$H779,
"Recuperación",
IF(
VLOOKUP($C779,BASE_CIERRE_MES!$C:$G,5,FALSE)=$H779,
"Contención",
"Rodamiento"
)))</f>
        <v>Rodamiento</v>
      </c>
      <c r="Q779">
        <f t="shared" si="12"/>
        <v>0</v>
      </c>
    </row>
    <row r="780" spans="1:17" x14ac:dyDescent="0.25">
      <c r="A780">
        <v>8490856</v>
      </c>
      <c r="B780" t="s">
        <v>17</v>
      </c>
      <c r="C780">
        <v>22443572</v>
      </c>
      <c r="D780" t="s">
        <v>7</v>
      </c>
      <c r="E780">
        <v>3954244</v>
      </c>
      <c r="F780" s="2">
        <v>1453923</v>
      </c>
      <c r="G780" s="2">
        <v>299073</v>
      </c>
      <c r="H780">
        <v>30</v>
      </c>
      <c r="I780" s="1">
        <v>42508</v>
      </c>
      <c r="J780" t="s">
        <v>6</v>
      </c>
      <c r="K780">
        <f>COUNTIFS(GESTIONES!$A:$A, BASE_CUENTAS!$A780, GESTIONES!$B:$B, BASE_CUENTAS!$C780)</f>
        <v>3</v>
      </c>
      <c r="L780">
        <f>COUNTIFS(GESTIONES!$A:$A, BASE_CUENTAS!$A780,GESTIONES!$B:$B, BASE_CUENTAS!$C780,GESTIONES!$E:$E, "S")</f>
        <v>1</v>
      </c>
      <c r="M780">
        <f>COUNTIFS(GESTIONES!$A:$A, BASE_CUENTAS!$A780,GESTIONES!$B:$B, BASE_CUENTAS!$C780,GESTIONES!$E:$E, "N")</f>
        <v>2</v>
      </c>
      <c r="N780">
        <f>COUNTIFS(GESTIONES!$A:$A, BASE_CUENTAS!$A780,GESTIONES!$B:$B, BASE_CUENTAS!$C780,GESTIONES!$D:$D, "SMS")</f>
        <v>0</v>
      </c>
      <c r="O780">
        <f>SUMIFS(PAGOS!$D:$D,PAGOS!$A:$A, BASE_CUENTAS!$A780,PAGOS!$B:$B, BASE_CUENTAS!$C780)</f>
        <v>0</v>
      </c>
      <c r="P780" t="str">
        <f>IF(
VLOOKUP($C780,BASE_CIERRE_MES!$C:$G,5,FALSE)=0,
"Normalización",
IF(
VLOOKUP($C780,BASE_CIERRE_MES!$C:$G,5,FALSE)&lt;$H780,
"Recuperación",
IF(
VLOOKUP($C780,BASE_CIERRE_MES!$C:$G,5,FALSE)=$H780,
"Contención",
"Rodamiento"
)))</f>
        <v>Rodamiento</v>
      </c>
      <c r="Q780">
        <f t="shared" si="12"/>
        <v>0</v>
      </c>
    </row>
    <row r="781" spans="1:17" x14ac:dyDescent="0.25">
      <c r="A781">
        <v>8490949</v>
      </c>
      <c r="B781" t="s">
        <v>18</v>
      </c>
      <c r="C781">
        <v>25373614</v>
      </c>
      <c r="D781" t="s">
        <v>7</v>
      </c>
      <c r="E781">
        <v>93356</v>
      </c>
      <c r="F781" s="2">
        <v>93356</v>
      </c>
      <c r="G781" s="2">
        <v>32071</v>
      </c>
      <c r="H781">
        <v>30</v>
      </c>
      <c r="I781" s="1">
        <v>42521</v>
      </c>
      <c r="J781" t="s">
        <v>4</v>
      </c>
      <c r="K781">
        <f>COUNTIFS(GESTIONES!$A:$A, BASE_CUENTAS!$A781, GESTIONES!$B:$B, BASE_CUENTAS!$C781)</f>
        <v>3</v>
      </c>
      <c r="L781">
        <f>COUNTIFS(GESTIONES!$A:$A, BASE_CUENTAS!$A781,GESTIONES!$B:$B, BASE_CUENTAS!$C781,GESTIONES!$E:$E, "S")</f>
        <v>0</v>
      </c>
      <c r="M781">
        <f>COUNTIFS(GESTIONES!$A:$A, BASE_CUENTAS!$A781,GESTIONES!$B:$B, BASE_CUENTAS!$C781,GESTIONES!$E:$E, "N")</f>
        <v>3</v>
      </c>
      <c r="N781">
        <f>COUNTIFS(GESTIONES!$A:$A, BASE_CUENTAS!$A781,GESTIONES!$B:$B, BASE_CUENTAS!$C781,GESTIONES!$D:$D, "SMS")</f>
        <v>1</v>
      </c>
      <c r="O781">
        <f>SUMIFS(PAGOS!$D:$D,PAGOS!$A:$A, BASE_CUENTAS!$A781,PAGOS!$B:$B, BASE_CUENTAS!$C781)</f>
        <v>93356</v>
      </c>
      <c r="P781" t="str">
        <f>IF(
VLOOKUP($C781,BASE_CIERRE_MES!$C:$G,5,FALSE)=0,
"Normalización",
IF(
VLOOKUP($C781,BASE_CIERRE_MES!$C:$G,5,FALSE)&lt;$H781,
"Recuperación",
IF(
VLOOKUP($C781,BASE_CIERRE_MES!$C:$G,5,FALSE)=$H781,
"Contención",
"Rodamiento"
)))</f>
        <v>Normalización</v>
      </c>
      <c r="Q781">
        <f t="shared" si="12"/>
        <v>1</v>
      </c>
    </row>
    <row r="782" spans="1:17" x14ac:dyDescent="0.25">
      <c r="A782">
        <v>8491006</v>
      </c>
      <c r="B782" t="s">
        <v>18</v>
      </c>
      <c r="C782">
        <v>24075863</v>
      </c>
      <c r="D782" t="s">
        <v>7</v>
      </c>
      <c r="E782">
        <v>300063</v>
      </c>
      <c r="F782" s="2">
        <v>300063</v>
      </c>
      <c r="G782" s="2">
        <v>235975</v>
      </c>
      <c r="H782">
        <v>30</v>
      </c>
      <c r="I782" s="1">
        <v>42522</v>
      </c>
      <c r="J782" t="s">
        <v>6</v>
      </c>
      <c r="K782">
        <f>COUNTIFS(GESTIONES!$A:$A, BASE_CUENTAS!$A782, GESTIONES!$B:$B, BASE_CUENTAS!$C782)</f>
        <v>3</v>
      </c>
      <c r="L782">
        <f>COUNTIFS(GESTIONES!$A:$A, BASE_CUENTAS!$A782,GESTIONES!$B:$B, BASE_CUENTAS!$C782,GESTIONES!$E:$E, "S")</f>
        <v>1</v>
      </c>
      <c r="M782">
        <f>COUNTIFS(GESTIONES!$A:$A, BASE_CUENTAS!$A782,GESTIONES!$B:$B, BASE_CUENTAS!$C782,GESTIONES!$E:$E, "N")</f>
        <v>2</v>
      </c>
      <c r="N782">
        <f>COUNTIFS(GESTIONES!$A:$A, BASE_CUENTAS!$A782,GESTIONES!$B:$B, BASE_CUENTAS!$C782,GESTIONES!$D:$D, "SMS")</f>
        <v>2</v>
      </c>
      <c r="O782">
        <f>SUMIFS(PAGOS!$D:$D,PAGOS!$A:$A, BASE_CUENTAS!$A782,PAGOS!$B:$B, BASE_CUENTAS!$C782)</f>
        <v>78658</v>
      </c>
      <c r="P782" t="str">
        <f>IF(
VLOOKUP($C782,BASE_CIERRE_MES!$C:$G,5,FALSE)=0,
"Normalización",
IF(
VLOOKUP($C782,BASE_CIERRE_MES!$C:$G,5,FALSE)&lt;$H782,
"Recuperación",
IF(
VLOOKUP($C782,BASE_CIERRE_MES!$C:$G,5,FALSE)=$H782,
"Contención",
"Rodamiento"
)))</f>
        <v>Contención</v>
      </c>
      <c r="Q782">
        <f t="shared" si="12"/>
        <v>0.26213828429363167</v>
      </c>
    </row>
    <row r="783" spans="1:17" x14ac:dyDescent="0.25">
      <c r="A783">
        <v>8491092</v>
      </c>
      <c r="B783" t="s">
        <v>17</v>
      </c>
      <c r="C783">
        <v>22418324</v>
      </c>
      <c r="D783" t="s">
        <v>7</v>
      </c>
      <c r="E783">
        <v>6472464</v>
      </c>
      <c r="F783" s="2">
        <v>3484595</v>
      </c>
      <c r="G783" s="2">
        <v>467536</v>
      </c>
      <c r="H783">
        <v>30</v>
      </c>
      <c r="I783" s="1">
        <v>42521</v>
      </c>
      <c r="J783" t="s">
        <v>4</v>
      </c>
      <c r="K783">
        <f>COUNTIFS(GESTIONES!$A:$A, BASE_CUENTAS!$A783, GESTIONES!$B:$B, BASE_CUENTAS!$C783)</f>
        <v>3</v>
      </c>
      <c r="L783">
        <f>COUNTIFS(GESTIONES!$A:$A, BASE_CUENTAS!$A783,GESTIONES!$B:$B, BASE_CUENTAS!$C783,GESTIONES!$E:$E, "S")</f>
        <v>1</v>
      </c>
      <c r="M783">
        <f>COUNTIFS(GESTIONES!$A:$A, BASE_CUENTAS!$A783,GESTIONES!$B:$B, BASE_CUENTAS!$C783,GESTIONES!$E:$E, "N")</f>
        <v>2</v>
      </c>
      <c r="N783">
        <f>COUNTIFS(GESTIONES!$A:$A, BASE_CUENTAS!$A783,GESTIONES!$B:$B, BASE_CUENTAS!$C783,GESTIONES!$D:$D, "SMS")</f>
        <v>0</v>
      </c>
      <c r="O783">
        <f>SUMIFS(PAGOS!$D:$D,PAGOS!$A:$A, BASE_CUENTAS!$A783,PAGOS!$B:$B, BASE_CUENTAS!$C783)</f>
        <v>233768</v>
      </c>
      <c r="P783" t="str">
        <f>IF(
VLOOKUP($C783,BASE_CIERRE_MES!$C:$G,5,FALSE)=0,
"Normalización",
IF(
VLOOKUP($C783,BASE_CIERRE_MES!$C:$G,5,FALSE)&lt;$H783,
"Recuperación",
IF(
VLOOKUP($C783,BASE_CIERRE_MES!$C:$G,5,FALSE)=$H783,
"Contención",
"Rodamiento"
)))</f>
        <v>Recuperación</v>
      </c>
      <c r="Q783">
        <f t="shared" si="12"/>
        <v>6.7086131960816101E-2</v>
      </c>
    </row>
    <row r="784" spans="1:17" x14ac:dyDescent="0.25">
      <c r="A784">
        <v>8491203</v>
      </c>
      <c r="B784" t="s">
        <v>17</v>
      </c>
      <c r="C784">
        <v>21218625</v>
      </c>
      <c r="D784" t="s">
        <v>7</v>
      </c>
      <c r="E784">
        <v>10682471</v>
      </c>
      <c r="F784" s="2">
        <v>4231693</v>
      </c>
      <c r="G784" s="2">
        <v>1300277</v>
      </c>
      <c r="H784">
        <v>60</v>
      </c>
      <c r="I784" s="1">
        <v>42491</v>
      </c>
      <c r="J784" t="s">
        <v>6</v>
      </c>
      <c r="K784">
        <f>COUNTIFS(GESTIONES!$A:$A, BASE_CUENTAS!$A784, GESTIONES!$B:$B, BASE_CUENTAS!$C784)</f>
        <v>3</v>
      </c>
      <c r="L784">
        <f>COUNTIFS(GESTIONES!$A:$A, BASE_CUENTAS!$A784,GESTIONES!$B:$B, BASE_CUENTAS!$C784,GESTIONES!$E:$E, "S")</f>
        <v>1</v>
      </c>
      <c r="M784">
        <f>COUNTIFS(GESTIONES!$A:$A, BASE_CUENTAS!$A784,GESTIONES!$B:$B, BASE_CUENTAS!$C784,GESTIONES!$E:$E, "N")</f>
        <v>2</v>
      </c>
      <c r="N784">
        <f>COUNTIFS(GESTIONES!$A:$A, BASE_CUENTAS!$A784,GESTIONES!$B:$B, BASE_CUENTAS!$C784,GESTIONES!$D:$D, "SMS")</f>
        <v>1</v>
      </c>
      <c r="O784">
        <f>SUMIFS(PAGOS!$D:$D,PAGOS!$A:$A, BASE_CUENTAS!$A784,PAGOS!$B:$B, BASE_CUENTAS!$C784)</f>
        <v>0</v>
      </c>
      <c r="P784" t="str">
        <f>IF(
VLOOKUP($C784,BASE_CIERRE_MES!$C:$G,5,FALSE)=0,
"Normalización",
IF(
VLOOKUP($C784,BASE_CIERRE_MES!$C:$G,5,FALSE)&lt;$H784,
"Recuperación",
IF(
VLOOKUP($C784,BASE_CIERRE_MES!$C:$G,5,FALSE)=$H784,
"Contención",
"Rodamiento"
)))</f>
        <v>Rodamiento</v>
      </c>
      <c r="Q784">
        <f t="shared" si="12"/>
        <v>0</v>
      </c>
    </row>
    <row r="785" spans="1:17" x14ac:dyDescent="0.25">
      <c r="A785">
        <v>8491282</v>
      </c>
      <c r="B785" t="s">
        <v>18</v>
      </c>
      <c r="C785">
        <v>22486333</v>
      </c>
      <c r="D785" t="s">
        <v>7</v>
      </c>
      <c r="E785">
        <v>639095</v>
      </c>
      <c r="F785" s="2">
        <v>639095</v>
      </c>
      <c r="G785" s="2">
        <v>112147</v>
      </c>
      <c r="H785">
        <v>30</v>
      </c>
      <c r="I785" s="1">
        <v>42521</v>
      </c>
      <c r="J785" t="s">
        <v>4</v>
      </c>
      <c r="K785">
        <f>COUNTIFS(GESTIONES!$A:$A, BASE_CUENTAS!$A785, GESTIONES!$B:$B, BASE_CUENTAS!$C785)</f>
        <v>3</v>
      </c>
      <c r="L785">
        <f>COUNTIFS(GESTIONES!$A:$A, BASE_CUENTAS!$A785,GESTIONES!$B:$B, BASE_CUENTAS!$C785,GESTIONES!$E:$E, "S")</f>
        <v>2</v>
      </c>
      <c r="M785">
        <f>COUNTIFS(GESTIONES!$A:$A, BASE_CUENTAS!$A785,GESTIONES!$B:$B, BASE_CUENTAS!$C785,GESTIONES!$E:$E, "N")</f>
        <v>1</v>
      </c>
      <c r="N785">
        <f>COUNTIFS(GESTIONES!$A:$A, BASE_CUENTAS!$A785,GESTIONES!$B:$B, BASE_CUENTAS!$C785,GESTIONES!$D:$D, "SMS")</f>
        <v>0</v>
      </c>
      <c r="O785">
        <f>SUMIFS(PAGOS!$D:$D,PAGOS!$A:$A, BASE_CUENTAS!$A785,PAGOS!$B:$B, BASE_CUENTAS!$C785)</f>
        <v>0</v>
      </c>
      <c r="P785" t="str">
        <f>IF(
VLOOKUP($C785,BASE_CIERRE_MES!$C:$G,5,FALSE)=0,
"Normalización",
IF(
VLOOKUP($C785,BASE_CIERRE_MES!$C:$G,5,FALSE)&lt;$H785,
"Recuperación",
IF(
VLOOKUP($C785,BASE_CIERRE_MES!$C:$G,5,FALSE)=$H785,
"Contención",
"Rodamiento"
)))</f>
        <v>Rodamiento</v>
      </c>
      <c r="Q785">
        <f t="shared" si="12"/>
        <v>0</v>
      </c>
    </row>
    <row r="786" spans="1:17" x14ac:dyDescent="0.25">
      <c r="A786">
        <v>8491300</v>
      </c>
      <c r="B786" t="s">
        <v>17</v>
      </c>
      <c r="C786">
        <v>21183899</v>
      </c>
      <c r="D786" t="s">
        <v>7</v>
      </c>
      <c r="E786">
        <v>7827786</v>
      </c>
      <c r="F786" s="2">
        <v>7827786</v>
      </c>
      <c r="G786" s="2">
        <v>1037503</v>
      </c>
      <c r="H786">
        <v>30</v>
      </c>
      <c r="I786" s="1">
        <v>42521</v>
      </c>
      <c r="J786" t="s">
        <v>4</v>
      </c>
      <c r="K786">
        <f>COUNTIFS(GESTIONES!$A:$A, BASE_CUENTAS!$A786, GESTIONES!$B:$B, BASE_CUENTAS!$C786)</f>
        <v>3</v>
      </c>
      <c r="L786">
        <f>COUNTIFS(GESTIONES!$A:$A, BASE_CUENTAS!$A786,GESTIONES!$B:$B, BASE_CUENTAS!$C786,GESTIONES!$E:$E, "S")</f>
        <v>1</v>
      </c>
      <c r="M786">
        <f>COUNTIFS(GESTIONES!$A:$A, BASE_CUENTAS!$A786,GESTIONES!$B:$B, BASE_CUENTAS!$C786,GESTIONES!$E:$E, "N")</f>
        <v>2</v>
      </c>
      <c r="N786">
        <f>COUNTIFS(GESTIONES!$A:$A, BASE_CUENTAS!$A786,GESTIONES!$B:$B, BASE_CUENTAS!$C786,GESTIONES!$D:$D, "SMS")</f>
        <v>0</v>
      </c>
      <c r="O786">
        <f>SUMIFS(PAGOS!$D:$D,PAGOS!$A:$A, BASE_CUENTAS!$A786,PAGOS!$B:$B, BASE_CUENTAS!$C786)</f>
        <v>0</v>
      </c>
      <c r="P786" t="str">
        <f>IF(
VLOOKUP($C786,BASE_CIERRE_MES!$C:$G,5,FALSE)=0,
"Normalización",
IF(
VLOOKUP($C786,BASE_CIERRE_MES!$C:$G,5,FALSE)&lt;$H786,
"Recuperación",
IF(
VLOOKUP($C786,BASE_CIERRE_MES!$C:$G,5,FALSE)=$H786,
"Contención",
"Rodamiento"
)))</f>
        <v>Rodamiento</v>
      </c>
      <c r="Q786">
        <f t="shared" si="12"/>
        <v>0</v>
      </c>
    </row>
    <row r="787" spans="1:17" x14ac:dyDescent="0.25">
      <c r="A787">
        <v>8491306</v>
      </c>
      <c r="B787" t="s">
        <v>17</v>
      </c>
      <c r="C787">
        <v>25320990</v>
      </c>
      <c r="D787" t="s">
        <v>7</v>
      </c>
      <c r="E787">
        <v>3604604</v>
      </c>
      <c r="F787" s="2">
        <v>926949</v>
      </c>
      <c r="G787" s="2">
        <v>133031</v>
      </c>
      <c r="H787">
        <v>30</v>
      </c>
      <c r="I787" s="1">
        <v>42519</v>
      </c>
      <c r="J787" t="s">
        <v>6</v>
      </c>
      <c r="K787">
        <f>COUNTIFS(GESTIONES!$A:$A, BASE_CUENTAS!$A787, GESTIONES!$B:$B, BASE_CUENTAS!$C787)</f>
        <v>3</v>
      </c>
      <c r="L787">
        <f>COUNTIFS(GESTIONES!$A:$A, BASE_CUENTAS!$A787,GESTIONES!$B:$B, BASE_CUENTAS!$C787,GESTIONES!$E:$E, "S")</f>
        <v>0</v>
      </c>
      <c r="M787">
        <f>COUNTIFS(GESTIONES!$A:$A, BASE_CUENTAS!$A787,GESTIONES!$B:$B, BASE_CUENTAS!$C787,GESTIONES!$E:$E, "N")</f>
        <v>3</v>
      </c>
      <c r="N787">
        <f>COUNTIFS(GESTIONES!$A:$A, BASE_CUENTAS!$A787,GESTIONES!$B:$B, BASE_CUENTAS!$C787,GESTIONES!$D:$D, "SMS")</f>
        <v>2</v>
      </c>
      <c r="O787">
        <f>SUMIFS(PAGOS!$D:$D,PAGOS!$A:$A, BASE_CUENTAS!$A787,PAGOS!$B:$B, BASE_CUENTAS!$C787)</f>
        <v>44344</v>
      </c>
      <c r="P787" t="str">
        <f>IF(
VLOOKUP($C787,BASE_CIERRE_MES!$C:$G,5,FALSE)=0,
"Normalización",
IF(
VLOOKUP($C787,BASE_CIERRE_MES!$C:$G,5,FALSE)&lt;$H787,
"Recuperación",
IF(
VLOOKUP($C787,BASE_CIERRE_MES!$C:$G,5,FALSE)=$H787,
"Contención",
"Rodamiento"
)))</f>
        <v>Contención</v>
      </c>
      <c r="Q787">
        <f t="shared" si="12"/>
        <v>4.7838662105466431E-2</v>
      </c>
    </row>
    <row r="788" spans="1:17" x14ac:dyDescent="0.25">
      <c r="A788">
        <v>8491306</v>
      </c>
      <c r="B788" t="s">
        <v>17</v>
      </c>
      <c r="C788">
        <v>28043155</v>
      </c>
      <c r="D788" t="s">
        <v>7</v>
      </c>
      <c r="E788">
        <v>3604604</v>
      </c>
      <c r="F788" s="2">
        <v>900579</v>
      </c>
      <c r="G788" s="2">
        <v>105202</v>
      </c>
      <c r="H788">
        <v>30</v>
      </c>
      <c r="I788" s="1">
        <v>42524</v>
      </c>
      <c r="J788" t="s">
        <v>6</v>
      </c>
      <c r="K788">
        <f>COUNTIFS(GESTIONES!$A:$A, BASE_CUENTAS!$A788, GESTIONES!$B:$B, BASE_CUENTAS!$C788)</f>
        <v>3</v>
      </c>
      <c r="L788">
        <f>COUNTIFS(GESTIONES!$A:$A, BASE_CUENTAS!$A788,GESTIONES!$B:$B, BASE_CUENTAS!$C788,GESTIONES!$E:$E, "S")</f>
        <v>1</v>
      </c>
      <c r="M788">
        <f>COUNTIFS(GESTIONES!$A:$A, BASE_CUENTAS!$A788,GESTIONES!$B:$B, BASE_CUENTAS!$C788,GESTIONES!$E:$E, "N")</f>
        <v>2</v>
      </c>
      <c r="N788">
        <f>COUNTIFS(GESTIONES!$A:$A, BASE_CUENTAS!$A788,GESTIONES!$B:$B, BASE_CUENTAS!$C788,GESTIONES!$D:$D, "SMS")</f>
        <v>1</v>
      </c>
      <c r="O788">
        <f>SUMIFS(PAGOS!$D:$D,PAGOS!$A:$A, BASE_CUENTAS!$A788,PAGOS!$B:$B, BASE_CUENTAS!$C788)</f>
        <v>0</v>
      </c>
      <c r="P788" t="str">
        <f>IF(
VLOOKUP($C788,BASE_CIERRE_MES!$C:$G,5,FALSE)=0,
"Normalización",
IF(
VLOOKUP($C788,BASE_CIERRE_MES!$C:$G,5,FALSE)&lt;$H788,
"Recuperación",
IF(
VLOOKUP($C788,BASE_CIERRE_MES!$C:$G,5,FALSE)=$H788,
"Contención",
"Rodamiento"
)))</f>
        <v>Rodamiento</v>
      </c>
      <c r="Q788">
        <f t="shared" si="12"/>
        <v>0</v>
      </c>
    </row>
    <row r="789" spans="1:17" x14ac:dyDescent="0.25">
      <c r="A789">
        <v>8491409</v>
      </c>
      <c r="B789" t="s">
        <v>17</v>
      </c>
      <c r="C789">
        <v>25336921</v>
      </c>
      <c r="D789" t="s">
        <v>9</v>
      </c>
      <c r="E789">
        <v>7421654</v>
      </c>
      <c r="F789" s="2">
        <v>5449038</v>
      </c>
      <c r="G789" s="2">
        <v>354025</v>
      </c>
      <c r="H789">
        <v>15</v>
      </c>
      <c r="I789" s="1">
        <v>42515</v>
      </c>
      <c r="J789" t="s">
        <v>6</v>
      </c>
      <c r="K789">
        <f>COUNTIFS(GESTIONES!$A:$A, BASE_CUENTAS!$A789, GESTIONES!$B:$B, BASE_CUENTAS!$C789)</f>
        <v>3</v>
      </c>
      <c r="L789">
        <f>COUNTIFS(GESTIONES!$A:$A, BASE_CUENTAS!$A789,GESTIONES!$B:$B, BASE_CUENTAS!$C789,GESTIONES!$E:$E, "S")</f>
        <v>1</v>
      </c>
      <c r="M789">
        <f>COUNTIFS(GESTIONES!$A:$A, BASE_CUENTAS!$A789,GESTIONES!$B:$B, BASE_CUENTAS!$C789,GESTIONES!$E:$E, "N")</f>
        <v>2</v>
      </c>
      <c r="N789">
        <f>COUNTIFS(GESTIONES!$A:$A, BASE_CUENTAS!$A789,GESTIONES!$B:$B, BASE_CUENTAS!$C789,GESTIONES!$D:$D, "SMS")</f>
        <v>1</v>
      </c>
      <c r="O789">
        <f>SUMIFS(PAGOS!$D:$D,PAGOS!$A:$A, BASE_CUENTAS!$A789,PAGOS!$B:$B, BASE_CUENTAS!$C789)</f>
        <v>118008</v>
      </c>
      <c r="P789" t="str">
        <f>IF(
VLOOKUP($C789,BASE_CIERRE_MES!$C:$G,5,FALSE)=0,
"Normalización",
IF(
VLOOKUP($C789,BASE_CIERRE_MES!$C:$G,5,FALSE)&lt;$H789,
"Recuperación",
IF(
VLOOKUP($C789,BASE_CIERRE_MES!$C:$G,5,FALSE)=$H789,
"Contención",
"Rodamiento"
)))</f>
        <v>Rodamiento</v>
      </c>
      <c r="Q789">
        <f t="shared" si="12"/>
        <v>2.1656666736403749E-2</v>
      </c>
    </row>
    <row r="790" spans="1:17" x14ac:dyDescent="0.25">
      <c r="A790">
        <v>8491409</v>
      </c>
      <c r="B790" t="s">
        <v>17</v>
      </c>
      <c r="C790">
        <v>27153393</v>
      </c>
      <c r="D790" t="s">
        <v>7</v>
      </c>
      <c r="E790">
        <v>7421654</v>
      </c>
      <c r="F790" s="2">
        <v>934205</v>
      </c>
      <c r="G790" s="2">
        <v>32376</v>
      </c>
      <c r="H790">
        <v>30</v>
      </c>
      <c r="I790" s="1">
        <v>42519</v>
      </c>
      <c r="J790" t="s">
        <v>6</v>
      </c>
      <c r="K790">
        <f>COUNTIFS(GESTIONES!$A:$A, BASE_CUENTAS!$A790, GESTIONES!$B:$B, BASE_CUENTAS!$C790)</f>
        <v>3</v>
      </c>
      <c r="L790">
        <f>COUNTIFS(GESTIONES!$A:$A, BASE_CUENTAS!$A790,GESTIONES!$B:$B, BASE_CUENTAS!$C790,GESTIONES!$E:$E, "S")</f>
        <v>1</v>
      </c>
      <c r="M790">
        <f>COUNTIFS(GESTIONES!$A:$A, BASE_CUENTAS!$A790,GESTIONES!$B:$B, BASE_CUENTAS!$C790,GESTIONES!$E:$E, "N")</f>
        <v>2</v>
      </c>
      <c r="N790">
        <f>COUNTIFS(GESTIONES!$A:$A, BASE_CUENTAS!$A790,GESTIONES!$B:$B, BASE_CUENTAS!$C790,GESTIONES!$D:$D, "SMS")</f>
        <v>0</v>
      </c>
      <c r="O790">
        <f>SUMIFS(PAGOS!$D:$D,PAGOS!$A:$A, BASE_CUENTAS!$A790,PAGOS!$B:$B, BASE_CUENTAS!$C790)</f>
        <v>32376</v>
      </c>
      <c r="P790" t="str">
        <f>IF(
VLOOKUP($C790,BASE_CIERRE_MES!$C:$G,5,FALSE)=0,
"Normalización",
IF(
VLOOKUP($C790,BASE_CIERRE_MES!$C:$G,5,FALSE)&lt;$H790,
"Recuperación",
IF(
VLOOKUP($C790,BASE_CIERRE_MES!$C:$G,5,FALSE)=$H790,
"Contención",
"Rodamiento"
)))</f>
        <v>Normalización</v>
      </c>
      <c r="Q790">
        <f t="shared" si="12"/>
        <v>3.4656205008536667E-2</v>
      </c>
    </row>
    <row r="791" spans="1:17" x14ac:dyDescent="0.25">
      <c r="A791">
        <v>8491572</v>
      </c>
      <c r="B791" t="s">
        <v>18</v>
      </c>
      <c r="C791">
        <v>25119103</v>
      </c>
      <c r="D791" t="s">
        <v>7</v>
      </c>
      <c r="E791">
        <v>3882063</v>
      </c>
      <c r="F791" s="2">
        <v>1973691</v>
      </c>
      <c r="G791" s="2">
        <v>800737</v>
      </c>
      <c r="H791">
        <v>60</v>
      </c>
      <c r="I791" s="1">
        <v>42491</v>
      </c>
      <c r="J791" t="s">
        <v>6</v>
      </c>
      <c r="K791">
        <f>COUNTIFS(GESTIONES!$A:$A, BASE_CUENTAS!$A791, GESTIONES!$B:$B, BASE_CUENTAS!$C791)</f>
        <v>3</v>
      </c>
      <c r="L791">
        <f>COUNTIFS(GESTIONES!$A:$A, BASE_CUENTAS!$A791,GESTIONES!$B:$B, BASE_CUENTAS!$C791,GESTIONES!$E:$E, "S")</f>
        <v>1</v>
      </c>
      <c r="M791">
        <f>COUNTIFS(GESTIONES!$A:$A, BASE_CUENTAS!$A791,GESTIONES!$B:$B, BASE_CUENTAS!$C791,GESTIONES!$E:$E, "N")</f>
        <v>2</v>
      </c>
      <c r="N791">
        <f>COUNTIFS(GESTIONES!$A:$A, BASE_CUENTAS!$A791,GESTIONES!$B:$B, BASE_CUENTAS!$C791,GESTIONES!$D:$D, "SMS")</f>
        <v>0</v>
      </c>
      <c r="O791">
        <f>SUMIFS(PAGOS!$D:$D,PAGOS!$A:$A, BASE_CUENTAS!$A791,PAGOS!$B:$B, BASE_CUENTAS!$C791)</f>
        <v>0</v>
      </c>
      <c r="P791" t="str">
        <f>IF(
VLOOKUP($C791,BASE_CIERRE_MES!$C:$G,5,FALSE)=0,
"Normalización",
IF(
VLOOKUP($C791,BASE_CIERRE_MES!$C:$G,5,FALSE)&lt;$H791,
"Recuperación",
IF(
VLOOKUP($C791,BASE_CIERRE_MES!$C:$G,5,FALSE)=$H791,
"Contención",
"Rodamiento"
)))</f>
        <v>Rodamiento</v>
      </c>
      <c r="Q791">
        <f t="shared" si="12"/>
        <v>0</v>
      </c>
    </row>
    <row r="792" spans="1:17" x14ac:dyDescent="0.25">
      <c r="A792">
        <v>8491599</v>
      </c>
      <c r="B792" t="s">
        <v>17</v>
      </c>
      <c r="C792">
        <v>17748506</v>
      </c>
      <c r="D792" t="s">
        <v>7</v>
      </c>
      <c r="E792">
        <v>6790842</v>
      </c>
      <c r="F792" s="2">
        <v>89510</v>
      </c>
      <c r="G792" s="2">
        <v>89510</v>
      </c>
      <c r="H792">
        <v>120</v>
      </c>
      <c r="I792" s="1">
        <v>42504</v>
      </c>
      <c r="J792" t="s">
        <v>5</v>
      </c>
      <c r="K792">
        <f>COUNTIFS(GESTIONES!$A:$A, BASE_CUENTAS!$A792, GESTIONES!$B:$B, BASE_CUENTAS!$C792)</f>
        <v>3</v>
      </c>
      <c r="L792">
        <f>COUNTIFS(GESTIONES!$A:$A, BASE_CUENTAS!$A792,GESTIONES!$B:$B, BASE_CUENTAS!$C792,GESTIONES!$E:$E, "S")</f>
        <v>0</v>
      </c>
      <c r="M792">
        <f>COUNTIFS(GESTIONES!$A:$A, BASE_CUENTAS!$A792,GESTIONES!$B:$B, BASE_CUENTAS!$C792,GESTIONES!$E:$E, "N")</f>
        <v>3</v>
      </c>
      <c r="N792">
        <f>COUNTIFS(GESTIONES!$A:$A, BASE_CUENTAS!$A792,GESTIONES!$B:$B, BASE_CUENTAS!$C792,GESTIONES!$D:$D, "SMS")</f>
        <v>2</v>
      </c>
      <c r="O792">
        <f>SUMIFS(PAGOS!$D:$D,PAGOS!$A:$A, BASE_CUENTAS!$A792,PAGOS!$B:$B, BASE_CUENTAS!$C792)</f>
        <v>89510</v>
      </c>
      <c r="P792" t="str">
        <f>IF(
VLOOKUP($C792,BASE_CIERRE_MES!$C:$G,5,FALSE)=0,
"Normalización",
IF(
VLOOKUP($C792,BASE_CIERRE_MES!$C:$G,5,FALSE)&lt;$H792,
"Recuperación",
IF(
VLOOKUP($C792,BASE_CIERRE_MES!$C:$G,5,FALSE)=$H792,
"Contención",
"Rodamiento"
)))</f>
        <v>Normalización</v>
      </c>
      <c r="Q792">
        <f t="shared" si="12"/>
        <v>1</v>
      </c>
    </row>
    <row r="793" spans="1:17" x14ac:dyDescent="0.25">
      <c r="A793">
        <v>8491599</v>
      </c>
      <c r="B793" t="s">
        <v>17</v>
      </c>
      <c r="C793">
        <v>27386020</v>
      </c>
      <c r="D793" t="s">
        <v>12</v>
      </c>
      <c r="E793">
        <v>6790842</v>
      </c>
      <c r="F793" s="2">
        <v>2527530</v>
      </c>
      <c r="G793" s="2">
        <v>72239</v>
      </c>
      <c r="H793">
        <v>24</v>
      </c>
      <c r="I793" s="1">
        <v>42504</v>
      </c>
      <c r="J793" t="s">
        <v>5</v>
      </c>
      <c r="K793">
        <f>COUNTIFS(GESTIONES!$A:$A, BASE_CUENTAS!$A793, GESTIONES!$B:$B, BASE_CUENTAS!$C793)</f>
        <v>3</v>
      </c>
      <c r="L793">
        <f>COUNTIFS(GESTIONES!$A:$A, BASE_CUENTAS!$A793,GESTIONES!$B:$B, BASE_CUENTAS!$C793,GESTIONES!$E:$E, "S")</f>
        <v>1</v>
      </c>
      <c r="M793">
        <f>COUNTIFS(GESTIONES!$A:$A, BASE_CUENTAS!$A793,GESTIONES!$B:$B, BASE_CUENTAS!$C793,GESTIONES!$E:$E, "N")</f>
        <v>2</v>
      </c>
      <c r="N793">
        <f>COUNTIFS(GESTIONES!$A:$A, BASE_CUENTAS!$A793,GESTIONES!$B:$B, BASE_CUENTAS!$C793,GESTIONES!$D:$D, "SMS")</f>
        <v>1</v>
      </c>
      <c r="O793">
        <f>SUMIFS(PAGOS!$D:$D,PAGOS!$A:$A, BASE_CUENTAS!$A793,PAGOS!$B:$B, BASE_CUENTAS!$C793)</f>
        <v>24080</v>
      </c>
      <c r="P793" t="str">
        <f>IF(
VLOOKUP($C793,BASE_CIERRE_MES!$C:$G,5,FALSE)=0,
"Normalización",
IF(
VLOOKUP($C793,BASE_CIERRE_MES!$C:$G,5,FALSE)&lt;$H793,
"Recuperación",
IF(
VLOOKUP($C793,BASE_CIERRE_MES!$C:$G,5,FALSE)=$H793,
"Contención",
"Rodamiento"
)))</f>
        <v>Rodamiento</v>
      </c>
      <c r="Q793">
        <f t="shared" si="12"/>
        <v>9.5270877101359831E-3</v>
      </c>
    </row>
    <row r="794" spans="1:17" x14ac:dyDescent="0.25">
      <c r="A794">
        <v>8491737</v>
      </c>
      <c r="B794" t="s">
        <v>17</v>
      </c>
      <c r="C794">
        <v>26833770</v>
      </c>
      <c r="D794" t="s">
        <v>7</v>
      </c>
      <c r="E794">
        <v>3845000</v>
      </c>
      <c r="F794" s="2">
        <v>2178219</v>
      </c>
      <c r="G794" s="2">
        <v>2178219</v>
      </c>
      <c r="H794">
        <v>240</v>
      </c>
      <c r="I794" s="1">
        <v>42417</v>
      </c>
      <c r="J794" t="s">
        <v>5</v>
      </c>
      <c r="K794">
        <f>COUNTIFS(GESTIONES!$A:$A, BASE_CUENTAS!$A794, GESTIONES!$B:$B, BASE_CUENTAS!$C794)</f>
        <v>3</v>
      </c>
      <c r="L794">
        <f>COUNTIFS(GESTIONES!$A:$A, BASE_CUENTAS!$A794,GESTIONES!$B:$B, BASE_CUENTAS!$C794,GESTIONES!$E:$E, "S")</f>
        <v>1</v>
      </c>
      <c r="M794">
        <f>COUNTIFS(GESTIONES!$A:$A, BASE_CUENTAS!$A794,GESTIONES!$B:$B, BASE_CUENTAS!$C794,GESTIONES!$E:$E, "N")</f>
        <v>2</v>
      </c>
      <c r="N794">
        <f>COUNTIFS(GESTIONES!$A:$A, BASE_CUENTAS!$A794,GESTIONES!$B:$B, BASE_CUENTAS!$C794,GESTIONES!$D:$D, "SMS")</f>
        <v>1</v>
      </c>
      <c r="O794">
        <f>SUMIFS(PAGOS!$D:$D,PAGOS!$A:$A, BASE_CUENTAS!$A794,PAGOS!$B:$B, BASE_CUENTAS!$C794)</f>
        <v>0</v>
      </c>
      <c r="P794" t="str">
        <f>IF(
VLOOKUP($C794,BASE_CIERRE_MES!$C:$G,5,FALSE)=0,
"Normalización",
IF(
VLOOKUP($C794,BASE_CIERRE_MES!$C:$G,5,FALSE)&lt;$H794,
"Recuperación",
IF(
VLOOKUP($C794,BASE_CIERRE_MES!$C:$G,5,FALSE)=$H794,
"Contención",
"Rodamiento"
)))</f>
        <v>Rodamiento</v>
      </c>
      <c r="Q794">
        <f t="shared" si="12"/>
        <v>0</v>
      </c>
    </row>
    <row r="795" spans="1:17" x14ac:dyDescent="0.25">
      <c r="A795">
        <v>8491737</v>
      </c>
      <c r="B795" t="s">
        <v>17</v>
      </c>
      <c r="C795">
        <v>26835229</v>
      </c>
      <c r="D795" t="s">
        <v>7</v>
      </c>
      <c r="E795">
        <v>3845000</v>
      </c>
      <c r="F795" s="2">
        <v>1666781</v>
      </c>
      <c r="G795" s="2">
        <v>1666781</v>
      </c>
      <c r="H795">
        <v>210</v>
      </c>
      <c r="I795" s="1">
        <v>42448</v>
      </c>
      <c r="J795" t="s">
        <v>5</v>
      </c>
      <c r="K795">
        <f>COUNTIFS(GESTIONES!$A:$A, BASE_CUENTAS!$A795, GESTIONES!$B:$B, BASE_CUENTAS!$C795)</f>
        <v>3</v>
      </c>
      <c r="L795">
        <f>COUNTIFS(GESTIONES!$A:$A, BASE_CUENTAS!$A795,GESTIONES!$B:$B, BASE_CUENTAS!$C795,GESTIONES!$E:$E, "S")</f>
        <v>1</v>
      </c>
      <c r="M795">
        <f>COUNTIFS(GESTIONES!$A:$A, BASE_CUENTAS!$A795,GESTIONES!$B:$B, BASE_CUENTAS!$C795,GESTIONES!$E:$E, "N")</f>
        <v>2</v>
      </c>
      <c r="N795">
        <f>COUNTIFS(GESTIONES!$A:$A, BASE_CUENTAS!$A795,GESTIONES!$B:$B, BASE_CUENTAS!$C795,GESTIONES!$D:$D, "SMS")</f>
        <v>0</v>
      </c>
      <c r="O795">
        <f>SUMIFS(PAGOS!$D:$D,PAGOS!$A:$A, BASE_CUENTAS!$A795,PAGOS!$B:$B, BASE_CUENTAS!$C795)</f>
        <v>0</v>
      </c>
      <c r="P795" t="str">
        <f>IF(
VLOOKUP($C795,BASE_CIERRE_MES!$C:$G,5,FALSE)=0,
"Normalización",
IF(
VLOOKUP($C795,BASE_CIERRE_MES!$C:$G,5,FALSE)&lt;$H795,
"Recuperación",
IF(
VLOOKUP($C795,BASE_CIERRE_MES!$C:$G,5,FALSE)=$H795,
"Contención",
"Rodamiento"
)))</f>
        <v>Rodamiento</v>
      </c>
      <c r="Q795">
        <f t="shared" si="12"/>
        <v>0</v>
      </c>
    </row>
    <row r="796" spans="1:17" x14ac:dyDescent="0.25">
      <c r="A796">
        <v>8491826</v>
      </c>
      <c r="B796" t="s">
        <v>18</v>
      </c>
      <c r="C796">
        <v>26151343</v>
      </c>
      <c r="D796" t="s">
        <v>7</v>
      </c>
      <c r="E796">
        <v>687513</v>
      </c>
      <c r="F796" s="2">
        <v>687513</v>
      </c>
      <c r="G796" s="2">
        <v>453081</v>
      </c>
      <c r="H796">
        <v>60</v>
      </c>
      <c r="I796" s="1">
        <v>42491</v>
      </c>
      <c r="J796" t="s">
        <v>6</v>
      </c>
      <c r="K796">
        <f>COUNTIFS(GESTIONES!$A:$A, BASE_CUENTAS!$A796, GESTIONES!$B:$B, BASE_CUENTAS!$C796)</f>
        <v>3</v>
      </c>
      <c r="L796">
        <f>COUNTIFS(GESTIONES!$A:$A, BASE_CUENTAS!$A796,GESTIONES!$B:$B, BASE_CUENTAS!$C796,GESTIONES!$E:$E, "S")</f>
        <v>1</v>
      </c>
      <c r="M796">
        <f>COUNTIFS(GESTIONES!$A:$A, BASE_CUENTAS!$A796,GESTIONES!$B:$B, BASE_CUENTAS!$C796,GESTIONES!$E:$E, "N")</f>
        <v>2</v>
      </c>
      <c r="N796">
        <f>COUNTIFS(GESTIONES!$A:$A, BASE_CUENTAS!$A796,GESTIONES!$B:$B, BASE_CUENTAS!$C796,GESTIONES!$D:$D, "SMS")</f>
        <v>0</v>
      </c>
      <c r="O796">
        <f>SUMIFS(PAGOS!$D:$D,PAGOS!$A:$A, BASE_CUENTAS!$A796,PAGOS!$B:$B, BASE_CUENTAS!$C796)</f>
        <v>0</v>
      </c>
      <c r="P796" t="str">
        <f>IF(
VLOOKUP($C796,BASE_CIERRE_MES!$C:$G,5,FALSE)=0,
"Normalización",
IF(
VLOOKUP($C796,BASE_CIERRE_MES!$C:$G,5,FALSE)&lt;$H796,
"Recuperación",
IF(
VLOOKUP($C796,BASE_CIERRE_MES!$C:$G,5,FALSE)=$H796,
"Contención",
"Rodamiento"
)))</f>
        <v>Rodamiento</v>
      </c>
      <c r="Q796">
        <f t="shared" si="12"/>
        <v>0</v>
      </c>
    </row>
    <row r="797" spans="1:17" x14ac:dyDescent="0.25">
      <c r="A797">
        <v>8491843</v>
      </c>
      <c r="B797" t="s">
        <v>17</v>
      </c>
      <c r="C797">
        <v>27278763</v>
      </c>
      <c r="D797" t="s">
        <v>7</v>
      </c>
      <c r="E797">
        <v>9452094</v>
      </c>
      <c r="F797" s="2">
        <v>4498555</v>
      </c>
      <c r="G797" s="2">
        <v>2214686</v>
      </c>
      <c r="H797">
        <v>30</v>
      </c>
      <c r="I797" s="1">
        <v>42521</v>
      </c>
      <c r="J797" t="s">
        <v>4</v>
      </c>
      <c r="K797">
        <f>COUNTIFS(GESTIONES!$A:$A, BASE_CUENTAS!$A797, GESTIONES!$B:$B, BASE_CUENTAS!$C797)</f>
        <v>3</v>
      </c>
      <c r="L797">
        <f>COUNTIFS(GESTIONES!$A:$A, BASE_CUENTAS!$A797,GESTIONES!$B:$B, BASE_CUENTAS!$C797,GESTIONES!$E:$E, "S")</f>
        <v>0</v>
      </c>
      <c r="M797">
        <f>COUNTIFS(GESTIONES!$A:$A, BASE_CUENTAS!$A797,GESTIONES!$B:$B, BASE_CUENTAS!$C797,GESTIONES!$E:$E, "N")</f>
        <v>3</v>
      </c>
      <c r="N797">
        <f>COUNTIFS(GESTIONES!$A:$A, BASE_CUENTAS!$A797,GESTIONES!$B:$B, BASE_CUENTAS!$C797,GESTIONES!$D:$D, "SMS")</f>
        <v>2</v>
      </c>
      <c r="O797">
        <f>SUMIFS(PAGOS!$D:$D,PAGOS!$A:$A, BASE_CUENTAS!$A797,PAGOS!$B:$B, BASE_CUENTAS!$C797)</f>
        <v>0</v>
      </c>
      <c r="P797" t="str">
        <f>IF(
VLOOKUP($C797,BASE_CIERRE_MES!$C:$G,5,FALSE)=0,
"Normalización",
IF(
VLOOKUP($C797,BASE_CIERRE_MES!$C:$G,5,FALSE)&lt;$H797,
"Recuperación",
IF(
VLOOKUP($C797,BASE_CIERRE_MES!$C:$G,5,FALSE)=$H797,
"Contención",
"Rodamiento"
)))</f>
        <v>Rodamiento</v>
      </c>
      <c r="Q797">
        <f t="shared" si="12"/>
        <v>0</v>
      </c>
    </row>
    <row r="798" spans="1:17" x14ac:dyDescent="0.25">
      <c r="A798">
        <v>8491858</v>
      </c>
      <c r="B798" t="s">
        <v>16</v>
      </c>
      <c r="C798">
        <v>25879366</v>
      </c>
      <c r="D798" t="s">
        <v>9</v>
      </c>
      <c r="E798">
        <v>13547106</v>
      </c>
      <c r="F798" s="2">
        <v>10198084</v>
      </c>
      <c r="G798" s="2">
        <v>316935</v>
      </c>
      <c r="H798">
        <v>29</v>
      </c>
      <c r="I798" s="1">
        <v>42501</v>
      </c>
      <c r="J798" t="s">
        <v>6</v>
      </c>
      <c r="K798">
        <f>COUNTIFS(GESTIONES!$A:$A, BASE_CUENTAS!$A798, GESTIONES!$B:$B, BASE_CUENTAS!$C798)</f>
        <v>3</v>
      </c>
      <c r="L798">
        <f>COUNTIFS(GESTIONES!$A:$A, BASE_CUENTAS!$A798,GESTIONES!$B:$B, BASE_CUENTAS!$C798,GESTIONES!$E:$E, "S")</f>
        <v>1</v>
      </c>
      <c r="M798">
        <f>COUNTIFS(GESTIONES!$A:$A, BASE_CUENTAS!$A798,GESTIONES!$B:$B, BASE_CUENTAS!$C798,GESTIONES!$E:$E, "N")</f>
        <v>2</v>
      </c>
      <c r="N798">
        <f>COUNTIFS(GESTIONES!$A:$A, BASE_CUENTAS!$A798,GESTIONES!$B:$B, BASE_CUENTAS!$C798,GESTIONES!$D:$D, "SMS")</f>
        <v>1</v>
      </c>
      <c r="O798">
        <f>SUMIFS(PAGOS!$D:$D,PAGOS!$A:$A, BASE_CUENTAS!$A798,PAGOS!$B:$B, BASE_CUENTAS!$C798)</f>
        <v>316935</v>
      </c>
      <c r="P798" t="str">
        <f>IF(
VLOOKUP($C798,BASE_CIERRE_MES!$C:$G,5,FALSE)=0,
"Normalización",
IF(
VLOOKUP($C798,BASE_CIERRE_MES!$C:$G,5,FALSE)&lt;$H798,
"Recuperación",
IF(
VLOOKUP($C798,BASE_CIERRE_MES!$C:$G,5,FALSE)=$H798,
"Contención",
"Rodamiento"
)))</f>
        <v>Normalización</v>
      </c>
      <c r="Q798">
        <f t="shared" si="12"/>
        <v>3.1077896593124748E-2</v>
      </c>
    </row>
    <row r="799" spans="1:17" x14ac:dyDescent="0.25">
      <c r="A799">
        <v>8491858</v>
      </c>
      <c r="B799" t="s">
        <v>16</v>
      </c>
      <c r="C799">
        <v>27654219</v>
      </c>
      <c r="D799" t="s">
        <v>7</v>
      </c>
      <c r="E799">
        <v>13547106</v>
      </c>
      <c r="F799" s="2">
        <v>3349022</v>
      </c>
      <c r="G799" s="2">
        <v>187267</v>
      </c>
      <c r="H799">
        <v>30</v>
      </c>
      <c r="I799" s="1">
        <v>42509</v>
      </c>
      <c r="J799" t="s">
        <v>6</v>
      </c>
      <c r="K799">
        <f>COUNTIFS(GESTIONES!$A:$A, BASE_CUENTAS!$A799, GESTIONES!$B:$B, BASE_CUENTAS!$C799)</f>
        <v>3</v>
      </c>
      <c r="L799">
        <f>COUNTIFS(GESTIONES!$A:$A, BASE_CUENTAS!$A799,GESTIONES!$B:$B, BASE_CUENTAS!$C799,GESTIONES!$E:$E, "S")</f>
        <v>1</v>
      </c>
      <c r="M799">
        <f>COUNTIFS(GESTIONES!$A:$A, BASE_CUENTAS!$A799,GESTIONES!$B:$B, BASE_CUENTAS!$C799,GESTIONES!$E:$E, "N")</f>
        <v>2</v>
      </c>
      <c r="N799">
        <f>COUNTIFS(GESTIONES!$A:$A, BASE_CUENTAS!$A799,GESTIONES!$B:$B, BASE_CUENTAS!$C799,GESTIONES!$D:$D, "SMS")</f>
        <v>1</v>
      </c>
      <c r="O799">
        <f>SUMIFS(PAGOS!$D:$D,PAGOS!$A:$A, BASE_CUENTAS!$A799,PAGOS!$B:$B, BASE_CUENTAS!$C799)</f>
        <v>0</v>
      </c>
      <c r="P799" t="str">
        <f>IF(
VLOOKUP($C799,BASE_CIERRE_MES!$C:$G,5,FALSE)=0,
"Normalización",
IF(
VLOOKUP($C799,BASE_CIERRE_MES!$C:$G,5,FALSE)&lt;$H799,
"Recuperación",
IF(
VLOOKUP($C799,BASE_CIERRE_MES!$C:$G,5,FALSE)=$H799,
"Contención",
"Rodamiento"
)))</f>
        <v>Rodamiento</v>
      </c>
      <c r="Q799">
        <f t="shared" si="12"/>
        <v>0</v>
      </c>
    </row>
    <row r="800" spans="1:17" x14ac:dyDescent="0.25">
      <c r="A800">
        <v>8491877</v>
      </c>
      <c r="B800" t="s">
        <v>18</v>
      </c>
      <c r="C800">
        <v>27396609</v>
      </c>
      <c r="D800" t="s">
        <v>7</v>
      </c>
      <c r="E800">
        <v>4048957</v>
      </c>
      <c r="F800" s="2">
        <v>4048957</v>
      </c>
      <c r="G800" s="2">
        <v>399573</v>
      </c>
      <c r="H800">
        <v>30</v>
      </c>
      <c r="I800" s="1">
        <v>42509</v>
      </c>
      <c r="J800" t="s">
        <v>6</v>
      </c>
      <c r="K800">
        <f>COUNTIFS(GESTIONES!$A:$A, BASE_CUENTAS!$A800, GESTIONES!$B:$B, BASE_CUENTAS!$C800)</f>
        <v>3</v>
      </c>
      <c r="L800">
        <f>COUNTIFS(GESTIONES!$A:$A, BASE_CUENTAS!$A800,GESTIONES!$B:$B, BASE_CUENTAS!$C800,GESTIONES!$E:$E, "S")</f>
        <v>1</v>
      </c>
      <c r="M800">
        <f>COUNTIFS(GESTIONES!$A:$A, BASE_CUENTAS!$A800,GESTIONES!$B:$B, BASE_CUENTAS!$C800,GESTIONES!$E:$E, "N")</f>
        <v>2</v>
      </c>
      <c r="N800">
        <f>COUNTIFS(GESTIONES!$A:$A, BASE_CUENTAS!$A800,GESTIONES!$B:$B, BASE_CUENTAS!$C800,GESTIONES!$D:$D, "SMS")</f>
        <v>0</v>
      </c>
      <c r="O800">
        <f>SUMIFS(PAGOS!$D:$D,PAGOS!$A:$A, BASE_CUENTAS!$A800,PAGOS!$B:$B, BASE_CUENTAS!$C800)</f>
        <v>0</v>
      </c>
      <c r="P800" t="str">
        <f>IF(
VLOOKUP($C800,BASE_CIERRE_MES!$C:$G,5,FALSE)=0,
"Normalización",
IF(
VLOOKUP($C800,BASE_CIERRE_MES!$C:$G,5,FALSE)&lt;$H800,
"Recuperación",
IF(
VLOOKUP($C800,BASE_CIERRE_MES!$C:$G,5,FALSE)=$H800,
"Contención",
"Rodamiento"
)))</f>
        <v>Rodamiento</v>
      </c>
      <c r="Q800">
        <f t="shared" si="12"/>
        <v>0</v>
      </c>
    </row>
    <row r="801" spans="1:17" x14ac:dyDescent="0.25">
      <c r="A801">
        <v>8491910</v>
      </c>
      <c r="B801" t="s">
        <v>18</v>
      </c>
      <c r="C801">
        <v>27575915</v>
      </c>
      <c r="D801" t="s">
        <v>7</v>
      </c>
      <c r="E801">
        <v>821883</v>
      </c>
      <c r="F801" s="2">
        <v>821883</v>
      </c>
      <c r="G801" s="2">
        <v>142310</v>
      </c>
      <c r="H801">
        <v>30</v>
      </c>
      <c r="I801" s="1">
        <v>42521</v>
      </c>
      <c r="J801" t="s">
        <v>4</v>
      </c>
      <c r="K801">
        <f>COUNTIFS(GESTIONES!$A:$A, BASE_CUENTAS!$A801, GESTIONES!$B:$B, BASE_CUENTAS!$C801)</f>
        <v>3</v>
      </c>
      <c r="L801">
        <f>COUNTIFS(GESTIONES!$A:$A, BASE_CUENTAS!$A801,GESTIONES!$B:$B, BASE_CUENTAS!$C801,GESTIONES!$E:$E, "S")</f>
        <v>2</v>
      </c>
      <c r="M801">
        <f>COUNTIFS(GESTIONES!$A:$A, BASE_CUENTAS!$A801,GESTIONES!$B:$B, BASE_CUENTAS!$C801,GESTIONES!$E:$E, "N")</f>
        <v>1</v>
      </c>
      <c r="N801">
        <f>COUNTIFS(GESTIONES!$A:$A, BASE_CUENTAS!$A801,GESTIONES!$B:$B, BASE_CUENTAS!$C801,GESTIONES!$D:$D, "SMS")</f>
        <v>0</v>
      </c>
      <c r="O801">
        <f>SUMIFS(PAGOS!$D:$D,PAGOS!$A:$A, BASE_CUENTAS!$A801,PAGOS!$B:$B, BASE_CUENTAS!$C801)</f>
        <v>47436</v>
      </c>
      <c r="P801" t="str">
        <f>IF(
VLOOKUP($C801,BASE_CIERRE_MES!$C:$G,5,FALSE)=0,
"Normalización",
IF(
VLOOKUP($C801,BASE_CIERRE_MES!$C:$G,5,FALSE)&lt;$H801,
"Recuperación",
IF(
VLOOKUP($C801,BASE_CIERRE_MES!$C:$G,5,FALSE)=$H801,
"Contención",
"Rodamiento"
)))</f>
        <v>Contención</v>
      </c>
      <c r="Q801">
        <f t="shared" si="12"/>
        <v>5.7716244282945382E-2</v>
      </c>
    </row>
    <row r="802" spans="1:17" x14ac:dyDescent="0.25">
      <c r="A802">
        <v>8491961</v>
      </c>
      <c r="B802" t="s">
        <v>18</v>
      </c>
      <c r="C802">
        <v>24127681</v>
      </c>
      <c r="D802" t="s">
        <v>7</v>
      </c>
      <c r="E802">
        <v>844905</v>
      </c>
      <c r="F802" s="2">
        <v>844905</v>
      </c>
      <c r="G802" s="2">
        <v>844905</v>
      </c>
      <c r="H802">
        <v>150</v>
      </c>
      <c r="I802" s="1">
        <v>42518</v>
      </c>
      <c r="J802" t="s">
        <v>5</v>
      </c>
      <c r="K802">
        <f>COUNTIFS(GESTIONES!$A:$A, BASE_CUENTAS!$A802, GESTIONES!$B:$B, BASE_CUENTAS!$C802)</f>
        <v>3</v>
      </c>
      <c r="L802">
        <f>COUNTIFS(GESTIONES!$A:$A, BASE_CUENTAS!$A802,GESTIONES!$B:$B, BASE_CUENTAS!$C802,GESTIONES!$E:$E, "S")</f>
        <v>1</v>
      </c>
      <c r="M802">
        <f>COUNTIFS(GESTIONES!$A:$A, BASE_CUENTAS!$A802,GESTIONES!$B:$B, BASE_CUENTAS!$C802,GESTIONES!$E:$E, "N")</f>
        <v>2</v>
      </c>
      <c r="N802">
        <f>COUNTIFS(GESTIONES!$A:$A, BASE_CUENTAS!$A802,GESTIONES!$B:$B, BASE_CUENTAS!$C802,GESTIONES!$D:$D, "SMS")</f>
        <v>1</v>
      </c>
      <c r="O802">
        <f>SUMIFS(PAGOS!$D:$D,PAGOS!$A:$A, BASE_CUENTAS!$A802,PAGOS!$B:$B, BASE_CUENTAS!$C802)</f>
        <v>0</v>
      </c>
      <c r="P802" t="str">
        <f>IF(
VLOOKUP($C802,BASE_CIERRE_MES!$C:$G,5,FALSE)=0,
"Normalización",
IF(
VLOOKUP($C802,BASE_CIERRE_MES!$C:$G,5,FALSE)&lt;$H802,
"Recuperación",
IF(
VLOOKUP($C802,BASE_CIERRE_MES!$C:$G,5,FALSE)=$H802,
"Contención",
"Rodamiento"
)))</f>
        <v>Rodamiento</v>
      </c>
      <c r="Q802">
        <f t="shared" si="12"/>
        <v>0</v>
      </c>
    </row>
    <row r="803" spans="1:17" x14ac:dyDescent="0.25">
      <c r="A803">
        <v>8491969</v>
      </c>
      <c r="B803" t="s">
        <v>18</v>
      </c>
      <c r="C803">
        <v>16363550</v>
      </c>
      <c r="D803" t="s">
        <v>7</v>
      </c>
      <c r="E803">
        <v>2842526</v>
      </c>
      <c r="F803" s="2">
        <v>1854043</v>
      </c>
      <c r="G803" s="2">
        <v>1854043</v>
      </c>
      <c r="H803">
        <v>360</v>
      </c>
      <c r="I803" s="1">
        <v>42487</v>
      </c>
      <c r="J803" t="s">
        <v>5</v>
      </c>
      <c r="K803">
        <f>COUNTIFS(GESTIONES!$A:$A, BASE_CUENTAS!$A803, GESTIONES!$B:$B, BASE_CUENTAS!$C803)</f>
        <v>3</v>
      </c>
      <c r="L803">
        <f>COUNTIFS(GESTIONES!$A:$A, BASE_CUENTAS!$A803,GESTIONES!$B:$B, BASE_CUENTAS!$C803,GESTIONES!$E:$E, "S")</f>
        <v>0</v>
      </c>
      <c r="M803">
        <f>COUNTIFS(GESTIONES!$A:$A, BASE_CUENTAS!$A803,GESTIONES!$B:$B, BASE_CUENTAS!$C803,GESTIONES!$E:$E, "N")</f>
        <v>3</v>
      </c>
      <c r="N803">
        <f>COUNTIFS(GESTIONES!$A:$A, BASE_CUENTAS!$A803,GESTIONES!$B:$B, BASE_CUENTAS!$C803,GESTIONES!$D:$D, "SMS")</f>
        <v>1</v>
      </c>
      <c r="O803">
        <f>SUMIFS(PAGOS!$D:$D,PAGOS!$A:$A, BASE_CUENTAS!$A803,PAGOS!$B:$B, BASE_CUENTAS!$C803)</f>
        <v>618014</v>
      </c>
      <c r="P803" t="str">
        <f>IF(
VLOOKUP($C803,BASE_CIERRE_MES!$C:$G,5,FALSE)=0,
"Normalización",
IF(
VLOOKUP($C803,BASE_CIERRE_MES!$C:$G,5,FALSE)&lt;$H803,
"Recuperación",
IF(
VLOOKUP($C803,BASE_CIERRE_MES!$C:$G,5,FALSE)=$H803,
"Contención",
"Rodamiento"
)))</f>
        <v>Contención</v>
      </c>
      <c r="Q803">
        <f t="shared" si="12"/>
        <v>0.33333315354606124</v>
      </c>
    </row>
    <row r="804" spans="1:17" x14ac:dyDescent="0.25">
      <c r="A804">
        <v>8492088</v>
      </c>
      <c r="B804" t="s">
        <v>17</v>
      </c>
      <c r="C804">
        <v>26249534</v>
      </c>
      <c r="D804" t="s">
        <v>7</v>
      </c>
      <c r="E804">
        <v>7497120</v>
      </c>
      <c r="F804" s="2">
        <v>3022548</v>
      </c>
      <c r="G804" s="2">
        <v>3022548</v>
      </c>
      <c r="H804">
        <v>180</v>
      </c>
      <c r="I804" s="1">
        <v>42491</v>
      </c>
      <c r="J804" t="s">
        <v>5</v>
      </c>
      <c r="K804">
        <f>COUNTIFS(GESTIONES!$A:$A, BASE_CUENTAS!$A804, GESTIONES!$B:$B, BASE_CUENTAS!$C804)</f>
        <v>3</v>
      </c>
      <c r="L804">
        <f>COUNTIFS(GESTIONES!$A:$A, BASE_CUENTAS!$A804,GESTIONES!$B:$B, BASE_CUENTAS!$C804,GESTIONES!$E:$E, "S")</f>
        <v>1</v>
      </c>
      <c r="M804">
        <f>COUNTIFS(GESTIONES!$A:$A, BASE_CUENTAS!$A804,GESTIONES!$B:$B, BASE_CUENTAS!$C804,GESTIONES!$E:$E, "N")</f>
        <v>2</v>
      </c>
      <c r="N804">
        <f>COUNTIFS(GESTIONES!$A:$A, BASE_CUENTAS!$A804,GESTIONES!$B:$B, BASE_CUENTAS!$C804,GESTIONES!$D:$D, "SMS")</f>
        <v>2</v>
      </c>
      <c r="O804">
        <f>SUMIFS(PAGOS!$D:$D,PAGOS!$A:$A, BASE_CUENTAS!$A804,PAGOS!$B:$B, BASE_CUENTAS!$C804)</f>
        <v>1007516</v>
      </c>
      <c r="P804" t="str">
        <f>IF(
VLOOKUP($C804,BASE_CIERRE_MES!$C:$G,5,FALSE)=0,
"Normalización",
IF(
VLOOKUP($C804,BASE_CIERRE_MES!$C:$G,5,FALSE)&lt;$H804,
"Recuperación",
IF(
VLOOKUP($C804,BASE_CIERRE_MES!$C:$G,5,FALSE)=$H804,
"Contención",
"Rodamiento"
)))</f>
        <v>Contención</v>
      </c>
      <c r="Q804">
        <f t="shared" si="12"/>
        <v>0.33333333333333331</v>
      </c>
    </row>
    <row r="805" spans="1:17" x14ac:dyDescent="0.25">
      <c r="A805">
        <v>8492088</v>
      </c>
      <c r="B805" t="s">
        <v>17</v>
      </c>
      <c r="C805">
        <v>26935418</v>
      </c>
      <c r="D805" t="s">
        <v>7</v>
      </c>
      <c r="E805">
        <v>7497120</v>
      </c>
      <c r="F805" s="2">
        <v>2898141</v>
      </c>
      <c r="G805" s="2">
        <v>2898141</v>
      </c>
      <c r="H805">
        <v>240</v>
      </c>
      <c r="I805" s="1">
        <v>42431</v>
      </c>
      <c r="J805" t="s">
        <v>5</v>
      </c>
      <c r="K805">
        <f>COUNTIFS(GESTIONES!$A:$A, BASE_CUENTAS!$A805, GESTIONES!$B:$B, BASE_CUENTAS!$C805)</f>
        <v>3</v>
      </c>
      <c r="L805">
        <f>COUNTIFS(GESTIONES!$A:$A, BASE_CUENTAS!$A805,GESTIONES!$B:$B, BASE_CUENTAS!$C805,GESTIONES!$E:$E, "S")</f>
        <v>1</v>
      </c>
      <c r="M805">
        <f>COUNTIFS(GESTIONES!$A:$A, BASE_CUENTAS!$A805,GESTIONES!$B:$B, BASE_CUENTAS!$C805,GESTIONES!$E:$E, "N")</f>
        <v>2</v>
      </c>
      <c r="N805">
        <f>COUNTIFS(GESTIONES!$A:$A, BASE_CUENTAS!$A805,GESTIONES!$B:$B, BASE_CUENTAS!$C805,GESTIONES!$D:$D, "SMS")</f>
        <v>0</v>
      </c>
      <c r="O805">
        <f>SUMIFS(PAGOS!$D:$D,PAGOS!$A:$A, BASE_CUENTAS!$A805,PAGOS!$B:$B, BASE_CUENTAS!$C805)</f>
        <v>0</v>
      </c>
      <c r="P805" t="str">
        <f>IF(
VLOOKUP($C805,BASE_CIERRE_MES!$C:$G,5,FALSE)=0,
"Normalización",
IF(
VLOOKUP($C805,BASE_CIERRE_MES!$C:$G,5,FALSE)&lt;$H805,
"Recuperación",
IF(
VLOOKUP($C805,BASE_CIERRE_MES!$C:$G,5,FALSE)=$H805,
"Contención",
"Rodamiento"
)))</f>
        <v>Rodamiento</v>
      </c>
      <c r="Q805">
        <f t="shared" si="12"/>
        <v>0</v>
      </c>
    </row>
    <row r="806" spans="1:17" x14ac:dyDescent="0.25">
      <c r="A806">
        <v>8492200</v>
      </c>
      <c r="B806" t="s">
        <v>16</v>
      </c>
      <c r="C806">
        <v>26140581</v>
      </c>
      <c r="D806" t="s">
        <v>9</v>
      </c>
      <c r="E806">
        <v>16004474</v>
      </c>
      <c r="F806" s="2">
        <v>7541741</v>
      </c>
      <c r="G806" s="2">
        <v>286181</v>
      </c>
      <c r="H806">
        <v>15</v>
      </c>
      <c r="I806" s="1">
        <v>42515</v>
      </c>
      <c r="J806" t="s">
        <v>6</v>
      </c>
      <c r="K806">
        <f>COUNTIFS(GESTIONES!$A:$A, BASE_CUENTAS!$A806, GESTIONES!$B:$B, BASE_CUENTAS!$C806)</f>
        <v>3</v>
      </c>
      <c r="L806">
        <f>COUNTIFS(GESTIONES!$A:$A, BASE_CUENTAS!$A806,GESTIONES!$B:$B, BASE_CUENTAS!$C806,GESTIONES!$E:$E, "S")</f>
        <v>1</v>
      </c>
      <c r="M806">
        <f>COUNTIFS(GESTIONES!$A:$A, BASE_CUENTAS!$A806,GESTIONES!$B:$B, BASE_CUENTAS!$C806,GESTIONES!$E:$E, "N")</f>
        <v>2</v>
      </c>
      <c r="N806">
        <f>COUNTIFS(GESTIONES!$A:$A, BASE_CUENTAS!$A806,GESTIONES!$B:$B, BASE_CUENTAS!$C806,GESTIONES!$D:$D, "SMS")</f>
        <v>0</v>
      </c>
      <c r="O806">
        <f>SUMIFS(PAGOS!$D:$D,PAGOS!$A:$A, BASE_CUENTAS!$A806,PAGOS!$B:$B, BASE_CUENTAS!$C806)</f>
        <v>0</v>
      </c>
      <c r="P806" t="str">
        <f>IF(
VLOOKUP($C806,BASE_CIERRE_MES!$C:$G,5,FALSE)=0,
"Normalización",
IF(
VLOOKUP($C806,BASE_CIERRE_MES!$C:$G,5,FALSE)&lt;$H806,
"Recuperación",
IF(
VLOOKUP($C806,BASE_CIERRE_MES!$C:$G,5,FALSE)=$H806,
"Contención",
"Rodamiento"
)))</f>
        <v>Rodamiento</v>
      </c>
      <c r="Q806">
        <f t="shared" si="12"/>
        <v>0</v>
      </c>
    </row>
    <row r="807" spans="1:17" x14ac:dyDescent="0.25">
      <c r="A807">
        <v>8492200</v>
      </c>
      <c r="B807" t="s">
        <v>16</v>
      </c>
      <c r="C807">
        <v>27915896</v>
      </c>
      <c r="D807" t="s">
        <v>7</v>
      </c>
      <c r="E807">
        <v>16004474</v>
      </c>
      <c r="F807" s="2">
        <v>3551737</v>
      </c>
      <c r="G807" s="2">
        <v>409255</v>
      </c>
      <c r="H807">
        <v>30</v>
      </c>
      <c r="I807" s="1">
        <v>42508</v>
      </c>
      <c r="J807" t="s">
        <v>6</v>
      </c>
      <c r="K807">
        <f>COUNTIFS(GESTIONES!$A:$A, BASE_CUENTAS!$A807, GESTIONES!$B:$B, BASE_CUENTAS!$C807)</f>
        <v>3</v>
      </c>
      <c r="L807">
        <f>COUNTIFS(GESTIONES!$A:$A, BASE_CUENTAS!$A807,GESTIONES!$B:$B, BASE_CUENTAS!$C807,GESTIONES!$E:$E, "S")</f>
        <v>1</v>
      </c>
      <c r="M807">
        <f>COUNTIFS(GESTIONES!$A:$A, BASE_CUENTAS!$A807,GESTIONES!$B:$B, BASE_CUENTAS!$C807,GESTIONES!$E:$E, "N")</f>
        <v>2</v>
      </c>
      <c r="N807">
        <f>COUNTIFS(GESTIONES!$A:$A, BASE_CUENTAS!$A807,GESTIONES!$B:$B, BASE_CUENTAS!$C807,GESTIONES!$D:$D, "SMS")</f>
        <v>1</v>
      </c>
      <c r="O807">
        <f>SUMIFS(PAGOS!$D:$D,PAGOS!$A:$A, BASE_CUENTAS!$A807,PAGOS!$B:$B, BASE_CUENTAS!$C807)</f>
        <v>0</v>
      </c>
      <c r="P807" t="str">
        <f>IF(
VLOOKUP($C807,BASE_CIERRE_MES!$C:$G,5,FALSE)=0,
"Normalización",
IF(
VLOOKUP($C807,BASE_CIERRE_MES!$C:$G,5,FALSE)&lt;$H807,
"Recuperación",
IF(
VLOOKUP($C807,BASE_CIERRE_MES!$C:$G,5,FALSE)=$H807,
"Contención",
"Rodamiento"
)))</f>
        <v>Rodamiento</v>
      </c>
      <c r="Q807">
        <f t="shared" si="12"/>
        <v>0</v>
      </c>
    </row>
    <row r="808" spans="1:17" x14ac:dyDescent="0.25">
      <c r="A808">
        <v>8492200</v>
      </c>
      <c r="B808" t="s">
        <v>16</v>
      </c>
      <c r="C808">
        <v>27917896</v>
      </c>
      <c r="D808" t="s">
        <v>7</v>
      </c>
      <c r="E808">
        <v>16004474</v>
      </c>
      <c r="F808" s="2">
        <v>3532374</v>
      </c>
      <c r="G808" s="2">
        <v>801797</v>
      </c>
      <c r="H808">
        <v>30</v>
      </c>
      <c r="I808" s="1">
        <v>42509</v>
      </c>
      <c r="J808" t="s">
        <v>6</v>
      </c>
      <c r="K808">
        <f>COUNTIFS(GESTIONES!$A:$A, BASE_CUENTAS!$A808, GESTIONES!$B:$B, BASE_CUENTAS!$C808)</f>
        <v>3</v>
      </c>
      <c r="L808">
        <f>COUNTIFS(GESTIONES!$A:$A, BASE_CUENTAS!$A808,GESTIONES!$B:$B, BASE_CUENTAS!$C808,GESTIONES!$E:$E, "S")</f>
        <v>0</v>
      </c>
      <c r="M808">
        <f>COUNTIFS(GESTIONES!$A:$A, BASE_CUENTAS!$A808,GESTIONES!$B:$B, BASE_CUENTAS!$C808,GESTIONES!$E:$E, "N")</f>
        <v>3</v>
      </c>
      <c r="N808">
        <f>COUNTIFS(GESTIONES!$A:$A, BASE_CUENTAS!$A808,GESTIONES!$B:$B, BASE_CUENTAS!$C808,GESTIONES!$D:$D, "SMS")</f>
        <v>1</v>
      </c>
      <c r="O808">
        <f>SUMIFS(PAGOS!$D:$D,PAGOS!$A:$A, BASE_CUENTAS!$A808,PAGOS!$B:$B, BASE_CUENTAS!$C808)</f>
        <v>0</v>
      </c>
      <c r="P808" t="str">
        <f>IF(
VLOOKUP($C808,BASE_CIERRE_MES!$C:$G,5,FALSE)=0,
"Normalización",
IF(
VLOOKUP($C808,BASE_CIERRE_MES!$C:$G,5,FALSE)&lt;$H808,
"Recuperación",
IF(
VLOOKUP($C808,BASE_CIERRE_MES!$C:$G,5,FALSE)=$H808,
"Contención",
"Rodamiento"
)))</f>
        <v>Rodamiento</v>
      </c>
      <c r="Q808">
        <f t="shared" si="12"/>
        <v>0</v>
      </c>
    </row>
    <row r="809" spans="1:17" x14ac:dyDescent="0.25">
      <c r="A809">
        <v>8492200</v>
      </c>
      <c r="B809" t="s">
        <v>16</v>
      </c>
      <c r="C809">
        <v>28216922</v>
      </c>
      <c r="D809" t="s">
        <v>12</v>
      </c>
      <c r="E809">
        <v>16004474</v>
      </c>
      <c r="F809" s="2">
        <v>1378622</v>
      </c>
      <c r="G809" s="2">
        <v>72793</v>
      </c>
      <c r="H809">
        <v>24</v>
      </c>
      <c r="I809" s="1">
        <v>42508</v>
      </c>
      <c r="J809" t="s">
        <v>6</v>
      </c>
      <c r="K809">
        <f>COUNTIFS(GESTIONES!$A:$A, BASE_CUENTAS!$A809, GESTIONES!$B:$B, BASE_CUENTAS!$C809)</f>
        <v>3</v>
      </c>
      <c r="L809">
        <f>COUNTIFS(GESTIONES!$A:$A, BASE_CUENTAS!$A809,GESTIONES!$B:$B, BASE_CUENTAS!$C809,GESTIONES!$E:$E, "S")</f>
        <v>1</v>
      </c>
      <c r="M809">
        <f>COUNTIFS(GESTIONES!$A:$A, BASE_CUENTAS!$A809,GESTIONES!$B:$B, BASE_CUENTAS!$C809,GESTIONES!$E:$E, "N")</f>
        <v>2</v>
      </c>
      <c r="N809">
        <f>COUNTIFS(GESTIONES!$A:$A, BASE_CUENTAS!$A809,GESTIONES!$B:$B, BASE_CUENTAS!$C809,GESTIONES!$D:$D, "SMS")</f>
        <v>2</v>
      </c>
      <c r="O809">
        <f>SUMIFS(PAGOS!$D:$D,PAGOS!$A:$A, BASE_CUENTAS!$A809,PAGOS!$B:$B, BASE_CUENTAS!$C809)</f>
        <v>72793</v>
      </c>
      <c r="P809" t="str">
        <f>IF(
VLOOKUP($C809,BASE_CIERRE_MES!$C:$G,5,FALSE)=0,
"Normalización",
IF(
VLOOKUP($C809,BASE_CIERRE_MES!$C:$G,5,FALSE)&lt;$H809,
"Recuperación",
IF(
VLOOKUP($C809,BASE_CIERRE_MES!$C:$G,5,FALSE)=$H809,
"Contención",
"Rodamiento"
)))</f>
        <v>Normalización</v>
      </c>
      <c r="Q809">
        <f t="shared" si="12"/>
        <v>5.2801275476526563E-2</v>
      </c>
    </row>
    <row r="810" spans="1:17" x14ac:dyDescent="0.25">
      <c r="A810">
        <v>8492224</v>
      </c>
      <c r="B810" t="s">
        <v>17</v>
      </c>
      <c r="C810">
        <v>24128447</v>
      </c>
      <c r="D810" t="s">
        <v>7</v>
      </c>
      <c r="E810">
        <v>6499600</v>
      </c>
      <c r="F810" s="2">
        <v>657017</v>
      </c>
      <c r="G810" s="2">
        <v>657017</v>
      </c>
      <c r="H810">
        <v>150</v>
      </c>
      <c r="I810" s="1">
        <v>42509</v>
      </c>
      <c r="J810" t="s">
        <v>5</v>
      </c>
      <c r="K810">
        <f>COUNTIFS(GESTIONES!$A:$A, BASE_CUENTAS!$A810, GESTIONES!$B:$B, BASE_CUENTAS!$C810)</f>
        <v>3</v>
      </c>
      <c r="L810">
        <f>COUNTIFS(GESTIONES!$A:$A, BASE_CUENTAS!$A810,GESTIONES!$B:$B, BASE_CUENTAS!$C810,GESTIONES!$E:$E, "S")</f>
        <v>1</v>
      </c>
      <c r="M810">
        <f>COUNTIFS(GESTIONES!$A:$A, BASE_CUENTAS!$A810,GESTIONES!$B:$B, BASE_CUENTAS!$C810,GESTIONES!$E:$E, "N")</f>
        <v>2</v>
      </c>
      <c r="N810">
        <f>COUNTIFS(GESTIONES!$A:$A, BASE_CUENTAS!$A810,GESTIONES!$B:$B, BASE_CUENTAS!$C810,GESTIONES!$D:$D, "SMS")</f>
        <v>0</v>
      </c>
      <c r="O810">
        <f>SUMIFS(PAGOS!$D:$D,PAGOS!$A:$A, BASE_CUENTAS!$A810,PAGOS!$B:$B, BASE_CUENTAS!$C810)</f>
        <v>328509</v>
      </c>
      <c r="P810" t="str">
        <f>IF(
VLOOKUP($C810,BASE_CIERRE_MES!$C:$G,5,FALSE)=0,
"Normalización",
IF(
VLOOKUP($C810,BASE_CIERRE_MES!$C:$G,5,FALSE)&lt;$H810,
"Recuperación",
IF(
VLOOKUP($C810,BASE_CIERRE_MES!$C:$G,5,FALSE)=$H810,
"Contención",
"Rodamiento"
)))</f>
        <v>Recuperación</v>
      </c>
      <c r="Q810">
        <f t="shared" si="12"/>
        <v>0.50000076101531621</v>
      </c>
    </row>
    <row r="811" spans="1:17" x14ac:dyDescent="0.25">
      <c r="A811">
        <v>8492224</v>
      </c>
      <c r="B811" t="s">
        <v>17</v>
      </c>
      <c r="C811">
        <v>25908299</v>
      </c>
      <c r="D811" t="s">
        <v>9</v>
      </c>
      <c r="E811">
        <v>6499600</v>
      </c>
      <c r="F811" s="2">
        <v>5842583</v>
      </c>
      <c r="G811" s="2">
        <v>1148439</v>
      </c>
      <c r="H811">
        <v>205</v>
      </c>
      <c r="I811" s="1">
        <v>42446</v>
      </c>
      <c r="J811" t="s">
        <v>5</v>
      </c>
      <c r="K811">
        <f>COUNTIFS(GESTIONES!$A:$A, BASE_CUENTAS!$A811, GESTIONES!$B:$B, BASE_CUENTAS!$C811)</f>
        <v>3</v>
      </c>
      <c r="L811">
        <f>COUNTIFS(GESTIONES!$A:$A, BASE_CUENTAS!$A811,GESTIONES!$B:$B, BASE_CUENTAS!$C811,GESTIONES!$E:$E, "S")</f>
        <v>1</v>
      </c>
      <c r="M811">
        <f>COUNTIFS(GESTIONES!$A:$A, BASE_CUENTAS!$A811,GESTIONES!$B:$B, BASE_CUENTAS!$C811,GESTIONES!$E:$E, "N")</f>
        <v>2</v>
      </c>
      <c r="N811">
        <f>COUNTIFS(GESTIONES!$A:$A, BASE_CUENTAS!$A811,GESTIONES!$B:$B, BASE_CUENTAS!$C811,GESTIONES!$D:$D, "SMS")</f>
        <v>0</v>
      </c>
      <c r="O811">
        <f>SUMIFS(PAGOS!$D:$D,PAGOS!$A:$A, BASE_CUENTAS!$A811,PAGOS!$B:$B, BASE_CUENTAS!$C811)</f>
        <v>0</v>
      </c>
      <c r="P811" t="str">
        <f>IF(
VLOOKUP($C811,BASE_CIERRE_MES!$C:$G,5,FALSE)=0,
"Normalización",
IF(
VLOOKUP($C811,BASE_CIERRE_MES!$C:$G,5,FALSE)&lt;$H811,
"Recuperación",
IF(
VLOOKUP($C811,BASE_CIERRE_MES!$C:$G,5,FALSE)=$H811,
"Contención",
"Rodamiento"
)))</f>
        <v>Rodamiento</v>
      </c>
      <c r="Q811">
        <f t="shared" si="12"/>
        <v>0</v>
      </c>
    </row>
    <row r="812" spans="1:17" x14ac:dyDescent="0.25">
      <c r="A812">
        <v>8519022</v>
      </c>
      <c r="B812" t="s">
        <v>18</v>
      </c>
      <c r="C812">
        <v>25194705</v>
      </c>
      <c r="D812" t="s">
        <v>7</v>
      </c>
      <c r="E812">
        <v>346415</v>
      </c>
      <c r="F812" s="2">
        <v>346415</v>
      </c>
      <c r="G812" s="2">
        <v>90884</v>
      </c>
      <c r="H812">
        <v>60</v>
      </c>
      <c r="I812" s="1">
        <v>42451</v>
      </c>
      <c r="J812" t="s">
        <v>6</v>
      </c>
      <c r="K812">
        <f>COUNTIFS(GESTIONES!$A:$A, BASE_CUENTAS!$A812, GESTIONES!$B:$B, BASE_CUENTAS!$C812)</f>
        <v>3</v>
      </c>
      <c r="L812">
        <f>COUNTIFS(GESTIONES!$A:$A, BASE_CUENTAS!$A812,GESTIONES!$B:$B, BASE_CUENTAS!$C812,GESTIONES!$E:$E, "S")</f>
        <v>1</v>
      </c>
      <c r="M812">
        <f>COUNTIFS(GESTIONES!$A:$A, BASE_CUENTAS!$A812,GESTIONES!$B:$B, BASE_CUENTAS!$C812,GESTIONES!$E:$E, "N")</f>
        <v>2</v>
      </c>
      <c r="N812">
        <f>COUNTIFS(GESTIONES!$A:$A, BASE_CUENTAS!$A812,GESTIONES!$B:$B, BASE_CUENTAS!$C812,GESTIONES!$D:$D, "SMS")</f>
        <v>1</v>
      </c>
      <c r="O812">
        <f>SUMIFS(PAGOS!$D:$D,PAGOS!$A:$A, BASE_CUENTAS!$A812,PAGOS!$B:$B, BASE_CUENTAS!$C812)</f>
        <v>0</v>
      </c>
      <c r="P812" t="str">
        <f>IF(
VLOOKUP($C812,BASE_CIERRE_MES!$C:$G,5,FALSE)=0,
"Normalización",
IF(
VLOOKUP($C812,BASE_CIERRE_MES!$C:$G,5,FALSE)&lt;$H812,
"Recuperación",
IF(
VLOOKUP($C812,BASE_CIERRE_MES!$C:$G,5,FALSE)=$H812,
"Contención",
"Rodamiento"
)))</f>
        <v>Rodamiento</v>
      </c>
      <c r="Q812">
        <f t="shared" si="12"/>
        <v>0</v>
      </c>
    </row>
    <row r="813" spans="1:17" x14ac:dyDescent="0.25">
      <c r="A813">
        <v>8519329</v>
      </c>
      <c r="B813" t="s">
        <v>18</v>
      </c>
      <c r="C813">
        <v>27448637</v>
      </c>
      <c r="D813" t="s">
        <v>7</v>
      </c>
      <c r="E813">
        <v>1093270</v>
      </c>
      <c r="F813" s="2">
        <v>1093270</v>
      </c>
      <c r="G813" s="2">
        <v>479836</v>
      </c>
      <c r="H813">
        <v>60</v>
      </c>
      <c r="I813" s="1">
        <v>42491</v>
      </c>
      <c r="J813" t="s">
        <v>6</v>
      </c>
      <c r="K813">
        <f>COUNTIFS(GESTIONES!$A:$A, BASE_CUENTAS!$A813, GESTIONES!$B:$B, BASE_CUENTAS!$C813)</f>
        <v>3</v>
      </c>
      <c r="L813">
        <f>COUNTIFS(GESTIONES!$A:$A, BASE_CUENTAS!$A813,GESTIONES!$B:$B, BASE_CUENTAS!$C813,GESTIONES!$E:$E, "S")</f>
        <v>0</v>
      </c>
      <c r="M813">
        <f>COUNTIFS(GESTIONES!$A:$A, BASE_CUENTAS!$A813,GESTIONES!$B:$B, BASE_CUENTAS!$C813,GESTIONES!$E:$E, "N")</f>
        <v>3</v>
      </c>
      <c r="N813">
        <f>COUNTIFS(GESTIONES!$A:$A, BASE_CUENTAS!$A813,GESTIONES!$B:$B, BASE_CUENTAS!$C813,GESTIONES!$D:$D, "SMS")</f>
        <v>1</v>
      </c>
      <c r="O813">
        <f>SUMIFS(PAGOS!$D:$D,PAGOS!$A:$A, BASE_CUENTAS!$A813,PAGOS!$B:$B, BASE_CUENTAS!$C813)</f>
        <v>479836</v>
      </c>
      <c r="P813" t="str">
        <f>IF(
VLOOKUP($C813,BASE_CIERRE_MES!$C:$G,5,FALSE)=0,
"Normalización",
IF(
VLOOKUP($C813,BASE_CIERRE_MES!$C:$G,5,FALSE)&lt;$H813,
"Recuperación",
IF(
VLOOKUP($C813,BASE_CIERRE_MES!$C:$G,5,FALSE)=$H813,
"Contención",
"Rodamiento"
)))</f>
        <v>Normalización</v>
      </c>
      <c r="Q813">
        <f t="shared" si="12"/>
        <v>0.43889981431851233</v>
      </c>
    </row>
    <row r="814" spans="1:17" x14ac:dyDescent="0.25">
      <c r="A814">
        <v>8519500</v>
      </c>
      <c r="B814" t="s">
        <v>18</v>
      </c>
      <c r="C814">
        <v>16702203</v>
      </c>
      <c r="D814" t="s">
        <v>7</v>
      </c>
      <c r="E814">
        <v>930009</v>
      </c>
      <c r="F814" s="2">
        <v>930009</v>
      </c>
      <c r="G814" s="2">
        <v>125286</v>
      </c>
      <c r="H814">
        <v>30</v>
      </c>
      <c r="I814" s="1">
        <v>42521</v>
      </c>
      <c r="J814" t="s">
        <v>4</v>
      </c>
      <c r="K814">
        <f>COUNTIFS(GESTIONES!$A:$A, BASE_CUENTAS!$A814, GESTIONES!$B:$B, BASE_CUENTAS!$C814)</f>
        <v>3</v>
      </c>
      <c r="L814">
        <f>COUNTIFS(GESTIONES!$A:$A, BASE_CUENTAS!$A814,GESTIONES!$B:$B, BASE_CUENTAS!$C814,GESTIONES!$E:$E, "S")</f>
        <v>1</v>
      </c>
      <c r="M814">
        <f>COUNTIFS(GESTIONES!$A:$A, BASE_CUENTAS!$A814,GESTIONES!$B:$B, BASE_CUENTAS!$C814,GESTIONES!$E:$E, "N")</f>
        <v>2</v>
      </c>
      <c r="N814">
        <f>COUNTIFS(GESTIONES!$A:$A, BASE_CUENTAS!$A814,GESTIONES!$B:$B, BASE_CUENTAS!$C814,GESTIONES!$D:$D, "SMS")</f>
        <v>2</v>
      </c>
      <c r="O814">
        <f>SUMIFS(PAGOS!$D:$D,PAGOS!$A:$A, BASE_CUENTAS!$A814,PAGOS!$B:$B, BASE_CUENTAS!$C814)</f>
        <v>125286</v>
      </c>
      <c r="P814" t="str">
        <f>IF(
VLOOKUP($C814,BASE_CIERRE_MES!$C:$G,5,FALSE)=0,
"Normalización",
IF(
VLOOKUP($C814,BASE_CIERRE_MES!$C:$G,5,FALSE)&lt;$H814,
"Recuperación",
IF(
VLOOKUP($C814,BASE_CIERRE_MES!$C:$G,5,FALSE)=$H814,
"Contención",
"Rodamiento"
)))</f>
        <v>Normalización</v>
      </c>
      <c r="Q814">
        <f t="shared" si="12"/>
        <v>0.13471482534039994</v>
      </c>
    </row>
    <row r="815" spans="1:17" x14ac:dyDescent="0.25">
      <c r="A815">
        <v>8519941</v>
      </c>
      <c r="B815" t="s">
        <v>18</v>
      </c>
      <c r="C815">
        <v>25778601</v>
      </c>
      <c r="D815" t="s">
        <v>7</v>
      </c>
      <c r="E815">
        <v>2636693</v>
      </c>
      <c r="F815" s="2">
        <v>1493494</v>
      </c>
      <c r="G815" s="2">
        <v>132772</v>
      </c>
      <c r="H815">
        <v>30</v>
      </c>
      <c r="I815" s="1">
        <v>42521</v>
      </c>
      <c r="J815" t="s">
        <v>4</v>
      </c>
      <c r="K815">
        <f>COUNTIFS(GESTIONES!$A:$A, BASE_CUENTAS!$A815, GESTIONES!$B:$B, BASE_CUENTAS!$C815)</f>
        <v>3</v>
      </c>
      <c r="L815">
        <f>COUNTIFS(GESTIONES!$A:$A, BASE_CUENTAS!$A815,GESTIONES!$B:$B, BASE_CUENTAS!$C815,GESTIONES!$E:$E, "S")</f>
        <v>1</v>
      </c>
      <c r="M815">
        <f>COUNTIFS(GESTIONES!$A:$A, BASE_CUENTAS!$A815,GESTIONES!$B:$B, BASE_CUENTAS!$C815,GESTIONES!$E:$E, "N")</f>
        <v>2</v>
      </c>
      <c r="N815">
        <f>COUNTIFS(GESTIONES!$A:$A, BASE_CUENTAS!$A815,GESTIONES!$B:$B, BASE_CUENTAS!$C815,GESTIONES!$D:$D, "SMS")</f>
        <v>0</v>
      </c>
      <c r="O815">
        <f>SUMIFS(PAGOS!$D:$D,PAGOS!$A:$A, BASE_CUENTAS!$A815,PAGOS!$B:$B, BASE_CUENTAS!$C815)</f>
        <v>0</v>
      </c>
      <c r="P815" t="str">
        <f>IF(
VLOOKUP($C815,BASE_CIERRE_MES!$C:$G,5,FALSE)=0,
"Normalización",
IF(
VLOOKUP($C815,BASE_CIERRE_MES!$C:$G,5,FALSE)&lt;$H815,
"Recuperación",
IF(
VLOOKUP($C815,BASE_CIERRE_MES!$C:$G,5,FALSE)=$H815,
"Contención",
"Rodamiento"
)))</f>
        <v>Rodamiento</v>
      </c>
      <c r="Q815">
        <f t="shared" si="12"/>
        <v>0</v>
      </c>
    </row>
    <row r="816" spans="1:17" x14ac:dyDescent="0.25">
      <c r="A816">
        <v>8520309</v>
      </c>
      <c r="B816" t="s">
        <v>17</v>
      </c>
      <c r="C816">
        <v>27065353</v>
      </c>
      <c r="D816" t="s">
        <v>7</v>
      </c>
      <c r="E816">
        <v>5307028</v>
      </c>
      <c r="F816" s="2">
        <v>5307028</v>
      </c>
      <c r="G816" s="2">
        <v>5307028</v>
      </c>
      <c r="H816">
        <v>150</v>
      </c>
      <c r="I816" s="1">
        <v>42509</v>
      </c>
      <c r="J816" t="s">
        <v>5</v>
      </c>
      <c r="K816">
        <f>COUNTIFS(GESTIONES!$A:$A, BASE_CUENTAS!$A816, GESTIONES!$B:$B, BASE_CUENTAS!$C816)</f>
        <v>3</v>
      </c>
      <c r="L816">
        <f>COUNTIFS(GESTIONES!$A:$A, BASE_CUENTAS!$A816,GESTIONES!$B:$B, BASE_CUENTAS!$C816,GESTIONES!$E:$E, "S")</f>
        <v>1</v>
      </c>
      <c r="M816">
        <f>COUNTIFS(GESTIONES!$A:$A, BASE_CUENTAS!$A816,GESTIONES!$B:$B, BASE_CUENTAS!$C816,GESTIONES!$E:$E, "N")</f>
        <v>2</v>
      </c>
      <c r="N816">
        <f>COUNTIFS(GESTIONES!$A:$A, BASE_CUENTAS!$A816,GESTIONES!$B:$B, BASE_CUENTAS!$C816,GESTIONES!$D:$D, "SMS")</f>
        <v>0</v>
      </c>
      <c r="O816">
        <f>SUMIFS(PAGOS!$D:$D,PAGOS!$A:$A, BASE_CUENTAS!$A816,PAGOS!$B:$B, BASE_CUENTAS!$C816)</f>
        <v>5307028</v>
      </c>
      <c r="P816" t="str">
        <f>IF(
VLOOKUP($C816,BASE_CIERRE_MES!$C:$G,5,FALSE)=0,
"Normalización",
IF(
VLOOKUP($C816,BASE_CIERRE_MES!$C:$G,5,FALSE)&lt;$H816,
"Recuperación",
IF(
VLOOKUP($C816,BASE_CIERRE_MES!$C:$G,5,FALSE)=$H816,
"Contención",
"Rodamiento"
)))</f>
        <v>Normalización</v>
      </c>
      <c r="Q816">
        <f t="shared" si="12"/>
        <v>1</v>
      </c>
    </row>
    <row r="817" spans="1:17" x14ac:dyDescent="0.25">
      <c r="A817">
        <v>8520480</v>
      </c>
      <c r="B817" t="s">
        <v>18</v>
      </c>
      <c r="C817">
        <v>24357359</v>
      </c>
      <c r="D817" t="s">
        <v>7</v>
      </c>
      <c r="E817">
        <v>1039588</v>
      </c>
      <c r="F817" s="2">
        <v>1039588</v>
      </c>
      <c r="G817" s="2">
        <v>415119</v>
      </c>
      <c r="H817">
        <v>90</v>
      </c>
      <c r="I817" s="1">
        <v>42508</v>
      </c>
      <c r="J817" t="s">
        <v>6</v>
      </c>
      <c r="K817">
        <f>COUNTIFS(GESTIONES!$A:$A, BASE_CUENTAS!$A817, GESTIONES!$B:$B, BASE_CUENTAS!$C817)</f>
        <v>3</v>
      </c>
      <c r="L817">
        <f>COUNTIFS(GESTIONES!$A:$A, BASE_CUENTAS!$A817,GESTIONES!$B:$B, BASE_CUENTAS!$C817,GESTIONES!$E:$E, "S")</f>
        <v>2</v>
      </c>
      <c r="M817">
        <f>COUNTIFS(GESTIONES!$A:$A, BASE_CUENTAS!$A817,GESTIONES!$B:$B, BASE_CUENTAS!$C817,GESTIONES!$E:$E, "N")</f>
        <v>1</v>
      </c>
      <c r="N817">
        <f>COUNTIFS(GESTIONES!$A:$A, BASE_CUENTAS!$A817,GESTIONES!$B:$B, BASE_CUENTAS!$C817,GESTIONES!$D:$D, "SMS")</f>
        <v>1</v>
      </c>
      <c r="O817">
        <f>SUMIFS(PAGOS!$D:$D,PAGOS!$A:$A, BASE_CUENTAS!$A817,PAGOS!$B:$B, BASE_CUENTAS!$C817)</f>
        <v>1039588</v>
      </c>
      <c r="P817" t="str">
        <f>IF(
VLOOKUP($C817,BASE_CIERRE_MES!$C:$G,5,FALSE)=0,
"Normalización",
IF(
VLOOKUP($C817,BASE_CIERRE_MES!$C:$G,5,FALSE)&lt;$H817,
"Recuperación",
IF(
VLOOKUP($C817,BASE_CIERRE_MES!$C:$G,5,FALSE)=$H817,
"Contención",
"Rodamiento"
)))</f>
        <v>Normalización</v>
      </c>
      <c r="Q817">
        <f t="shared" si="12"/>
        <v>1</v>
      </c>
    </row>
    <row r="818" spans="1:17" x14ac:dyDescent="0.25">
      <c r="A818">
        <v>8520783</v>
      </c>
      <c r="B818" t="s">
        <v>18</v>
      </c>
      <c r="C818">
        <v>26404064</v>
      </c>
      <c r="D818" t="s">
        <v>7</v>
      </c>
      <c r="E818">
        <v>2247181</v>
      </c>
      <c r="F818" s="2">
        <v>1085140</v>
      </c>
      <c r="G818" s="2">
        <v>181957</v>
      </c>
      <c r="H818">
        <v>60</v>
      </c>
      <c r="I818" s="1">
        <v>42491</v>
      </c>
      <c r="J818" t="s">
        <v>6</v>
      </c>
      <c r="K818">
        <f>COUNTIFS(GESTIONES!$A:$A, BASE_CUENTAS!$A818, GESTIONES!$B:$B, BASE_CUENTAS!$C818)</f>
        <v>3</v>
      </c>
      <c r="L818">
        <f>COUNTIFS(GESTIONES!$A:$A, BASE_CUENTAS!$A818,GESTIONES!$B:$B, BASE_CUENTAS!$C818,GESTIONES!$E:$E, "S")</f>
        <v>1</v>
      </c>
      <c r="M818">
        <f>COUNTIFS(GESTIONES!$A:$A, BASE_CUENTAS!$A818,GESTIONES!$B:$B, BASE_CUENTAS!$C818,GESTIONES!$E:$E, "N")</f>
        <v>2</v>
      </c>
      <c r="N818">
        <f>COUNTIFS(GESTIONES!$A:$A, BASE_CUENTAS!$A818,GESTIONES!$B:$B, BASE_CUENTAS!$C818,GESTIONES!$D:$D, "SMS")</f>
        <v>0</v>
      </c>
      <c r="O818">
        <f>SUMIFS(PAGOS!$D:$D,PAGOS!$A:$A, BASE_CUENTAS!$A818,PAGOS!$B:$B, BASE_CUENTAS!$C818)</f>
        <v>0</v>
      </c>
      <c r="P818" t="str">
        <f>IF(
VLOOKUP($C818,BASE_CIERRE_MES!$C:$G,5,FALSE)=0,
"Normalización",
IF(
VLOOKUP($C818,BASE_CIERRE_MES!$C:$G,5,FALSE)&lt;$H818,
"Recuperación",
IF(
VLOOKUP($C818,BASE_CIERRE_MES!$C:$G,5,FALSE)=$H818,
"Contención",
"Rodamiento"
)))</f>
        <v>Rodamiento</v>
      </c>
      <c r="Q818">
        <f t="shared" si="12"/>
        <v>0</v>
      </c>
    </row>
    <row r="819" spans="1:17" x14ac:dyDescent="0.25">
      <c r="A819">
        <v>8520783</v>
      </c>
      <c r="B819" t="s">
        <v>18</v>
      </c>
      <c r="C819">
        <v>26405918</v>
      </c>
      <c r="D819" t="s">
        <v>7</v>
      </c>
      <c r="E819">
        <v>2247181</v>
      </c>
      <c r="F819" s="2">
        <v>1162040</v>
      </c>
      <c r="G819" s="2">
        <v>191805</v>
      </c>
      <c r="H819">
        <v>60</v>
      </c>
      <c r="I819" s="1">
        <v>42491</v>
      </c>
      <c r="J819" t="s">
        <v>6</v>
      </c>
      <c r="K819">
        <f>COUNTIFS(GESTIONES!$A:$A, BASE_CUENTAS!$A819, GESTIONES!$B:$B, BASE_CUENTAS!$C819)</f>
        <v>3</v>
      </c>
      <c r="L819">
        <f>COUNTIFS(GESTIONES!$A:$A, BASE_CUENTAS!$A819,GESTIONES!$B:$B, BASE_CUENTAS!$C819,GESTIONES!$E:$E, "S")</f>
        <v>0</v>
      </c>
      <c r="M819">
        <f>COUNTIFS(GESTIONES!$A:$A, BASE_CUENTAS!$A819,GESTIONES!$B:$B, BASE_CUENTAS!$C819,GESTIONES!$E:$E, "N")</f>
        <v>3</v>
      </c>
      <c r="N819">
        <f>COUNTIFS(GESTIONES!$A:$A, BASE_CUENTAS!$A819,GESTIONES!$B:$B, BASE_CUENTAS!$C819,GESTIONES!$D:$D, "SMS")</f>
        <v>2</v>
      </c>
      <c r="O819">
        <f>SUMIFS(PAGOS!$D:$D,PAGOS!$A:$A, BASE_CUENTAS!$A819,PAGOS!$B:$B, BASE_CUENTAS!$C819)</f>
        <v>0</v>
      </c>
      <c r="P819" t="str">
        <f>IF(
VLOOKUP($C819,BASE_CIERRE_MES!$C:$G,5,FALSE)=0,
"Normalización",
IF(
VLOOKUP($C819,BASE_CIERRE_MES!$C:$G,5,FALSE)&lt;$H819,
"Recuperación",
IF(
VLOOKUP($C819,BASE_CIERRE_MES!$C:$G,5,FALSE)=$H819,
"Contención",
"Rodamiento"
)))</f>
        <v>Rodamiento</v>
      </c>
      <c r="Q819">
        <f t="shared" si="12"/>
        <v>0</v>
      </c>
    </row>
    <row r="820" spans="1:17" x14ac:dyDescent="0.25">
      <c r="A820">
        <v>8520818</v>
      </c>
      <c r="B820" t="s">
        <v>18</v>
      </c>
      <c r="C820">
        <v>25708940</v>
      </c>
      <c r="D820" t="s">
        <v>7</v>
      </c>
      <c r="E820">
        <v>487304</v>
      </c>
      <c r="F820" s="2">
        <v>487304</v>
      </c>
      <c r="G820" s="2">
        <v>487304</v>
      </c>
      <c r="H820">
        <v>300</v>
      </c>
      <c r="I820" s="1">
        <v>42477</v>
      </c>
      <c r="J820" t="s">
        <v>5</v>
      </c>
      <c r="K820">
        <f>COUNTIFS(GESTIONES!$A:$A, BASE_CUENTAS!$A820, GESTIONES!$B:$B, BASE_CUENTAS!$C820)</f>
        <v>3</v>
      </c>
      <c r="L820">
        <f>COUNTIFS(GESTIONES!$A:$A, BASE_CUENTAS!$A820,GESTIONES!$B:$B, BASE_CUENTAS!$C820,GESTIONES!$E:$E, "S")</f>
        <v>1</v>
      </c>
      <c r="M820">
        <f>COUNTIFS(GESTIONES!$A:$A, BASE_CUENTAS!$A820,GESTIONES!$B:$B, BASE_CUENTAS!$C820,GESTIONES!$E:$E, "N")</f>
        <v>2</v>
      </c>
      <c r="N820">
        <f>COUNTIFS(GESTIONES!$A:$A, BASE_CUENTAS!$A820,GESTIONES!$B:$B, BASE_CUENTAS!$C820,GESTIONES!$D:$D, "SMS")</f>
        <v>1</v>
      </c>
      <c r="O820">
        <f>SUMIFS(PAGOS!$D:$D,PAGOS!$A:$A, BASE_CUENTAS!$A820,PAGOS!$B:$B, BASE_CUENTAS!$C820)</f>
        <v>487304</v>
      </c>
      <c r="P820" t="str">
        <f>IF(
VLOOKUP($C820,BASE_CIERRE_MES!$C:$G,5,FALSE)=0,
"Normalización",
IF(
VLOOKUP($C820,BASE_CIERRE_MES!$C:$G,5,FALSE)&lt;$H820,
"Recuperación",
IF(
VLOOKUP($C820,BASE_CIERRE_MES!$C:$G,5,FALSE)=$H820,
"Contención",
"Rodamiento"
)))</f>
        <v>Normalización</v>
      </c>
      <c r="Q820">
        <f t="shared" si="12"/>
        <v>1</v>
      </c>
    </row>
    <row r="821" spans="1:17" x14ac:dyDescent="0.25">
      <c r="A821">
        <v>8520919</v>
      </c>
      <c r="B821" t="s">
        <v>18</v>
      </c>
      <c r="C821">
        <v>26329105</v>
      </c>
      <c r="D821" t="s">
        <v>7</v>
      </c>
      <c r="E821">
        <v>664199</v>
      </c>
      <c r="F821" s="2">
        <v>654435</v>
      </c>
      <c r="G821" s="2">
        <v>35765</v>
      </c>
      <c r="H821">
        <v>30</v>
      </c>
      <c r="I821" s="1">
        <v>42521</v>
      </c>
      <c r="J821" t="s">
        <v>4</v>
      </c>
      <c r="K821">
        <f>COUNTIFS(GESTIONES!$A:$A, BASE_CUENTAS!$A821, GESTIONES!$B:$B, BASE_CUENTAS!$C821)</f>
        <v>3</v>
      </c>
      <c r="L821">
        <f>COUNTIFS(GESTIONES!$A:$A, BASE_CUENTAS!$A821,GESTIONES!$B:$B, BASE_CUENTAS!$C821,GESTIONES!$E:$E, "S")</f>
        <v>1</v>
      </c>
      <c r="M821">
        <f>COUNTIFS(GESTIONES!$A:$A, BASE_CUENTAS!$A821,GESTIONES!$B:$B, BASE_CUENTAS!$C821,GESTIONES!$E:$E, "N")</f>
        <v>2</v>
      </c>
      <c r="N821">
        <f>COUNTIFS(GESTIONES!$A:$A, BASE_CUENTAS!$A821,GESTIONES!$B:$B, BASE_CUENTAS!$C821,GESTIONES!$D:$D, "SMS")</f>
        <v>0</v>
      </c>
      <c r="O821">
        <f>SUMIFS(PAGOS!$D:$D,PAGOS!$A:$A, BASE_CUENTAS!$A821,PAGOS!$B:$B, BASE_CUENTAS!$C821)</f>
        <v>0</v>
      </c>
      <c r="P821" t="str">
        <f>IF(
VLOOKUP($C821,BASE_CIERRE_MES!$C:$G,5,FALSE)=0,
"Normalización",
IF(
VLOOKUP($C821,BASE_CIERRE_MES!$C:$G,5,FALSE)&lt;$H821,
"Recuperación",
IF(
VLOOKUP($C821,BASE_CIERRE_MES!$C:$G,5,FALSE)=$H821,
"Contención",
"Rodamiento"
)))</f>
        <v>Rodamiento</v>
      </c>
      <c r="Q821">
        <f t="shared" si="12"/>
        <v>0</v>
      </c>
    </row>
    <row r="822" spans="1:17" x14ac:dyDescent="0.25">
      <c r="A822">
        <v>8521432</v>
      </c>
      <c r="B822" t="s">
        <v>17</v>
      </c>
      <c r="C822">
        <v>25258052</v>
      </c>
      <c r="D822" t="s">
        <v>7</v>
      </c>
      <c r="E822">
        <v>3829236</v>
      </c>
      <c r="F822" s="2">
        <v>1815974</v>
      </c>
      <c r="G822" s="2">
        <v>126587</v>
      </c>
      <c r="H822">
        <v>30</v>
      </c>
      <c r="I822" s="1">
        <v>42521</v>
      </c>
      <c r="J822" t="s">
        <v>4</v>
      </c>
      <c r="K822">
        <f>COUNTIFS(GESTIONES!$A:$A, BASE_CUENTAS!$A822, GESTIONES!$B:$B, BASE_CUENTAS!$C822)</f>
        <v>3</v>
      </c>
      <c r="L822">
        <f>COUNTIFS(GESTIONES!$A:$A, BASE_CUENTAS!$A822,GESTIONES!$B:$B, BASE_CUENTAS!$C822,GESTIONES!$E:$E, "S")</f>
        <v>1</v>
      </c>
      <c r="M822">
        <f>COUNTIFS(GESTIONES!$A:$A, BASE_CUENTAS!$A822,GESTIONES!$B:$B, BASE_CUENTAS!$C822,GESTIONES!$E:$E, "N")</f>
        <v>2</v>
      </c>
      <c r="N822">
        <f>COUNTIFS(GESTIONES!$A:$A, BASE_CUENTAS!$A822,GESTIONES!$B:$B, BASE_CUENTAS!$C822,GESTIONES!$D:$D, "SMS")</f>
        <v>1</v>
      </c>
      <c r="O822">
        <f>SUMIFS(PAGOS!$D:$D,PAGOS!$A:$A, BASE_CUENTAS!$A822,PAGOS!$B:$B, BASE_CUENTAS!$C822)</f>
        <v>126587</v>
      </c>
      <c r="P822" t="str">
        <f>IF(
VLOOKUP($C822,BASE_CIERRE_MES!$C:$G,5,FALSE)=0,
"Normalización",
IF(
VLOOKUP($C822,BASE_CIERRE_MES!$C:$G,5,FALSE)&lt;$H822,
"Recuperación",
IF(
VLOOKUP($C822,BASE_CIERRE_MES!$C:$G,5,FALSE)=$H822,
"Contención",
"Rodamiento"
)))</f>
        <v>Normalización</v>
      </c>
      <c r="Q822">
        <f t="shared" si="12"/>
        <v>6.9707495812164705E-2</v>
      </c>
    </row>
    <row r="823" spans="1:17" x14ac:dyDescent="0.25">
      <c r="A823">
        <v>8521432</v>
      </c>
      <c r="B823" t="s">
        <v>17</v>
      </c>
      <c r="C823">
        <v>25260267</v>
      </c>
      <c r="D823" t="s">
        <v>7</v>
      </c>
      <c r="E823">
        <v>3829236</v>
      </c>
      <c r="F823" s="2">
        <v>2013262</v>
      </c>
      <c r="G823" s="2">
        <v>136932</v>
      </c>
      <c r="H823">
        <v>30</v>
      </c>
      <c r="I823" s="1">
        <v>42521</v>
      </c>
      <c r="J823" t="s">
        <v>4</v>
      </c>
      <c r="K823">
        <f>COUNTIFS(GESTIONES!$A:$A, BASE_CUENTAS!$A823, GESTIONES!$B:$B, BASE_CUENTAS!$C823)</f>
        <v>3</v>
      </c>
      <c r="L823">
        <f>COUNTIFS(GESTIONES!$A:$A, BASE_CUENTAS!$A823,GESTIONES!$B:$B, BASE_CUENTAS!$C823,GESTIONES!$E:$E, "S")</f>
        <v>1</v>
      </c>
      <c r="M823">
        <f>COUNTIFS(GESTIONES!$A:$A, BASE_CUENTAS!$A823,GESTIONES!$B:$B, BASE_CUENTAS!$C823,GESTIONES!$E:$E, "N")</f>
        <v>2</v>
      </c>
      <c r="N823">
        <f>COUNTIFS(GESTIONES!$A:$A, BASE_CUENTAS!$A823,GESTIONES!$B:$B, BASE_CUENTAS!$C823,GESTIONES!$D:$D, "SMS")</f>
        <v>0</v>
      </c>
      <c r="O823">
        <f>SUMIFS(PAGOS!$D:$D,PAGOS!$A:$A, BASE_CUENTAS!$A823,PAGOS!$B:$B, BASE_CUENTAS!$C823)</f>
        <v>68466</v>
      </c>
      <c r="P823" t="str">
        <f>IF(
VLOOKUP($C823,BASE_CIERRE_MES!$C:$G,5,FALSE)=0,
"Normalización",
IF(
VLOOKUP($C823,BASE_CIERRE_MES!$C:$G,5,FALSE)&lt;$H823,
"Recuperación",
IF(
VLOOKUP($C823,BASE_CIERRE_MES!$C:$G,5,FALSE)=$H823,
"Contención",
"Rodamiento"
)))</f>
        <v>Recuperación</v>
      </c>
      <c r="Q823">
        <f t="shared" si="12"/>
        <v>3.4007496292087172E-2</v>
      </c>
    </row>
    <row r="824" spans="1:17" x14ac:dyDescent="0.25">
      <c r="A824">
        <v>8521919</v>
      </c>
      <c r="B824" t="s">
        <v>18</v>
      </c>
      <c r="C824">
        <v>16760544</v>
      </c>
      <c r="D824" t="s">
        <v>7</v>
      </c>
      <c r="E824">
        <v>1412434</v>
      </c>
      <c r="F824" s="2">
        <v>1412434</v>
      </c>
      <c r="G824" s="2">
        <v>311979</v>
      </c>
      <c r="H824">
        <v>60</v>
      </c>
      <c r="I824" s="1">
        <v>42481</v>
      </c>
      <c r="J824" t="s">
        <v>6</v>
      </c>
      <c r="K824">
        <f>COUNTIFS(GESTIONES!$A:$A, BASE_CUENTAS!$A824, GESTIONES!$B:$B, BASE_CUENTAS!$C824)</f>
        <v>3</v>
      </c>
      <c r="L824">
        <f>COUNTIFS(GESTIONES!$A:$A, BASE_CUENTAS!$A824,GESTIONES!$B:$B, BASE_CUENTAS!$C824,GESTIONES!$E:$E, "S")</f>
        <v>0</v>
      </c>
      <c r="M824">
        <f>COUNTIFS(GESTIONES!$A:$A, BASE_CUENTAS!$A824,GESTIONES!$B:$B, BASE_CUENTAS!$C824,GESTIONES!$E:$E, "N")</f>
        <v>3</v>
      </c>
      <c r="N824">
        <f>COUNTIFS(GESTIONES!$A:$A, BASE_CUENTAS!$A824,GESTIONES!$B:$B, BASE_CUENTAS!$C824,GESTIONES!$D:$D, "SMS")</f>
        <v>2</v>
      </c>
      <c r="O824">
        <f>SUMIFS(PAGOS!$D:$D,PAGOS!$A:$A, BASE_CUENTAS!$A824,PAGOS!$B:$B, BASE_CUENTAS!$C824)</f>
        <v>0</v>
      </c>
      <c r="P824" t="str">
        <f>IF(
VLOOKUP($C824,BASE_CIERRE_MES!$C:$G,5,FALSE)=0,
"Normalización",
IF(
VLOOKUP($C824,BASE_CIERRE_MES!$C:$G,5,FALSE)&lt;$H824,
"Recuperación",
IF(
VLOOKUP($C824,BASE_CIERRE_MES!$C:$G,5,FALSE)=$H824,
"Contención",
"Rodamiento"
)))</f>
        <v>Rodamiento</v>
      </c>
      <c r="Q824">
        <f t="shared" si="12"/>
        <v>0</v>
      </c>
    </row>
    <row r="825" spans="1:17" x14ac:dyDescent="0.25">
      <c r="A825">
        <v>8521961</v>
      </c>
      <c r="B825" t="s">
        <v>18</v>
      </c>
      <c r="C825">
        <v>20568876</v>
      </c>
      <c r="D825" t="s">
        <v>7</v>
      </c>
      <c r="E825">
        <v>1166923</v>
      </c>
      <c r="F825" s="2">
        <v>1166923</v>
      </c>
      <c r="G825" s="2">
        <v>185787</v>
      </c>
      <c r="H825">
        <v>30</v>
      </c>
      <c r="I825" s="1">
        <v>42508</v>
      </c>
      <c r="J825" t="s">
        <v>6</v>
      </c>
      <c r="K825">
        <f>COUNTIFS(GESTIONES!$A:$A, BASE_CUENTAS!$A825, GESTIONES!$B:$B, BASE_CUENTAS!$C825)</f>
        <v>3</v>
      </c>
      <c r="L825">
        <f>COUNTIFS(GESTIONES!$A:$A, BASE_CUENTAS!$A825,GESTIONES!$B:$B, BASE_CUENTAS!$C825,GESTIONES!$E:$E, "S")</f>
        <v>1</v>
      </c>
      <c r="M825">
        <f>COUNTIFS(GESTIONES!$A:$A, BASE_CUENTAS!$A825,GESTIONES!$B:$B, BASE_CUENTAS!$C825,GESTIONES!$E:$E, "N")</f>
        <v>2</v>
      </c>
      <c r="N825">
        <f>COUNTIFS(GESTIONES!$A:$A, BASE_CUENTAS!$A825,GESTIONES!$B:$B, BASE_CUENTAS!$C825,GESTIONES!$D:$D, "SMS")</f>
        <v>1</v>
      </c>
      <c r="O825">
        <f>SUMIFS(PAGOS!$D:$D,PAGOS!$A:$A, BASE_CUENTAS!$A825,PAGOS!$B:$B, BASE_CUENTAS!$C825)</f>
        <v>92894</v>
      </c>
      <c r="P825" t="str">
        <f>IF(
VLOOKUP($C825,BASE_CIERRE_MES!$C:$G,5,FALSE)=0,
"Normalización",
IF(
VLOOKUP($C825,BASE_CIERRE_MES!$C:$G,5,FALSE)&lt;$H825,
"Recuperación",
IF(
VLOOKUP($C825,BASE_CIERRE_MES!$C:$G,5,FALSE)=$H825,
"Contención",
"Rodamiento"
)))</f>
        <v>Recuperación</v>
      </c>
      <c r="Q825">
        <f t="shared" si="12"/>
        <v>7.9605938009620167E-2</v>
      </c>
    </row>
    <row r="826" spans="1:17" x14ac:dyDescent="0.25">
      <c r="A826">
        <v>8522254</v>
      </c>
      <c r="B826" t="s">
        <v>18</v>
      </c>
      <c r="C826">
        <v>23993880</v>
      </c>
      <c r="D826" t="s">
        <v>7</v>
      </c>
      <c r="E826">
        <v>2872894</v>
      </c>
      <c r="F826" s="2">
        <v>1374185</v>
      </c>
      <c r="G826" s="2">
        <v>149872</v>
      </c>
      <c r="H826">
        <v>30</v>
      </c>
      <c r="I826" s="1">
        <v>42521</v>
      </c>
      <c r="J826" t="s">
        <v>4</v>
      </c>
      <c r="K826">
        <f>COUNTIFS(GESTIONES!$A:$A, BASE_CUENTAS!$A826, GESTIONES!$B:$B, BASE_CUENTAS!$C826)</f>
        <v>3</v>
      </c>
      <c r="L826">
        <f>COUNTIFS(GESTIONES!$A:$A, BASE_CUENTAS!$A826,GESTIONES!$B:$B, BASE_CUENTAS!$C826,GESTIONES!$E:$E, "S")</f>
        <v>1</v>
      </c>
      <c r="M826">
        <f>COUNTIFS(GESTIONES!$A:$A, BASE_CUENTAS!$A826,GESTIONES!$B:$B, BASE_CUENTAS!$C826,GESTIONES!$E:$E, "N")</f>
        <v>2</v>
      </c>
      <c r="N826">
        <f>COUNTIFS(GESTIONES!$A:$A, BASE_CUENTAS!$A826,GESTIONES!$B:$B, BASE_CUENTAS!$C826,GESTIONES!$D:$D, "SMS")</f>
        <v>0</v>
      </c>
      <c r="O826">
        <f>SUMIFS(PAGOS!$D:$D,PAGOS!$A:$A, BASE_CUENTAS!$A826,PAGOS!$B:$B, BASE_CUENTAS!$C826)</f>
        <v>0</v>
      </c>
      <c r="P826" t="str">
        <f>IF(
VLOOKUP($C826,BASE_CIERRE_MES!$C:$G,5,FALSE)=0,
"Normalización",
IF(
VLOOKUP($C826,BASE_CIERRE_MES!$C:$G,5,FALSE)&lt;$H826,
"Recuperación",
IF(
VLOOKUP($C826,BASE_CIERRE_MES!$C:$G,5,FALSE)=$H826,
"Contención",
"Rodamiento"
)))</f>
        <v>Rodamiento</v>
      </c>
      <c r="Q826">
        <f t="shared" si="12"/>
        <v>0</v>
      </c>
    </row>
    <row r="827" spans="1:17" x14ac:dyDescent="0.25">
      <c r="A827">
        <v>8522309</v>
      </c>
      <c r="B827" t="s">
        <v>16</v>
      </c>
      <c r="C827">
        <v>27443938</v>
      </c>
      <c r="D827" t="s">
        <v>7</v>
      </c>
      <c r="E827">
        <v>24909304</v>
      </c>
      <c r="F827" s="2">
        <v>2814164</v>
      </c>
      <c r="G827" s="2">
        <v>204711</v>
      </c>
      <c r="H827">
        <v>30</v>
      </c>
      <c r="I827" s="1">
        <v>42521</v>
      </c>
      <c r="J827" t="s">
        <v>4</v>
      </c>
      <c r="K827">
        <f>COUNTIFS(GESTIONES!$A:$A, BASE_CUENTAS!$A827, GESTIONES!$B:$B, BASE_CUENTAS!$C827)</f>
        <v>3</v>
      </c>
      <c r="L827">
        <f>COUNTIFS(GESTIONES!$A:$A, BASE_CUENTAS!$A827,GESTIONES!$B:$B, BASE_CUENTAS!$C827,GESTIONES!$E:$E, "S")</f>
        <v>1</v>
      </c>
      <c r="M827">
        <f>COUNTIFS(GESTIONES!$A:$A, BASE_CUENTAS!$A827,GESTIONES!$B:$B, BASE_CUENTAS!$C827,GESTIONES!$E:$E, "N")</f>
        <v>2</v>
      </c>
      <c r="N827">
        <f>COUNTIFS(GESTIONES!$A:$A, BASE_CUENTAS!$A827,GESTIONES!$B:$B, BASE_CUENTAS!$C827,GESTIONES!$D:$D, "SMS")</f>
        <v>1</v>
      </c>
      <c r="O827">
        <f>SUMIFS(PAGOS!$D:$D,PAGOS!$A:$A, BASE_CUENTAS!$A827,PAGOS!$B:$B, BASE_CUENTAS!$C827)</f>
        <v>0</v>
      </c>
      <c r="P827" t="str">
        <f>IF(
VLOOKUP($C827,BASE_CIERRE_MES!$C:$G,5,FALSE)=0,
"Normalización",
IF(
VLOOKUP($C827,BASE_CIERRE_MES!$C:$G,5,FALSE)&lt;$H827,
"Recuperación",
IF(
VLOOKUP($C827,BASE_CIERRE_MES!$C:$G,5,FALSE)=$H827,
"Contención",
"Rodamiento"
)))</f>
        <v>Rodamiento</v>
      </c>
      <c r="Q827">
        <f t="shared" si="12"/>
        <v>0</v>
      </c>
    </row>
    <row r="828" spans="1:17" x14ac:dyDescent="0.25">
      <c r="A828">
        <v>8522309</v>
      </c>
      <c r="B828" t="s">
        <v>16</v>
      </c>
      <c r="C828">
        <v>27447199</v>
      </c>
      <c r="D828" t="s">
        <v>7</v>
      </c>
      <c r="E828">
        <v>24909304</v>
      </c>
      <c r="F828" s="2">
        <v>3018713</v>
      </c>
      <c r="G828" s="2">
        <v>226270</v>
      </c>
      <c r="H828">
        <v>30</v>
      </c>
      <c r="I828" s="1">
        <v>42521</v>
      </c>
      <c r="J828" t="s">
        <v>4</v>
      </c>
      <c r="K828">
        <f>COUNTIFS(GESTIONES!$A:$A, BASE_CUENTAS!$A828, GESTIONES!$B:$B, BASE_CUENTAS!$C828)</f>
        <v>3</v>
      </c>
      <c r="L828">
        <f>COUNTIFS(GESTIONES!$A:$A, BASE_CUENTAS!$A828,GESTIONES!$B:$B, BASE_CUENTAS!$C828,GESTIONES!$E:$E, "S")</f>
        <v>1</v>
      </c>
      <c r="M828">
        <f>COUNTIFS(GESTIONES!$A:$A, BASE_CUENTAS!$A828,GESTIONES!$B:$B, BASE_CUENTAS!$C828,GESTIONES!$E:$E, "N")</f>
        <v>2</v>
      </c>
      <c r="N828">
        <f>COUNTIFS(GESTIONES!$A:$A, BASE_CUENTAS!$A828,GESTIONES!$B:$B, BASE_CUENTAS!$C828,GESTIONES!$D:$D, "SMS")</f>
        <v>0</v>
      </c>
      <c r="O828">
        <f>SUMIFS(PAGOS!$D:$D,PAGOS!$A:$A, BASE_CUENTAS!$A828,PAGOS!$B:$B, BASE_CUENTAS!$C828)</f>
        <v>226270</v>
      </c>
      <c r="P828" t="str">
        <f>IF(
VLOOKUP($C828,BASE_CIERRE_MES!$C:$G,5,FALSE)=0,
"Normalización",
IF(
VLOOKUP($C828,BASE_CIERRE_MES!$C:$G,5,FALSE)&lt;$H828,
"Recuperación",
IF(
VLOOKUP($C828,BASE_CIERRE_MES!$C:$G,5,FALSE)=$H828,
"Contención",
"Rodamiento"
)))</f>
        <v>Normalización</v>
      </c>
      <c r="Q828">
        <f t="shared" si="12"/>
        <v>7.4955784137147194E-2</v>
      </c>
    </row>
    <row r="829" spans="1:17" x14ac:dyDescent="0.25">
      <c r="A829">
        <v>8522309</v>
      </c>
      <c r="B829" t="s">
        <v>16</v>
      </c>
      <c r="C829">
        <v>27626239</v>
      </c>
      <c r="D829" t="s">
        <v>11</v>
      </c>
      <c r="E829">
        <v>24909304</v>
      </c>
      <c r="F829" s="2">
        <v>19076426</v>
      </c>
      <c r="G829" s="2">
        <v>488276</v>
      </c>
      <c r="H829">
        <v>29</v>
      </c>
      <c r="I829" s="1">
        <v>42522</v>
      </c>
      <c r="J829" t="s">
        <v>4</v>
      </c>
      <c r="K829">
        <f>COUNTIFS(GESTIONES!$A:$A, BASE_CUENTAS!$A829, GESTIONES!$B:$B, BASE_CUENTAS!$C829)</f>
        <v>3</v>
      </c>
      <c r="L829">
        <f>COUNTIFS(GESTIONES!$A:$A, BASE_CUENTAS!$A829,GESTIONES!$B:$B, BASE_CUENTAS!$C829,GESTIONES!$E:$E, "S")</f>
        <v>0</v>
      </c>
      <c r="M829">
        <f>COUNTIFS(GESTIONES!$A:$A, BASE_CUENTAS!$A829,GESTIONES!$B:$B, BASE_CUENTAS!$C829,GESTIONES!$E:$E, "N")</f>
        <v>3</v>
      </c>
      <c r="N829">
        <f>COUNTIFS(GESTIONES!$A:$A, BASE_CUENTAS!$A829,GESTIONES!$B:$B, BASE_CUENTAS!$C829,GESTIONES!$D:$D, "SMS")</f>
        <v>2</v>
      </c>
      <c r="O829">
        <f>SUMIFS(PAGOS!$D:$D,PAGOS!$A:$A, BASE_CUENTAS!$A829,PAGOS!$B:$B, BASE_CUENTAS!$C829)</f>
        <v>0</v>
      </c>
      <c r="P829" t="str">
        <f>IF(
VLOOKUP($C829,BASE_CIERRE_MES!$C:$G,5,FALSE)=0,
"Normalización",
IF(
VLOOKUP($C829,BASE_CIERRE_MES!$C:$G,5,FALSE)&lt;$H829,
"Recuperación",
IF(
VLOOKUP($C829,BASE_CIERRE_MES!$C:$G,5,FALSE)=$H829,
"Contención",
"Rodamiento"
)))</f>
        <v>Rodamiento</v>
      </c>
      <c r="Q829">
        <f t="shared" si="12"/>
        <v>0</v>
      </c>
    </row>
    <row r="830" spans="1:17" x14ac:dyDescent="0.25">
      <c r="A830">
        <v>8522458</v>
      </c>
      <c r="B830" t="s">
        <v>18</v>
      </c>
      <c r="C830">
        <v>21683437</v>
      </c>
      <c r="D830" t="s">
        <v>7</v>
      </c>
      <c r="E830">
        <v>359292</v>
      </c>
      <c r="F830" s="2">
        <v>358062</v>
      </c>
      <c r="G830" s="2">
        <v>94270</v>
      </c>
      <c r="H830">
        <v>90</v>
      </c>
      <c r="I830" s="1">
        <v>42508</v>
      </c>
      <c r="J830" t="s">
        <v>6</v>
      </c>
      <c r="K830">
        <f>COUNTIFS(GESTIONES!$A:$A, BASE_CUENTAS!$A830, GESTIONES!$B:$B, BASE_CUENTAS!$C830)</f>
        <v>3</v>
      </c>
      <c r="L830">
        <f>COUNTIFS(GESTIONES!$A:$A, BASE_CUENTAS!$A830,GESTIONES!$B:$B, BASE_CUENTAS!$C830,GESTIONES!$E:$E, "S")</f>
        <v>1</v>
      </c>
      <c r="M830">
        <f>COUNTIFS(GESTIONES!$A:$A, BASE_CUENTAS!$A830,GESTIONES!$B:$B, BASE_CUENTAS!$C830,GESTIONES!$E:$E, "N")</f>
        <v>2</v>
      </c>
      <c r="N830">
        <f>COUNTIFS(GESTIONES!$A:$A, BASE_CUENTAS!$A830,GESTIONES!$B:$B, BASE_CUENTAS!$C830,GESTIONES!$D:$D, "SMS")</f>
        <v>1</v>
      </c>
      <c r="O830">
        <f>SUMIFS(PAGOS!$D:$D,PAGOS!$A:$A, BASE_CUENTAS!$A830,PAGOS!$B:$B, BASE_CUENTAS!$C830)</f>
        <v>0</v>
      </c>
      <c r="P830" t="str">
        <f>IF(
VLOOKUP($C830,BASE_CIERRE_MES!$C:$G,5,FALSE)=0,
"Normalización",
IF(
VLOOKUP($C830,BASE_CIERRE_MES!$C:$G,5,FALSE)&lt;$H830,
"Recuperación",
IF(
VLOOKUP($C830,BASE_CIERRE_MES!$C:$G,5,FALSE)=$H830,
"Contención",
"Rodamiento"
)))</f>
        <v>Rodamiento</v>
      </c>
      <c r="Q830">
        <f t="shared" si="12"/>
        <v>0</v>
      </c>
    </row>
    <row r="831" spans="1:17" x14ac:dyDescent="0.25">
      <c r="A831">
        <v>8522462</v>
      </c>
      <c r="B831" t="s">
        <v>18</v>
      </c>
      <c r="C831">
        <v>26162718</v>
      </c>
      <c r="D831" t="s">
        <v>7</v>
      </c>
      <c r="E831">
        <v>247973</v>
      </c>
      <c r="F831" s="2">
        <v>247973</v>
      </c>
      <c r="G831" s="2">
        <v>48606</v>
      </c>
      <c r="H831">
        <v>30</v>
      </c>
      <c r="I831" s="1">
        <v>42521</v>
      </c>
      <c r="J831" t="s">
        <v>4</v>
      </c>
      <c r="K831">
        <f>COUNTIFS(GESTIONES!$A:$A, BASE_CUENTAS!$A831, GESTIONES!$B:$B, BASE_CUENTAS!$C831)</f>
        <v>3</v>
      </c>
      <c r="L831">
        <f>COUNTIFS(GESTIONES!$A:$A, BASE_CUENTAS!$A831,GESTIONES!$B:$B, BASE_CUENTAS!$C831,GESTIONES!$E:$E, "S")</f>
        <v>1</v>
      </c>
      <c r="M831">
        <f>COUNTIFS(GESTIONES!$A:$A, BASE_CUENTAS!$A831,GESTIONES!$B:$B, BASE_CUENTAS!$C831,GESTIONES!$E:$E, "N")</f>
        <v>2</v>
      </c>
      <c r="N831">
        <f>COUNTIFS(GESTIONES!$A:$A, BASE_CUENTAS!$A831,GESTIONES!$B:$B, BASE_CUENTAS!$C831,GESTIONES!$D:$D, "SMS")</f>
        <v>0</v>
      </c>
      <c r="O831">
        <f>SUMIFS(PAGOS!$D:$D,PAGOS!$A:$A, BASE_CUENTAS!$A831,PAGOS!$B:$B, BASE_CUENTAS!$C831)</f>
        <v>247973</v>
      </c>
      <c r="P831" t="str">
        <f>IF(
VLOOKUP($C831,BASE_CIERRE_MES!$C:$G,5,FALSE)=0,
"Normalización",
IF(
VLOOKUP($C831,BASE_CIERRE_MES!$C:$G,5,FALSE)&lt;$H831,
"Recuperación",
IF(
VLOOKUP($C831,BASE_CIERRE_MES!$C:$G,5,FALSE)=$H831,
"Contención",
"Rodamiento"
)))</f>
        <v>Normalización</v>
      </c>
      <c r="Q831">
        <f t="shared" si="12"/>
        <v>1</v>
      </c>
    </row>
    <row r="832" spans="1:17" x14ac:dyDescent="0.25">
      <c r="A832">
        <v>8522957</v>
      </c>
      <c r="B832" t="s">
        <v>18</v>
      </c>
      <c r="C832">
        <v>22516258</v>
      </c>
      <c r="D832" t="s">
        <v>7</v>
      </c>
      <c r="E832">
        <v>1745164</v>
      </c>
      <c r="F832" s="2">
        <v>679019</v>
      </c>
      <c r="G832" s="2">
        <v>47550</v>
      </c>
      <c r="H832">
        <v>30</v>
      </c>
      <c r="I832" s="1">
        <v>42521</v>
      </c>
      <c r="J832" t="s">
        <v>4</v>
      </c>
      <c r="K832">
        <f>COUNTIFS(GESTIONES!$A:$A, BASE_CUENTAS!$A832, GESTIONES!$B:$B, BASE_CUENTAS!$C832)</f>
        <v>3</v>
      </c>
      <c r="L832">
        <f>COUNTIFS(GESTIONES!$A:$A, BASE_CUENTAS!$A832,GESTIONES!$B:$B, BASE_CUENTAS!$C832,GESTIONES!$E:$E, "S")</f>
        <v>1</v>
      </c>
      <c r="M832">
        <f>COUNTIFS(GESTIONES!$A:$A, BASE_CUENTAS!$A832,GESTIONES!$B:$B, BASE_CUENTAS!$C832,GESTIONES!$E:$E, "N")</f>
        <v>2</v>
      </c>
      <c r="N832">
        <f>COUNTIFS(GESTIONES!$A:$A, BASE_CUENTAS!$A832,GESTIONES!$B:$B, BASE_CUENTAS!$C832,GESTIONES!$D:$D, "SMS")</f>
        <v>1</v>
      </c>
      <c r="O832">
        <f>SUMIFS(PAGOS!$D:$D,PAGOS!$A:$A, BASE_CUENTAS!$A832,PAGOS!$B:$B, BASE_CUENTAS!$C832)</f>
        <v>15850</v>
      </c>
      <c r="P832" t="str">
        <f>IF(
VLOOKUP($C832,BASE_CIERRE_MES!$C:$G,5,FALSE)=0,
"Normalización",
IF(
VLOOKUP($C832,BASE_CIERRE_MES!$C:$G,5,FALSE)&lt;$H832,
"Recuperación",
IF(
VLOOKUP($C832,BASE_CIERRE_MES!$C:$G,5,FALSE)=$H832,
"Contención",
"Rodamiento"
)))</f>
        <v>Contención</v>
      </c>
      <c r="Q832">
        <f t="shared" si="12"/>
        <v>2.3342498516241813E-2</v>
      </c>
    </row>
    <row r="833" spans="1:17" x14ac:dyDescent="0.25">
      <c r="A833">
        <v>8522957</v>
      </c>
      <c r="B833" t="s">
        <v>18</v>
      </c>
      <c r="C833">
        <v>22516382</v>
      </c>
      <c r="D833" t="s">
        <v>7</v>
      </c>
      <c r="E833">
        <v>1745164</v>
      </c>
      <c r="F833" s="2">
        <v>1066145</v>
      </c>
      <c r="G833" s="2">
        <v>81085</v>
      </c>
      <c r="H833">
        <v>30</v>
      </c>
      <c r="I833" s="1">
        <v>42521</v>
      </c>
      <c r="J833" t="s">
        <v>4</v>
      </c>
      <c r="K833">
        <f>COUNTIFS(GESTIONES!$A:$A, BASE_CUENTAS!$A833, GESTIONES!$B:$B, BASE_CUENTAS!$C833)</f>
        <v>3</v>
      </c>
      <c r="L833">
        <f>COUNTIFS(GESTIONES!$A:$A, BASE_CUENTAS!$A833,GESTIONES!$B:$B, BASE_CUENTAS!$C833,GESTIONES!$E:$E, "S")</f>
        <v>2</v>
      </c>
      <c r="M833">
        <f>COUNTIFS(GESTIONES!$A:$A, BASE_CUENTAS!$A833,GESTIONES!$B:$B, BASE_CUENTAS!$C833,GESTIONES!$E:$E, "N")</f>
        <v>1</v>
      </c>
      <c r="N833">
        <f>COUNTIFS(GESTIONES!$A:$A, BASE_CUENTAS!$A833,GESTIONES!$B:$B, BASE_CUENTAS!$C833,GESTIONES!$D:$D, "SMS")</f>
        <v>0</v>
      </c>
      <c r="O833">
        <f>SUMIFS(PAGOS!$D:$D,PAGOS!$A:$A, BASE_CUENTAS!$A833,PAGOS!$B:$B, BASE_CUENTAS!$C833)</f>
        <v>0</v>
      </c>
      <c r="P833" t="str">
        <f>IF(
VLOOKUP($C833,BASE_CIERRE_MES!$C:$G,5,FALSE)=0,
"Normalización",
IF(
VLOOKUP($C833,BASE_CIERRE_MES!$C:$G,5,FALSE)&lt;$H833,
"Recuperación",
IF(
VLOOKUP($C833,BASE_CIERRE_MES!$C:$G,5,FALSE)=$H833,
"Contención",
"Rodamiento"
)))</f>
        <v>Rodamiento</v>
      </c>
      <c r="Q833">
        <f t="shared" si="12"/>
        <v>0</v>
      </c>
    </row>
    <row r="834" spans="1:17" x14ac:dyDescent="0.25">
      <c r="A834">
        <v>8523040</v>
      </c>
      <c r="B834" t="s">
        <v>18</v>
      </c>
      <c r="C834">
        <v>26197937</v>
      </c>
      <c r="D834" t="s">
        <v>7</v>
      </c>
      <c r="E834">
        <v>837290</v>
      </c>
      <c r="F834" s="2">
        <v>837290</v>
      </c>
      <c r="G834" s="2">
        <v>284251</v>
      </c>
      <c r="H834">
        <v>60</v>
      </c>
      <c r="I834" s="1">
        <v>42491</v>
      </c>
      <c r="J834" t="s">
        <v>6</v>
      </c>
      <c r="K834">
        <f>COUNTIFS(GESTIONES!$A:$A, BASE_CUENTAS!$A834, GESTIONES!$B:$B, BASE_CUENTAS!$C834)</f>
        <v>3</v>
      </c>
      <c r="L834">
        <f>COUNTIFS(GESTIONES!$A:$A, BASE_CUENTAS!$A834,GESTIONES!$B:$B, BASE_CUENTAS!$C834,GESTIONES!$E:$E, "S")</f>
        <v>1</v>
      </c>
      <c r="M834">
        <f>COUNTIFS(GESTIONES!$A:$A, BASE_CUENTAS!$A834,GESTIONES!$B:$B, BASE_CUENTAS!$C834,GESTIONES!$E:$E, "N")</f>
        <v>2</v>
      </c>
      <c r="N834">
        <f>COUNTIFS(GESTIONES!$A:$A, BASE_CUENTAS!$A834,GESTIONES!$B:$B, BASE_CUENTAS!$C834,GESTIONES!$D:$D, "SMS")</f>
        <v>1</v>
      </c>
      <c r="O834">
        <f>SUMIFS(PAGOS!$D:$D,PAGOS!$A:$A, BASE_CUENTAS!$A834,PAGOS!$B:$B, BASE_CUENTAS!$C834)</f>
        <v>284251</v>
      </c>
      <c r="P834" t="str">
        <f>IF(
VLOOKUP($C834,BASE_CIERRE_MES!$C:$G,5,FALSE)=0,
"Normalización",
IF(
VLOOKUP($C834,BASE_CIERRE_MES!$C:$G,5,FALSE)&lt;$H834,
"Recuperación",
IF(
VLOOKUP($C834,BASE_CIERRE_MES!$C:$G,5,FALSE)=$H834,
"Contención",
"Rodamiento"
)))</f>
        <v>Normalización</v>
      </c>
      <c r="Q834">
        <f t="shared" si="12"/>
        <v>0.33948930478090028</v>
      </c>
    </row>
    <row r="835" spans="1:17" x14ac:dyDescent="0.25">
      <c r="A835">
        <v>8523124</v>
      </c>
      <c r="B835" t="s">
        <v>18</v>
      </c>
      <c r="C835">
        <v>26225662</v>
      </c>
      <c r="D835" t="s">
        <v>7</v>
      </c>
      <c r="E835">
        <v>395707</v>
      </c>
      <c r="F835" s="2">
        <v>395707</v>
      </c>
      <c r="G835" s="2">
        <v>25640</v>
      </c>
      <c r="H835">
        <v>30</v>
      </c>
      <c r="I835" s="1">
        <v>42521</v>
      </c>
      <c r="J835" t="s">
        <v>4</v>
      </c>
      <c r="K835">
        <f>COUNTIFS(GESTIONES!$A:$A, BASE_CUENTAS!$A835, GESTIONES!$B:$B, BASE_CUENTAS!$C835)</f>
        <v>3</v>
      </c>
      <c r="L835">
        <f>COUNTIFS(GESTIONES!$A:$A, BASE_CUENTAS!$A835,GESTIONES!$B:$B, BASE_CUENTAS!$C835,GESTIONES!$E:$E, "S")</f>
        <v>0</v>
      </c>
      <c r="M835">
        <f>COUNTIFS(GESTIONES!$A:$A, BASE_CUENTAS!$A835,GESTIONES!$B:$B, BASE_CUENTAS!$C835,GESTIONES!$E:$E, "N")</f>
        <v>3</v>
      </c>
      <c r="N835">
        <f>COUNTIFS(GESTIONES!$A:$A, BASE_CUENTAS!$A835,GESTIONES!$B:$B, BASE_CUENTAS!$C835,GESTIONES!$D:$D, "SMS")</f>
        <v>1</v>
      </c>
      <c r="O835">
        <f>SUMIFS(PAGOS!$D:$D,PAGOS!$A:$A, BASE_CUENTAS!$A835,PAGOS!$B:$B, BASE_CUENTAS!$C835)</f>
        <v>0</v>
      </c>
      <c r="P835" t="str">
        <f>IF(
VLOOKUP($C835,BASE_CIERRE_MES!$C:$G,5,FALSE)=0,
"Normalización",
IF(
VLOOKUP($C835,BASE_CIERRE_MES!$C:$G,5,FALSE)&lt;$H835,
"Recuperación",
IF(
VLOOKUP($C835,BASE_CIERRE_MES!$C:$G,5,FALSE)=$H835,
"Contención",
"Rodamiento"
)))</f>
        <v>Rodamiento</v>
      </c>
      <c r="Q835">
        <f t="shared" ref="Q835:Q898" si="13">IF(F835=0,0,VALUE(O835)/VALUE(F835))</f>
        <v>0</v>
      </c>
    </row>
    <row r="836" spans="1:17" x14ac:dyDescent="0.25">
      <c r="A836">
        <v>8523205</v>
      </c>
      <c r="B836" t="s">
        <v>17</v>
      </c>
      <c r="C836">
        <v>22375306</v>
      </c>
      <c r="D836" t="s">
        <v>7</v>
      </c>
      <c r="E836">
        <v>4365779</v>
      </c>
      <c r="F836" s="2">
        <v>740500</v>
      </c>
      <c r="G836" s="2">
        <v>740500</v>
      </c>
      <c r="H836">
        <v>180</v>
      </c>
      <c r="I836" s="1">
        <v>42490</v>
      </c>
      <c r="J836" t="s">
        <v>5</v>
      </c>
      <c r="K836">
        <f>COUNTIFS(GESTIONES!$A:$A, BASE_CUENTAS!$A836, GESTIONES!$B:$B, BASE_CUENTAS!$C836)</f>
        <v>3</v>
      </c>
      <c r="L836">
        <f>COUNTIFS(GESTIONES!$A:$A, BASE_CUENTAS!$A836,GESTIONES!$B:$B, BASE_CUENTAS!$C836,GESTIONES!$E:$E, "S")</f>
        <v>1</v>
      </c>
      <c r="M836">
        <f>COUNTIFS(GESTIONES!$A:$A, BASE_CUENTAS!$A836,GESTIONES!$B:$B, BASE_CUENTAS!$C836,GESTIONES!$E:$E, "N")</f>
        <v>2</v>
      </c>
      <c r="N836">
        <f>COUNTIFS(GESTIONES!$A:$A, BASE_CUENTAS!$A836,GESTIONES!$B:$B, BASE_CUENTAS!$C836,GESTIONES!$D:$D, "SMS")</f>
        <v>1</v>
      </c>
      <c r="O836">
        <f>SUMIFS(PAGOS!$D:$D,PAGOS!$A:$A, BASE_CUENTAS!$A836,PAGOS!$B:$B, BASE_CUENTAS!$C836)</f>
        <v>0</v>
      </c>
      <c r="P836" t="str">
        <f>IF(
VLOOKUP($C836,BASE_CIERRE_MES!$C:$G,5,FALSE)=0,
"Normalización",
IF(
VLOOKUP($C836,BASE_CIERRE_MES!$C:$G,5,FALSE)&lt;$H836,
"Recuperación",
IF(
VLOOKUP($C836,BASE_CIERRE_MES!$C:$G,5,FALSE)=$H836,
"Contención",
"Rodamiento"
)))</f>
        <v>Rodamiento</v>
      </c>
      <c r="Q836">
        <f t="shared" si="13"/>
        <v>0</v>
      </c>
    </row>
    <row r="837" spans="1:17" x14ac:dyDescent="0.25">
      <c r="A837">
        <v>8523205</v>
      </c>
      <c r="B837" t="s">
        <v>17</v>
      </c>
      <c r="C837">
        <v>24912565</v>
      </c>
      <c r="D837" t="s">
        <v>7</v>
      </c>
      <c r="E837">
        <v>4365779</v>
      </c>
      <c r="F837" s="2">
        <v>3625279</v>
      </c>
      <c r="G837" s="2">
        <v>3625279</v>
      </c>
      <c r="H837">
        <v>120</v>
      </c>
      <c r="I837" s="1">
        <v>42476</v>
      </c>
      <c r="J837" t="s">
        <v>5</v>
      </c>
      <c r="K837">
        <f>COUNTIFS(GESTIONES!$A:$A, BASE_CUENTAS!$A837, GESTIONES!$B:$B, BASE_CUENTAS!$C837)</f>
        <v>3</v>
      </c>
      <c r="L837">
        <f>COUNTIFS(GESTIONES!$A:$A, BASE_CUENTAS!$A837,GESTIONES!$B:$B, BASE_CUENTAS!$C837,GESTIONES!$E:$E, "S")</f>
        <v>1</v>
      </c>
      <c r="M837">
        <f>COUNTIFS(GESTIONES!$A:$A, BASE_CUENTAS!$A837,GESTIONES!$B:$B, BASE_CUENTAS!$C837,GESTIONES!$E:$E, "N")</f>
        <v>2</v>
      </c>
      <c r="N837">
        <f>COUNTIFS(GESTIONES!$A:$A, BASE_CUENTAS!$A837,GESTIONES!$B:$B, BASE_CUENTAS!$C837,GESTIONES!$D:$D, "SMS")</f>
        <v>1</v>
      </c>
      <c r="O837">
        <f>SUMIFS(PAGOS!$D:$D,PAGOS!$A:$A, BASE_CUENTAS!$A837,PAGOS!$B:$B, BASE_CUENTAS!$C837)</f>
        <v>0</v>
      </c>
      <c r="P837" t="str">
        <f>IF(
VLOOKUP($C837,BASE_CIERRE_MES!$C:$G,5,FALSE)=0,
"Normalización",
IF(
VLOOKUP($C837,BASE_CIERRE_MES!$C:$G,5,FALSE)&lt;$H837,
"Recuperación",
IF(
VLOOKUP($C837,BASE_CIERRE_MES!$C:$G,5,FALSE)=$H837,
"Contención",
"Rodamiento"
)))</f>
        <v>Rodamiento</v>
      </c>
      <c r="Q837">
        <f t="shared" si="13"/>
        <v>0</v>
      </c>
    </row>
    <row r="838" spans="1:17" x14ac:dyDescent="0.25">
      <c r="A838">
        <v>8523520</v>
      </c>
      <c r="B838" t="s">
        <v>18</v>
      </c>
      <c r="C838">
        <v>1377705</v>
      </c>
      <c r="D838" t="s">
        <v>7</v>
      </c>
      <c r="E838">
        <v>1357831</v>
      </c>
      <c r="F838" s="2">
        <v>554994</v>
      </c>
      <c r="G838" s="2">
        <v>79798</v>
      </c>
      <c r="H838">
        <v>60</v>
      </c>
      <c r="I838" s="1">
        <v>42480</v>
      </c>
      <c r="J838" t="s">
        <v>6</v>
      </c>
      <c r="K838">
        <f>COUNTIFS(GESTIONES!$A:$A, BASE_CUENTAS!$A838, GESTIONES!$B:$B, BASE_CUENTAS!$C838)</f>
        <v>3</v>
      </c>
      <c r="L838">
        <f>COUNTIFS(GESTIONES!$A:$A, BASE_CUENTAS!$A838,GESTIONES!$B:$B, BASE_CUENTAS!$C838,GESTIONES!$E:$E, "S")</f>
        <v>1</v>
      </c>
      <c r="M838">
        <f>COUNTIFS(GESTIONES!$A:$A, BASE_CUENTAS!$A838,GESTIONES!$B:$B, BASE_CUENTAS!$C838,GESTIONES!$E:$E, "N")</f>
        <v>2</v>
      </c>
      <c r="N838">
        <f>COUNTIFS(GESTIONES!$A:$A, BASE_CUENTAS!$A838,GESTIONES!$B:$B, BASE_CUENTAS!$C838,GESTIONES!$D:$D, "SMS")</f>
        <v>0</v>
      </c>
      <c r="O838">
        <f>SUMIFS(PAGOS!$D:$D,PAGOS!$A:$A, BASE_CUENTAS!$A838,PAGOS!$B:$B, BASE_CUENTAS!$C838)</f>
        <v>26600</v>
      </c>
      <c r="P838" t="str">
        <f>IF(
VLOOKUP($C838,BASE_CIERRE_MES!$C:$G,5,FALSE)=0,
"Normalización",
IF(
VLOOKUP($C838,BASE_CIERRE_MES!$C:$G,5,FALSE)&lt;$H838,
"Recuperación",
IF(
VLOOKUP($C838,BASE_CIERRE_MES!$C:$G,5,FALSE)=$H838,
"Contención",
"Rodamiento"
)))</f>
        <v>Contención</v>
      </c>
      <c r="Q838">
        <f t="shared" si="13"/>
        <v>4.792844607329088E-2</v>
      </c>
    </row>
    <row r="839" spans="1:17" x14ac:dyDescent="0.25">
      <c r="A839">
        <v>8523859</v>
      </c>
      <c r="B839" t="s">
        <v>18</v>
      </c>
      <c r="C839">
        <v>22375306</v>
      </c>
      <c r="D839" t="s">
        <v>7</v>
      </c>
      <c r="E839">
        <v>1179165</v>
      </c>
      <c r="F839" s="2">
        <v>793396</v>
      </c>
      <c r="G839" s="2">
        <v>7806</v>
      </c>
      <c r="H839">
        <v>30</v>
      </c>
      <c r="I839" s="1">
        <v>42508</v>
      </c>
      <c r="J839" t="s">
        <v>6</v>
      </c>
      <c r="K839">
        <f>COUNTIFS(GESTIONES!$A:$A, BASE_CUENTAS!$A839, GESTIONES!$B:$B, BASE_CUENTAS!$C839)</f>
        <v>3</v>
      </c>
      <c r="L839">
        <f>COUNTIFS(GESTIONES!$A:$A, BASE_CUENTAS!$A839,GESTIONES!$B:$B, BASE_CUENTAS!$C839,GESTIONES!$E:$E, "S")</f>
        <v>1</v>
      </c>
      <c r="M839">
        <f>COUNTIFS(GESTIONES!$A:$A, BASE_CUENTAS!$A839,GESTIONES!$B:$B, BASE_CUENTAS!$C839,GESTIONES!$E:$E, "N")</f>
        <v>2</v>
      </c>
      <c r="N839">
        <f>COUNTIFS(GESTIONES!$A:$A, BASE_CUENTAS!$A839,GESTIONES!$B:$B, BASE_CUENTAS!$C839,GESTIONES!$D:$D, "SMS")</f>
        <v>1</v>
      </c>
      <c r="O839">
        <f>SUMIFS(PAGOS!$D:$D,PAGOS!$A:$A, BASE_CUENTAS!$A839,PAGOS!$B:$B, BASE_CUENTAS!$C839)</f>
        <v>0</v>
      </c>
      <c r="P839" t="str">
        <f>IF(
VLOOKUP($C839,BASE_CIERRE_MES!$C:$G,5,FALSE)=0,
"Normalización",
IF(
VLOOKUP($C839,BASE_CIERRE_MES!$C:$G,5,FALSE)&lt;$H839,
"Recuperación",
IF(
VLOOKUP($C839,BASE_CIERRE_MES!$C:$G,5,FALSE)=$H839,
"Contención",
"Rodamiento"
)))</f>
        <v>Rodamiento</v>
      </c>
      <c r="Q839">
        <f t="shared" si="13"/>
        <v>0</v>
      </c>
    </row>
    <row r="840" spans="1:17" x14ac:dyDescent="0.25">
      <c r="A840">
        <v>8523897</v>
      </c>
      <c r="B840" t="s">
        <v>18</v>
      </c>
      <c r="C840">
        <v>19889218</v>
      </c>
      <c r="D840" t="s">
        <v>7</v>
      </c>
      <c r="E840">
        <v>660879</v>
      </c>
      <c r="F840" s="2">
        <v>660879</v>
      </c>
      <c r="G840" s="2">
        <v>82368</v>
      </c>
      <c r="H840">
        <v>30</v>
      </c>
      <c r="I840" s="1">
        <v>42508</v>
      </c>
      <c r="J840" t="s">
        <v>6</v>
      </c>
      <c r="K840">
        <f>COUNTIFS(GESTIONES!$A:$A, BASE_CUENTAS!$A840, GESTIONES!$B:$B, BASE_CUENTAS!$C840)</f>
        <v>3</v>
      </c>
      <c r="L840">
        <f>COUNTIFS(GESTIONES!$A:$A, BASE_CUENTAS!$A840,GESTIONES!$B:$B, BASE_CUENTAS!$C840,GESTIONES!$E:$E, "S")</f>
        <v>0</v>
      </c>
      <c r="M840">
        <f>COUNTIFS(GESTIONES!$A:$A, BASE_CUENTAS!$A840,GESTIONES!$B:$B, BASE_CUENTAS!$C840,GESTIONES!$E:$E, "N")</f>
        <v>3</v>
      </c>
      <c r="N840">
        <f>COUNTIFS(GESTIONES!$A:$A, BASE_CUENTAS!$A840,GESTIONES!$B:$B, BASE_CUENTAS!$C840,GESTIONES!$D:$D, "SMS")</f>
        <v>1</v>
      </c>
      <c r="O840">
        <f>SUMIFS(PAGOS!$D:$D,PAGOS!$A:$A, BASE_CUENTAS!$A840,PAGOS!$B:$B, BASE_CUENTAS!$C840)</f>
        <v>0</v>
      </c>
      <c r="P840" t="str">
        <f>IF(
VLOOKUP($C840,BASE_CIERRE_MES!$C:$G,5,FALSE)=0,
"Normalización",
IF(
VLOOKUP($C840,BASE_CIERRE_MES!$C:$G,5,FALSE)&lt;$H840,
"Recuperación",
IF(
VLOOKUP($C840,BASE_CIERRE_MES!$C:$G,5,FALSE)=$H840,
"Contención",
"Rodamiento"
)))</f>
        <v>Rodamiento</v>
      </c>
      <c r="Q840">
        <f t="shared" si="13"/>
        <v>0</v>
      </c>
    </row>
    <row r="841" spans="1:17" x14ac:dyDescent="0.25">
      <c r="A841">
        <v>8524048</v>
      </c>
      <c r="B841" t="s">
        <v>18</v>
      </c>
      <c r="C841">
        <v>23295919</v>
      </c>
      <c r="D841" t="s">
        <v>7</v>
      </c>
      <c r="E841">
        <v>2048944</v>
      </c>
      <c r="F841" s="2">
        <v>962934</v>
      </c>
      <c r="G841" s="2">
        <v>47855</v>
      </c>
      <c r="H841">
        <v>30</v>
      </c>
      <c r="I841" s="1">
        <v>42524</v>
      </c>
      <c r="J841" t="s">
        <v>6</v>
      </c>
      <c r="K841">
        <f>COUNTIFS(GESTIONES!$A:$A, BASE_CUENTAS!$A841, GESTIONES!$B:$B, BASE_CUENTAS!$C841)</f>
        <v>3</v>
      </c>
      <c r="L841">
        <f>COUNTIFS(GESTIONES!$A:$A, BASE_CUENTAS!$A841,GESTIONES!$B:$B, BASE_CUENTAS!$C841,GESTIONES!$E:$E, "S")</f>
        <v>1</v>
      </c>
      <c r="M841">
        <f>COUNTIFS(GESTIONES!$A:$A, BASE_CUENTAS!$A841,GESTIONES!$B:$B, BASE_CUENTAS!$C841,GESTIONES!$E:$E, "N")</f>
        <v>2</v>
      </c>
      <c r="N841">
        <f>COUNTIFS(GESTIONES!$A:$A, BASE_CUENTAS!$A841,GESTIONES!$B:$B, BASE_CUENTAS!$C841,GESTIONES!$D:$D, "SMS")</f>
        <v>1</v>
      </c>
      <c r="O841">
        <f>SUMIFS(PAGOS!$D:$D,PAGOS!$A:$A, BASE_CUENTAS!$A841,PAGOS!$B:$B, BASE_CUENTAS!$C841)</f>
        <v>0</v>
      </c>
      <c r="P841" t="str">
        <f>IF(
VLOOKUP($C841,BASE_CIERRE_MES!$C:$G,5,FALSE)=0,
"Normalización",
IF(
VLOOKUP($C841,BASE_CIERRE_MES!$C:$G,5,FALSE)&lt;$H841,
"Recuperación",
IF(
VLOOKUP($C841,BASE_CIERRE_MES!$C:$G,5,FALSE)=$H841,
"Contención",
"Rodamiento"
)))</f>
        <v>Rodamiento</v>
      </c>
      <c r="Q841">
        <f t="shared" si="13"/>
        <v>0</v>
      </c>
    </row>
    <row r="842" spans="1:17" x14ac:dyDescent="0.25">
      <c r="A842">
        <v>8524070</v>
      </c>
      <c r="B842" t="s">
        <v>18</v>
      </c>
      <c r="C842">
        <v>15357610</v>
      </c>
      <c r="D842" t="s">
        <v>7</v>
      </c>
      <c r="E842">
        <v>4556603</v>
      </c>
      <c r="F842" s="2">
        <v>552560</v>
      </c>
      <c r="G842" s="2">
        <v>551887</v>
      </c>
      <c r="H842">
        <v>360</v>
      </c>
      <c r="I842" s="1">
        <v>42443</v>
      </c>
      <c r="J842" t="s">
        <v>5</v>
      </c>
      <c r="K842">
        <f>COUNTIFS(GESTIONES!$A:$A, BASE_CUENTAS!$A842, GESTIONES!$B:$B, BASE_CUENTAS!$C842)</f>
        <v>3</v>
      </c>
      <c r="L842">
        <f>COUNTIFS(GESTIONES!$A:$A, BASE_CUENTAS!$A842,GESTIONES!$B:$B, BASE_CUENTAS!$C842,GESTIONES!$E:$E, "S")</f>
        <v>1</v>
      </c>
      <c r="M842">
        <f>COUNTIFS(GESTIONES!$A:$A, BASE_CUENTAS!$A842,GESTIONES!$B:$B, BASE_CUENTAS!$C842,GESTIONES!$E:$E, "N")</f>
        <v>2</v>
      </c>
      <c r="N842">
        <f>COUNTIFS(GESTIONES!$A:$A, BASE_CUENTAS!$A842,GESTIONES!$B:$B, BASE_CUENTAS!$C842,GESTIONES!$D:$D, "SMS")</f>
        <v>1</v>
      </c>
      <c r="O842">
        <f>SUMIFS(PAGOS!$D:$D,PAGOS!$A:$A, BASE_CUENTAS!$A842,PAGOS!$B:$B, BASE_CUENTAS!$C842)</f>
        <v>0</v>
      </c>
      <c r="P842" t="str">
        <f>IF(
VLOOKUP($C842,BASE_CIERRE_MES!$C:$G,5,FALSE)=0,
"Normalización",
IF(
VLOOKUP($C842,BASE_CIERRE_MES!$C:$G,5,FALSE)&lt;$H842,
"Recuperación",
IF(
VLOOKUP($C842,BASE_CIERRE_MES!$C:$G,5,FALSE)=$H842,
"Contención",
"Rodamiento"
)))</f>
        <v>Rodamiento</v>
      </c>
      <c r="Q842">
        <f t="shared" si="13"/>
        <v>0</v>
      </c>
    </row>
    <row r="843" spans="1:17" x14ac:dyDescent="0.25">
      <c r="A843">
        <v>8524404</v>
      </c>
      <c r="B843" t="s">
        <v>17</v>
      </c>
      <c r="C843">
        <v>19536723</v>
      </c>
      <c r="D843" t="s">
        <v>7</v>
      </c>
      <c r="E843">
        <v>8101828</v>
      </c>
      <c r="F843" s="2">
        <v>3622351</v>
      </c>
      <c r="G843" s="2">
        <v>106020</v>
      </c>
      <c r="H843">
        <v>30</v>
      </c>
      <c r="I843" s="1">
        <v>42508</v>
      </c>
      <c r="J843" t="s">
        <v>6</v>
      </c>
      <c r="K843">
        <f>COUNTIFS(GESTIONES!$A:$A, BASE_CUENTAS!$A843, GESTIONES!$B:$B, BASE_CUENTAS!$C843)</f>
        <v>3</v>
      </c>
      <c r="L843">
        <f>COUNTIFS(GESTIONES!$A:$A, BASE_CUENTAS!$A843,GESTIONES!$B:$B, BASE_CUENTAS!$C843,GESTIONES!$E:$E, "S")</f>
        <v>1</v>
      </c>
      <c r="M843">
        <f>COUNTIFS(GESTIONES!$A:$A, BASE_CUENTAS!$A843,GESTIONES!$B:$B, BASE_CUENTAS!$C843,GESTIONES!$E:$E, "N")</f>
        <v>2</v>
      </c>
      <c r="N843">
        <f>COUNTIFS(GESTIONES!$A:$A, BASE_CUENTAS!$A843,GESTIONES!$B:$B, BASE_CUENTAS!$C843,GESTIONES!$D:$D, "SMS")</f>
        <v>0</v>
      </c>
      <c r="O843">
        <f>SUMIFS(PAGOS!$D:$D,PAGOS!$A:$A, BASE_CUENTAS!$A843,PAGOS!$B:$B, BASE_CUENTAS!$C843)</f>
        <v>35340</v>
      </c>
      <c r="P843" t="str">
        <f>IF(
VLOOKUP($C843,BASE_CIERRE_MES!$C:$G,5,FALSE)=0,
"Normalización",
IF(
VLOOKUP($C843,BASE_CIERRE_MES!$C:$G,5,FALSE)&lt;$H843,
"Recuperación",
IF(
VLOOKUP($C843,BASE_CIERRE_MES!$C:$G,5,FALSE)=$H843,
"Contención",
"Rodamiento"
)))</f>
        <v>Contención</v>
      </c>
      <c r="Q843">
        <f t="shared" si="13"/>
        <v>9.756094867670196E-3</v>
      </c>
    </row>
    <row r="844" spans="1:17" x14ac:dyDescent="0.25">
      <c r="A844">
        <v>8524784</v>
      </c>
      <c r="B844" t="s">
        <v>18</v>
      </c>
      <c r="C844">
        <v>27962052</v>
      </c>
      <c r="D844" t="s">
        <v>7</v>
      </c>
      <c r="E844">
        <v>405841</v>
      </c>
      <c r="F844" s="2">
        <v>405841</v>
      </c>
      <c r="G844" s="2">
        <v>112801</v>
      </c>
      <c r="H844">
        <v>60</v>
      </c>
      <c r="I844" s="1">
        <v>42491</v>
      </c>
      <c r="J844" t="s">
        <v>6</v>
      </c>
      <c r="K844">
        <f>COUNTIFS(GESTIONES!$A:$A, BASE_CUENTAS!$A844, GESTIONES!$B:$B, BASE_CUENTAS!$C844)</f>
        <v>3</v>
      </c>
      <c r="L844">
        <f>COUNTIFS(GESTIONES!$A:$A, BASE_CUENTAS!$A844,GESTIONES!$B:$B, BASE_CUENTAS!$C844,GESTIONES!$E:$E, "S")</f>
        <v>1</v>
      </c>
      <c r="M844">
        <f>COUNTIFS(GESTIONES!$A:$A, BASE_CUENTAS!$A844,GESTIONES!$B:$B, BASE_CUENTAS!$C844,GESTIONES!$E:$E, "N")</f>
        <v>2</v>
      </c>
      <c r="N844">
        <f>COUNTIFS(GESTIONES!$A:$A, BASE_CUENTAS!$A844,GESTIONES!$B:$B, BASE_CUENTAS!$C844,GESTIONES!$D:$D, "SMS")</f>
        <v>1</v>
      </c>
      <c r="O844">
        <f>SUMIFS(PAGOS!$D:$D,PAGOS!$A:$A, BASE_CUENTAS!$A844,PAGOS!$B:$B, BASE_CUENTAS!$C844)</f>
        <v>56401</v>
      </c>
      <c r="P844" t="str">
        <f>IF(
VLOOKUP($C844,BASE_CIERRE_MES!$C:$G,5,FALSE)=0,
"Normalización",
IF(
VLOOKUP($C844,BASE_CIERRE_MES!$C:$G,5,FALSE)&lt;$H844,
"Recuperación",
IF(
VLOOKUP($C844,BASE_CIERRE_MES!$C:$G,5,FALSE)=$H844,
"Contención",
"Rodamiento"
)))</f>
        <v>Recuperación</v>
      </c>
      <c r="Q844">
        <f t="shared" si="13"/>
        <v>0.13897314465517283</v>
      </c>
    </row>
    <row r="845" spans="1:17" x14ac:dyDescent="0.25">
      <c r="A845">
        <v>8524793</v>
      </c>
      <c r="B845" t="s">
        <v>18</v>
      </c>
      <c r="C845">
        <v>21416546</v>
      </c>
      <c r="D845" t="s">
        <v>7</v>
      </c>
      <c r="E845">
        <v>2235335</v>
      </c>
      <c r="F845" s="2">
        <v>579255</v>
      </c>
      <c r="G845" s="2">
        <v>42264</v>
      </c>
      <c r="H845">
        <v>30</v>
      </c>
      <c r="I845" s="1">
        <v>42521</v>
      </c>
      <c r="J845" t="s">
        <v>4</v>
      </c>
      <c r="K845">
        <f>COUNTIFS(GESTIONES!$A:$A, BASE_CUENTAS!$A845, GESTIONES!$B:$B, BASE_CUENTAS!$C845)</f>
        <v>3</v>
      </c>
      <c r="L845">
        <f>COUNTIFS(GESTIONES!$A:$A, BASE_CUENTAS!$A845,GESTIONES!$B:$B, BASE_CUENTAS!$C845,GESTIONES!$E:$E, "S")</f>
        <v>0</v>
      </c>
      <c r="M845">
        <f>COUNTIFS(GESTIONES!$A:$A, BASE_CUENTAS!$A845,GESTIONES!$B:$B, BASE_CUENTAS!$C845,GESTIONES!$E:$E, "N")</f>
        <v>3</v>
      </c>
      <c r="N845">
        <f>COUNTIFS(GESTIONES!$A:$A, BASE_CUENTAS!$A845,GESTIONES!$B:$B, BASE_CUENTAS!$C845,GESTIONES!$D:$D, "SMS")</f>
        <v>1</v>
      </c>
      <c r="O845">
        <f>SUMIFS(PAGOS!$D:$D,PAGOS!$A:$A, BASE_CUENTAS!$A845,PAGOS!$B:$B, BASE_CUENTAS!$C845)</f>
        <v>0</v>
      </c>
      <c r="P845" t="str">
        <f>IF(
VLOOKUP($C845,BASE_CIERRE_MES!$C:$G,5,FALSE)=0,
"Normalización",
IF(
VLOOKUP($C845,BASE_CIERRE_MES!$C:$G,5,FALSE)&lt;$H845,
"Recuperación",
IF(
VLOOKUP($C845,BASE_CIERRE_MES!$C:$G,5,FALSE)=$H845,
"Contención",
"Rodamiento"
)))</f>
        <v>Rodamiento</v>
      </c>
      <c r="Q845">
        <f t="shared" si="13"/>
        <v>0</v>
      </c>
    </row>
    <row r="846" spans="1:17" x14ac:dyDescent="0.25">
      <c r="A846">
        <v>8524805</v>
      </c>
      <c r="B846" t="s">
        <v>18</v>
      </c>
      <c r="C846">
        <v>21648150</v>
      </c>
      <c r="D846" t="s">
        <v>7</v>
      </c>
      <c r="E846">
        <v>4212055</v>
      </c>
      <c r="F846" s="2">
        <v>819330</v>
      </c>
      <c r="G846" s="2">
        <v>63170</v>
      </c>
      <c r="H846">
        <v>30</v>
      </c>
      <c r="I846" s="1">
        <v>42521</v>
      </c>
      <c r="J846" t="s">
        <v>4</v>
      </c>
      <c r="K846">
        <f>COUNTIFS(GESTIONES!$A:$A, BASE_CUENTAS!$A846, GESTIONES!$B:$B, BASE_CUENTAS!$C846)</f>
        <v>3</v>
      </c>
      <c r="L846">
        <f>COUNTIFS(GESTIONES!$A:$A, BASE_CUENTAS!$A846,GESTIONES!$B:$B, BASE_CUENTAS!$C846,GESTIONES!$E:$E, "S")</f>
        <v>1</v>
      </c>
      <c r="M846">
        <f>COUNTIFS(GESTIONES!$A:$A, BASE_CUENTAS!$A846,GESTIONES!$B:$B, BASE_CUENTAS!$C846,GESTIONES!$E:$E, "N")</f>
        <v>2</v>
      </c>
      <c r="N846">
        <f>COUNTIFS(GESTIONES!$A:$A, BASE_CUENTAS!$A846,GESTIONES!$B:$B, BASE_CUENTAS!$C846,GESTIONES!$D:$D, "SMS")</f>
        <v>1</v>
      </c>
      <c r="O846">
        <f>SUMIFS(PAGOS!$D:$D,PAGOS!$A:$A, BASE_CUENTAS!$A846,PAGOS!$B:$B, BASE_CUENTAS!$C846)</f>
        <v>31585</v>
      </c>
      <c r="P846" t="str">
        <f>IF(
VLOOKUP($C846,BASE_CIERRE_MES!$C:$G,5,FALSE)=0,
"Normalización",
IF(
VLOOKUP($C846,BASE_CIERRE_MES!$C:$G,5,FALSE)&lt;$H846,
"Recuperación",
IF(
VLOOKUP($C846,BASE_CIERRE_MES!$C:$G,5,FALSE)=$H846,
"Contención",
"Rodamiento"
)))</f>
        <v>Recuperación</v>
      </c>
      <c r="Q846">
        <f t="shared" si="13"/>
        <v>3.8549790682630931E-2</v>
      </c>
    </row>
    <row r="847" spans="1:17" x14ac:dyDescent="0.25">
      <c r="A847">
        <v>8524847</v>
      </c>
      <c r="B847" t="s">
        <v>17</v>
      </c>
      <c r="C847">
        <v>22738834</v>
      </c>
      <c r="D847" t="s">
        <v>7</v>
      </c>
      <c r="E847">
        <v>3463508</v>
      </c>
      <c r="F847" s="2">
        <v>2388355</v>
      </c>
      <c r="G847" s="2">
        <v>269093</v>
      </c>
      <c r="H847">
        <v>30</v>
      </c>
      <c r="I847" s="1">
        <v>42521</v>
      </c>
      <c r="J847" t="s">
        <v>4</v>
      </c>
      <c r="K847">
        <f>COUNTIFS(GESTIONES!$A:$A, BASE_CUENTAS!$A847, GESTIONES!$B:$B, BASE_CUENTAS!$C847)</f>
        <v>3</v>
      </c>
      <c r="L847">
        <f>COUNTIFS(GESTIONES!$A:$A, BASE_CUENTAS!$A847,GESTIONES!$B:$B, BASE_CUENTAS!$C847,GESTIONES!$E:$E, "S")</f>
        <v>1</v>
      </c>
      <c r="M847">
        <f>COUNTIFS(GESTIONES!$A:$A, BASE_CUENTAS!$A847,GESTIONES!$B:$B, BASE_CUENTAS!$C847,GESTIONES!$E:$E, "N")</f>
        <v>2</v>
      </c>
      <c r="N847">
        <f>COUNTIFS(GESTIONES!$A:$A, BASE_CUENTAS!$A847,GESTIONES!$B:$B, BASE_CUENTAS!$C847,GESTIONES!$D:$D, "SMS")</f>
        <v>1</v>
      </c>
      <c r="O847">
        <f>SUMIFS(PAGOS!$D:$D,PAGOS!$A:$A, BASE_CUENTAS!$A847,PAGOS!$B:$B, BASE_CUENTAS!$C847)</f>
        <v>269093</v>
      </c>
      <c r="P847" t="str">
        <f>IF(
VLOOKUP($C847,BASE_CIERRE_MES!$C:$G,5,FALSE)=0,
"Normalización",
IF(
VLOOKUP($C847,BASE_CIERRE_MES!$C:$G,5,FALSE)&lt;$H847,
"Recuperación",
IF(
VLOOKUP($C847,BASE_CIERRE_MES!$C:$G,5,FALSE)=$H847,
"Contención",
"Rodamiento"
)))</f>
        <v>Normalización</v>
      </c>
      <c r="Q847">
        <f t="shared" si="13"/>
        <v>0.11266876155345415</v>
      </c>
    </row>
    <row r="848" spans="1:17" x14ac:dyDescent="0.25">
      <c r="A848">
        <v>8524847</v>
      </c>
      <c r="B848" t="s">
        <v>17</v>
      </c>
      <c r="C848">
        <v>26782857</v>
      </c>
      <c r="D848" t="s">
        <v>7</v>
      </c>
      <c r="E848">
        <v>3463508</v>
      </c>
      <c r="F848" s="2">
        <v>1075153</v>
      </c>
      <c r="G848" s="2">
        <v>50256</v>
      </c>
      <c r="H848">
        <v>30</v>
      </c>
      <c r="I848" s="1">
        <v>42521</v>
      </c>
      <c r="J848" t="s">
        <v>4</v>
      </c>
      <c r="K848">
        <f>COUNTIFS(GESTIONES!$A:$A, BASE_CUENTAS!$A848, GESTIONES!$B:$B, BASE_CUENTAS!$C848)</f>
        <v>3</v>
      </c>
      <c r="L848">
        <f>COUNTIFS(GESTIONES!$A:$A, BASE_CUENTAS!$A848,GESTIONES!$B:$B, BASE_CUENTAS!$C848,GESTIONES!$E:$E, "S")</f>
        <v>1</v>
      </c>
      <c r="M848">
        <f>COUNTIFS(GESTIONES!$A:$A, BASE_CUENTAS!$A848,GESTIONES!$B:$B, BASE_CUENTAS!$C848,GESTIONES!$E:$E, "N")</f>
        <v>2</v>
      </c>
      <c r="N848">
        <f>COUNTIFS(GESTIONES!$A:$A, BASE_CUENTAS!$A848,GESTIONES!$B:$B, BASE_CUENTAS!$C848,GESTIONES!$D:$D, "SMS")</f>
        <v>0</v>
      </c>
      <c r="O848">
        <f>SUMIFS(PAGOS!$D:$D,PAGOS!$A:$A, BASE_CUENTAS!$A848,PAGOS!$B:$B, BASE_CUENTAS!$C848)</f>
        <v>0</v>
      </c>
      <c r="P848" t="str">
        <f>IF(
VLOOKUP($C848,BASE_CIERRE_MES!$C:$G,5,FALSE)=0,
"Normalización",
IF(
VLOOKUP($C848,BASE_CIERRE_MES!$C:$G,5,FALSE)&lt;$H848,
"Recuperación",
IF(
VLOOKUP($C848,BASE_CIERRE_MES!$C:$G,5,FALSE)=$H848,
"Contención",
"Rodamiento"
)))</f>
        <v>Rodamiento</v>
      </c>
      <c r="Q848">
        <f t="shared" si="13"/>
        <v>0</v>
      </c>
    </row>
    <row r="849" spans="1:17" x14ac:dyDescent="0.25">
      <c r="A849">
        <v>8525305</v>
      </c>
      <c r="B849" t="s">
        <v>18</v>
      </c>
      <c r="C849">
        <v>18744641</v>
      </c>
      <c r="D849" t="s">
        <v>7</v>
      </c>
      <c r="E849">
        <v>2226796</v>
      </c>
      <c r="F849" s="2">
        <v>2226796</v>
      </c>
      <c r="G849" s="2">
        <v>2226796</v>
      </c>
      <c r="H849">
        <v>150</v>
      </c>
      <c r="I849" s="1">
        <v>42487</v>
      </c>
      <c r="J849" t="s">
        <v>5</v>
      </c>
      <c r="K849">
        <f>COUNTIFS(GESTIONES!$A:$A, BASE_CUENTAS!$A849, GESTIONES!$B:$B, BASE_CUENTAS!$C849)</f>
        <v>3</v>
      </c>
      <c r="L849">
        <f>COUNTIFS(GESTIONES!$A:$A, BASE_CUENTAS!$A849,GESTIONES!$B:$B, BASE_CUENTAS!$C849,GESTIONES!$E:$E, "S")</f>
        <v>2</v>
      </c>
      <c r="M849">
        <f>COUNTIFS(GESTIONES!$A:$A, BASE_CUENTAS!$A849,GESTIONES!$B:$B, BASE_CUENTAS!$C849,GESTIONES!$E:$E, "N")</f>
        <v>1</v>
      </c>
      <c r="N849">
        <f>COUNTIFS(GESTIONES!$A:$A, BASE_CUENTAS!$A849,GESTIONES!$B:$B, BASE_CUENTAS!$C849,GESTIONES!$D:$D, "SMS")</f>
        <v>1</v>
      </c>
      <c r="O849">
        <f>SUMIFS(PAGOS!$D:$D,PAGOS!$A:$A, BASE_CUENTAS!$A849,PAGOS!$B:$B, BASE_CUENTAS!$C849)</f>
        <v>0</v>
      </c>
      <c r="P849" t="str">
        <f>IF(
VLOOKUP($C849,BASE_CIERRE_MES!$C:$G,5,FALSE)=0,
"Normalización",
IF(
VLOOKUP($C849,BASE_CIERRE_MES!$C:$G,5,FALSE)&lt;$H849,
"Recuperación",
IF(
VLOOKUP($C849,BASE_CIERRE_MES!$C:$G,5,FALSE)=$H849,
"Contención",
"Rodamiento"
)))</f>
        <v>Rodamiento</v>
      </c>
      <c r="Q849">
        <f t="shared" si="13"/>
        <v>0</v>
      </c>
    </row>
    <row r="850" spans="1:17" x14ac:dyDescent="0.25">
      <c r="A850">
        <v>8525340</v>
      </c>
      <c r="B850" t="s">
        <v>18</v>
      </c>
      <c r="C850">
        <v>10637802</v>
      </c>
      <c r="D850" t="s">
        <v>7</v>
      </c>
      <c r="E850">
        <v>1982732</v>
      </c>
      <c r="F850" s="2">
        <v>967767</v>
      </c>
      <c r="G850" s="2">
        <v>198536</v>
      </c>
      <c r="H850">
        <v>60</v>
      </c>
      <c r="I850" s="1">
        <v>42481</v>
      </c>
      <c r="J850" t="s">
        <v>6</v>
      </c>
      <c r="K850">
        <f>COUNTIFS(GESTIONES!$A:$A, BASE_CUENTAS!$A850, GESTIONES!$B:$B, BASE_CUENTAS!$C850)</f>
        <v>3</v>
      </c>
      <c r="L850">
        <f>COUNTIFS(GESTIONES!$A:$A, BASE_CUENTAS!$A850,GESTIONES!$B:$B, BASE_CUENTAS!$C850,GESTIONES!$E:$E, "S")</f>
        <v>1</v>
      </c>
      <c r="M850">
        <f>COUNTIFS(GESTIONES!$A:$A, BASE_CUENTAS!$A850,GESTIONES!$B:$B, BASE_CUENTAS!$C850,GESTIONES!$E:$E, "N")</f>
        <v>2</v>
      </c>
      <c r="N850">
        <f>COUNTIFS(GESTIONES!$A:$A, BASE_CUENTAS!$A850,GESTIONES!$B:$B, BASE_CUENTAS!$C850,GESTIONES!$D:$D, "SMS")</f>
        <v>0</v>
      </c>
      <c r="O850">
        <f>SUMIFS(PAGOS!$D:$D,PAGOS!$A:$A, BASE_CUENTAS!$A850,PAGOS!$B:$B, BASE_CUENTAS!$C850)</f>
        <v>198536</v>
      </c>
      <c r="P850" t="str">
        <f>IF(
VLOOKUP($C850,BASE_CIERRE_MES!$C:$G,5,FALSE)=0,
"Normalización",
IF(
VLOOKUP($C850,BASE_CIERRE_MES!$C:$G,5,FALSE)&lt;$H850,
"Recuperación",
IF(
VLOOKUP($C850,BASE_CIERRE_MES!$C:$G,5,FALSE)=$H850,
"Contención",
"Rodamiento"
)))</f>
        <v>Normalización</v>
      </c>
      <c r="Q850">
        <f t="shared" si="13"/>
        <v>0.2051485533191357</v>
      </c>
    </row>
    <row r="851" spans="1:17" x14ac:dyDescent="0.25">
      <c r="A851">
        <v>8525340</v>
      </c>
      <c r="B851" t="s">
        <v>18</v>
      </c>
      <c r="C851">
        <v>10638085</v>
      </c>
      <c r="D851" t="s">
        <v>7</v>
      </c>
      <c r="E851">
        <v>1982732</v>
      </c>
      <c r="F851" s="2">
        <v>1012966</v>
      </c>
      <c r="G851" s="2">
        <v>243735</v>
      </c>
      <c r="H851">
        <v>60</v>
      </c>
      <c r="I851" s="1">
        <v>42491</v>
      </c>
      <c r="J851" t="s">
        <v>6</v>
      </c>
      <c r="K851">
        <f>COUNTIFS(GESTIONES!$A:$A, BASE_CUENTAS!$A851, GESTIONES!$B:$B, BASE_CUENTAS!$C851)</f>
        <v>3</v>
      </c>
      <c r="L851">
        <f>COUNTIFS(GESTIONES!$A:$A, BASE_CUENTAS!$A851,GESTIONES!$B:$B, BASE_CUENTAS!$C851,GESTIONES!$E:$E, "S")</f>
        <v>0</v>
      </c>
      <c r="M851">
        <f>COUNTIFS(GESTIONES!$A:$A, BASE_CUENTAS!$A851,GESTIONES!$B:$B, BASE_CUENTAS!$C851,GESTIONES!$E:$E, "N")</f>
        <v>3</v>
      </c>
      <c r="N851">
        <f>COUNTIFS(GESTIONES!$A:$A, BASE_CUENTAS!$A851,GESTIONES!$B:$B, BASE_CUENTAS!$C851,GESTIONES!$D:$D, "SMS")</f>
        <v>1</v>
      </c>
      <c r="O851">
        <f>SUMIFS(PAGOS!$D:$D,PAGOS!$A:$A, BASE_CUENTAS!$A851,PAGOS!$B:$B, BASE_CUENTAS!$C851)</f>
        <v>0</v>
      </c>
      <c r="P851" t="str">
        <f>IF(
VLOOKUP($C851,BASE_CIERRE_MES!$C:$G,5,FALSE)=0,
"Normalización",
IF(
VLOOKUP($C851,BASE_CIERRE_MES!$C:$G,5,FALSE)&lt;$H851,
"Recuperación",
IF(
VLOOKUP($C851,BASE_CIERRE_MES!$C:$G,5,FALSE)=$H851,
"Contención",
"Rodamiento"
)))</f>
        <v>Rodamiento</v>
      </c>
      <c r="Q851">
        <f t="shared" si="13"/>
        <v>0</v>
      </c>
    </row>
    <row r="852" spans="1:17" x14ac:dyDescent="0.25">
      <c r="A852">
        <v>8525418</v>
      </c>
      <c r="B852" t="s">
        <v>18</v>
      </c>
      <c r="C852">
        <v>26225873</v>
      </c>
      <c r="D852" t="s">
        <v>7</v>
      </c>
      <c r="E852">
        <v>104241</v>
      </c>
      <c r="F852" s="2">
        <v>104241</v>
      </c>
      <c r="G852" s="2">
        <v>104241</v>
      </c>
      <c r="H852">
        <v>210</v>
      </c>
      <c r="I852" s="1">
        <v>42460</v>
      </c>
      <c r="J852" t="s">
        <v>5</v>
      </c>
      <c r="K852">
        <f>COUNTIFS(GESTIONES!$A:$A, BASE_CUENTAS!$A852, GESTIONES!$B:$B, BASE_CUENTAS!$C852)</f>
        <v>3</v>
      </c>
      <c r="L852">
        <f>COUNTIFS(GESTIONES!$A:$A, BASE_CUENTAS!$A852,GESTIONES!$B:$B, BASE_CUENTAS!$C852,GESTIONES!$E:$E, "S")</f>
        <v>1</v>
      </c>
      <c r="M852">
        <f>COUNTIFS(GESTIONES!$A:$A, BASE_CUENTAS!$A852,GESTIONES!$B:$B, BASE_CUENTAS!$C852,GESTIONES!$E:$E, "N")</f>
        <v>2</v>
      </c>
      <c r="N852">
        <f>COUNTIFS(GESTIONES!$A:$A, BASE_CUENTAS!$A852,GESTIONES!$B:$B, BASE_CUENTAS!$C852,GESTIONES!$D:$D, "SMS")</f>
        <v>2</v>
      </c>
      <c r="O852">
        <f>SUMIFS(PAGOS!$D:$D,PAGOS!$A:$A, BASE_CUENTAS!$A852,PAGOS!$B:$B, BASE_CUENTAS!$C852)</f>
        <v>0</v>
      </c>
      <c r="P852" t="str">
        <f>IF(
VLOOKUP($C852,BASE_CIERRE_MES!$C:$G,5,FALSE)=0,
"Normalización",
IF(
VLOOKUP($C852,BASE_CIERRE_MES!$C:$G,5,FALSE)&lt;$H852,
"Recuperación",
IF(
VLOOKUP($C852,BASE_CIERRE_MES!$C:$G,5,FALSE)=$H852,
"Contención",
"Rodamiento"
)))</f>
        <v>Rodamiento</v>
      </c>
      <c r="Q852">
        <f t="shared" si="13"/>
        <v>0</v>
      </c>
    </row>
    <row r="853" spans="1:17" x14ac:dyDescent="0.25">
      <c r="A853">
        <v>8525718</v>
      </c>
      <c r="B853" t="s">
        <v>18</v>
      </c>
      <c r="C853">
        <v>26653538</v>
      </c>
      <c r="D853" t="s">
        <v>7</v>
      </c>
      <c r="E853">
        <v>2113102</v>
      </c>
      <c r="F853" s="2">
        <v>2113102</v>
      </c>
      <c r="G853" s="2">
        <v>2113102</v>
      </c>
      <c r="H853">
        <v>210</v>
      </c>
      <c r="I853" s="1">
        <v>42460</v>
      </c>
      <c r="J853" t="s">
        <v>5</v>
      </c>
      <c r="K853">
        <f>COUNTIFS(GESTIONES!$A:$A, BASE_CUENTAS!$A853, GESTIONES!$B:$B, BASE_CUENTAS!$C853)</f>
        <v>3</v>
      </c>
      <c r="L853">
        <f>COUNTIFS(GESTIONES!$A:$A, BASE_CUENTAS!$A853,GESTIONES!$B:$B, BASE_CUENTAS!$C853,GESTIONES!$E:$E, "S")</f>
        <v>1</v>
      </c>
      <c r="M853">
        <f>COUNTIFS(GESTIONES!$A:$A, BASE_CUENTAS!$A853,GESTIONES!$B:$B, BASE_CUENTAS!$C853,GESTIONES!$E:$E, "N")</f>
        <v>2</v>
      </c>
      <c r="N853">
        <f>COUNTIFS(GESTIONES!$A:$A, BASE_CUENTAS!$A853,GESTIONES!$B:$B, BASE_CUENTAS!$C853,GESTIONES!$D:$D, "SMS")</f>
        <v>0</v>
      </c>
      <c r="O853">
        <f>SUMIFS(PAGOS!$D:$D,PAGOS!$A:$A, BASE_CUENTAS!$A853,PAGOS!$B:$B, BASE_CUENTAS!$C853)</f>
        <v>0</v>
      </c>
      <c r="P853" t="str">
        <f>IF(
VLOOKUP($C853,BASE_CIERRE_MES!$C:$G,5,FALSE)=0,
"Normalización",
IF(
VLOOKUP($C853,BASE_CIERRE_MES!$C:$G,5,FALSE)&lt;$H853,
"Recuperación",
IF(
VLOOKUP($C853,BASE_CIERRE_MES!$C:$G,5,FALSE)=$H853,
"Contención",
"Rodamiento"
)))</f>
        <v>Rodamiento</v>
      </c>
      <c r="Q853">
        <f t="shared" si="13"/>
        <v>0</v>
      </c>
    </row>
    <row r="854" spans="1:17" x14ac:dyDescent="0.25">
      <c r="A854">
        <v>8525766</v>
      </c>
      <c r="B854" t="s">
        <v>18</v>
      </c>
      <c r="C854">
        <v>27984804</v>
      </c>
      <c r="D854" t="s">
        <v>7</v>
      </c>
      <c r="E854">
        <v>2043829</v>
      </c>
      <c r="F854" s="2">
        <v>2043829</v>
      </c>
      <c r="G854" s="2">
        <v>334427</v>
      </c>
      <c r="H854">
        <v>60</v>
      </c>
      <c r="I854" s="1">
        <v>42483</v>
      </c>
      <c r="J854" t="s">
        <v>6</v>
      </c>
      <c r="K854">
        <f>COUNTIFS(GESTIONES!$A:$A, BASE_CUENTAS!$A854, GESTIONES!$B:$B, BASE_CUENTAS!$C854)</f>
        <v>3</v>
      </c>
      <c r="L854">
        <f>COUNTIFS(GESTIONES!$A:$A, BASE_CUENTAS!$A854,GESTIONES!$B:$B, BASE_CUENTAS!$C854,GESTIONES!$E:$E, "S")</f>
        <v>1</v>
      </c>
      <c r="M854">
        <f>COUNTIFS(GESTIONES!$A:$A, BASE_CUENTAS!$A854,GESTIONES!$B:$B, BASE_CUENTAS!$C854,GESTIONES!$E:$E, "N")</f>
        <v>2</v>
      </c>
      <c r="N854">
        <f>COUNTIFS(GESTIONES!$A:$A, BASE_CUENTAS!$A854,GESTIONES!$B:$B, BASE_CUENTAS!$C854,GESTIONES!$D:$D, "SMS")</f>
        <v>1</v>
      </c>
      <c r="O854">
        <f>SUMIFS(PAGOS!$D:$D,PAGOS!$A:$A, BASE_CUENTAS!$A854,PAGOS!$B:$B, BASE_CUENTAS!$C854)</f>
        <v>111476</v>
      </c>
      <c r="P854" t="str">
        <f>IF(
VLOOKUP($C854,BASE_CIERRE_MES!$C:$G,5,FALSE)=0,
"Normalización",
IF(
VLOOKUP($C854,BASE_CIERRE_MES!$C:$G,5,FALSE)&lt;$H854,
"Recuperación",
IF(
VLOOKUP($C854,BASE_CIERRE_MES!$C:$G,5,FALSE)=$H854,
"Contención",
"Rodamiento"
)))</f>
        <v>Contención</v>
      </c>
      <c r="Q854">
        <f t="shared" si="13"/>
        <v>5.4542723486162493E-2</v>
      </c>
    </row>
    <row r="855" spans="1:17" x14ac:dyDescent="0.25">
      <c r="A855">
        <v>8526274</v>
      </c>
      <c r="B855" t="s">
        <v>18</v>
      </c>
      <c r="C855">
        <v>21202055</v>
      </c>
      <c r="D855" t="s">
        <v>7</v>
      </c>
      <c r="E855">
        <v>2709624</v>
      </c>
      <c r="F855" s="2">
        <v>2709624</v>
      </c>
      <c r="G855" s="2">
        <v>572383</v>
      </c>
      <c r="H855">
        <v>60</v>
      </c>
      <c r="I855" s="1">
        <v>42487</v>
      </c>
      <c r="J855" t="s">
        <v>6</v>
      </c>
      <c r="K855">
        <f>COUNTIFS(GESTIONES!$A:$A, BASE_CUENTAS!$A855, GESTIONES!$B:$B, BASE_CUENTAS!$C855)</f>
        <v>3</v>
      </c>
      <c r="L855">
        <f>COUNTIFS(GESTIONES!$A:$A, BASE_CUENTAS!$A855,GESTIONES!$B:$B, BASE_CUENTAS!$C855,GESTIONES!$E:$E, "S")</f>
        <v>1</v>
      </c>
      <c r="M855">
        <f>COUNTIFS(GESTIONES!$A:$A, BASE_CUENTAS!$A855,GESTIONES!$B:$B, BASE_CUENTAS!$C855,GESTIONES!$E:$E, "N")</f>
        <v>2</v>
      </c>
      <c r="N855">
        <f>COUNTIFS(GESTIONES!$A:$A, BASE_CUENTAS!$A855,GESTIONES!$B:$B, BASE_CUENTAS!$C855,GESTIONES!$D:$D, "SMS")</f>
        <v>0</v>
      </c>
      <c r="O855">
        <f>SUMIFS(PAGOS!$D:$D,PAGOS!$A:$A, BASE_CUENTAS!$A855,PAGOS!$B:$B, BASE_CUENTAS!$C855)</f>
        <v>0</v>
      </c>
      <c r="P855" t="str">
        <f>IF(
VLOOKUP($C855,BASE_CIERRE_MES!$C:$G,5,FALSE)=0,
"Normalización",
IF(
VLOOKUP($C855,BASE_CIERRE_MES!$C:$G,5,FALSE)&lt;$H855,
"Recuperación",
IF(
VLOOKUP($C855,BASE_CIERRE_MES!$C:$G,5,FALSE)=$H855,
"Contención",
"Rodamiento"
)))</f>
        <v>Rodamiento</v>
      </c>
      <c r="Q855">
        <f t="shared" si="13"/>
        <v>0</v>
      </c>
    </row>
    <row r="856" spans="1:17" x14ac:dyDescent="0.25">
      <c r="A856">
        <v>8526376</v>
      </c>
      <c r="B856" t="s">
        <v>17</v>
      </c>
      <c r="C856">
        <v>27672437</v>
      </c>
      <c r="D856" t="s">
        <v>7</v>
      </c>
      <c r="E856">
        <v>23269652</v>
      </c>
      <c r="F856" s="2">
        <v>1061910</v>
      </c>
      <c r="G856" s="2">
        <v>3902</v>
      </c>
      <c r="H856">
        <v>30</v>
      </c>
      <c r="I856" s="1">
        <v>42521</v>
      </c>
      <c r="J856" t="s">
        <v>4</v>
      </c>
      <c r="K856">
        <f>COUNTIFS(GESTIONES!$A:$A, BASE_CUENTAS!$A856, GESTIONES!$B:$B, BASE_CUENTAS!$C856)</f>
        <v>3</v>
      </c>
      <c r="L856">
        <f>COUNTIFS(GESTIONES!$A:$A, BASE_CUENTAS!$A856,GESTIONES!$B:$B, BASE_CUENTAS!$C856,GESTIONES!$E:$E, "S")</f>
        <v>0</v>
      </c>
      <c r="M856">
        <f>COUNTIFS(GESTIONES!$A:$A, BASE_CUENTAS!$A856,GESTIONES!$B:$B, BASE_CUENTAS!$C856,GESTIONES!$E:$E, "N")</f>
        <v>3</v>
      </c>
      <c r="N856">
        <f>COUNTIFS(GESTIONES!$A:$A, BASE_CUENTAS!$A856,GESTIONES!$B:$B, BASE_CUENTAS!$C856,GESTIONES!$D:$D, "SMS")</f>
        <v>1</v>
      </c>
      <c r="O856">
        <f>SUMIFS(PAGOS!$D:$D,PAGOS!$A:$A, BASE_CUENTAS!$A856,PAGOS!$B:$B, BASE_CUENTAS!$C856)</f>
        <v>0</v>
      </c>
      <c r="P856" t="str">
        <f>IF(
VLOOKUP($C856,BASE_CIERRE_MES!$C:$G,5,FALSE)=0,
"Normalización",
IF(
VLOOKUP($C856,BASE_CIERRE_MES!$C:$G,5,FALSE)&lt;$H856,
"Recuperación",
IF(
VLOOKUP($C856,BASE_CIERRE_MES!$C:$G,5,FALSE)=$H856,
"Contención",
"Rodamiento"
)))</f>
        <v>Rodamiento</v>
      </c>
      <c r="Q856">
        <f t="shared" si="13"/>
        <v>0</v>
      </c>
    </row>
    <row r="857" spans="1:17" x14ac:dyDescent="0.25">
      <c r="A857">
        <v>8549511</v>
      </c>
      <c r="B857" t="s">
        <v>16</v>
      </c>
      <c r="C857">
        <v>15077029</v>
      </c>
      <c r="D857" t="s">
        <v>8</v>
      </c>
      <c r="E857">
        <v>26082732</v>
      </c>
      <c r="F857" s="2">
        <v>24356466</v>
      </c>
      <c r="G857" s="2">
        <v>555720</v>
      </c>
      <c r="H857">
        <v>2</v>
      </c>
      <c r="I857" s="1">
        <v>42529</v>
      </c>
      <c r="J857" t="s">
        <v>6</v>
      </c>
      <c r="K857">
        <f>COUNTIFS(GESTIONES!$A:$A, BASE_CUENTAS!$A857, GESTIONES!$B:$B, BASE_CUENTAS!$C857)</f>
        <v>3</v>
      </c>
      <c r="L857">
        <f>COUNTIFS(GESTIONES!$A:$A, BASE_CUENTAS!$A857,GESTIONES!$B:$B, BASE_CUENTAS!$C857,GESTIONES!$E:$E, "S")</f>
        <v>1</v>
      </c>
      <c r="M857">
        <f>COUNTIFS(GESTIONES!$A:$A, BASE_CUENTAS!$A857,GESTIONES!$B:$B, BASE_CUENTAS!$C857,GESTIONES!$E:$E, "N")</f>
        <v>2</v>
      </c>
      <c r="N857">
        <f>COUNTIFS(GESTIONES!$A:$A, BASE_CUENTAS!$A857,GESTIONES!$B:$B, BASE_CUENTAS!$C857,GESTIONES!$D:$D, "SMS")</f>
        <v>2</v>
      </c>
      <c r="O857">
        <f>SUMIFS(PAGOS!$D:$D,PAGOS!$A:$A, BASE_CUENTAS!$A857,PAGOS!$B:$B, BASE_CUENTAS!$C857)</f>
        <v>185240</v>
      </c>
      <c r="P857" t="str">
        <f>IF(
VLOOKUP($C857,BASE_CIERRE_MES!$C:$G,5,FALSE)=0,
"Normalización",
IF(
VLOOKUP($C857,BASE_CIERRE_MES!$C:$G,5,FALSE)&lt;$H857,
"Recuperación",
IF(
VLOOKUP($C857,BASE_CIERRE_MES!$C:$G,5,FALSE)=$H857,
"Contención",
"Rodamiento"
)))</f>
        <v>Rodamiento</v>
      </c>
      <c r="Q857">
        <f t="shared" si="13"/>
        <v>7.6053726349298786E-3</v>
      </c>
    </row>
    <row r="858" spans="1:17" x14ac:dyDescent="0.25">
      <c r="A858">
        <v>8549511</v>
      </c>
      <c r="B858" t="s">
        <v>16</v>
      </c>
      <c r="C858">
        <v>27542907</v>
      </c>
      <c r="D858" t="s">
        <v>7</v>
      </c>
      <c r="E858">
        <v>26082732</v>
      </c>
      <c r="F858" s="2">
        <v>1257371</v>
      </c>
      <c r="G858" s="2">
        <v>290924</v>
      </c>
      <c r="H858">
        <v>30</v>
      </c>
      <c r="I858" s="1">
        <v>42508</v>
      </c>
      <c r="J858" t="s">
        <v>6</v>
      </c>
      <c r="K858">
        <f>COUNTIFS(GESTIONES!$A:$A, BASE_CUENTAS!$A858, GESTIONES!$B:$B, BASE_CUENTAS!$C858)</f>
        <v>3</v>
      </c>
      <c r="L858">
        <f>COUNTIFS(GESTIONES!$A:$A, BASE_CUENTAS!$A858,GESTIONES!$B:$B, BASE_CUENTAS!$C858,GESTIONES!$E:$E, "S")</f>
        <v>1</v>
      </c>
      <c r="M858">
        <f>COUNTIFS(GESTIONES!$A:$A, BASE_CUENTAS!$A858,GESTIONES!$B:$B, BASE_CUENTAS!$C858,GESTIONES!$E:$E, "N")</f>
        <v>2</v>
      </c>
      <c r="N858">
        <f>COUNTIFS(GESTIONES!$A:$A, BASE_CUENTAS!$A858,GESTIONES!$B:$B, BASE_CUENTAS!$C858,GESTIONES!$D:$D, "SMS")</f>
        <v>0</v>
      </c>
      <c r="O858">
        <f>SUMIFS(PAGOS!$D:$D,PAGOS!$A:$A, BASE_CUENTAS!$A858,PAGOS!$B:$B, BASE_CUENTAS!$C858)</f>
        <v>290924</v>
      </c>
      <c r="P858" t="str">
        <f>IF(
VLOOKUP($C858,BASE_CIERRE_MES!$C:$G,5,FALSE)=0,
"Normalización",
IF(
VLOOKUP($C858,BASE_CIERRE_MES!$C:$G,5,FALSE)&lt;$H858,
"Recuperación",
IF(
VLOOKUP($C858,BASE_CIERRE_MES!$C:$G,5,FALSE)=$H858,
"Contención",
"Rodamiento"
)))</f>
        <v>Normalización</v>
      </c>
      <c r="Q858">
        <f t="shared" si="13"/>
        <v>0.23137482890889005</v>
      </c>
    </row>
    <row r="859" spans="1:17" x14ac:dyDescent="0.25">
      <c r="A859">
        <v>8549588</v>
      </c>
      <c r="B859" t="s">
        <v>18</v>
      </c>
      <c r="C859">
        <v>24223502</v>
      </c>
      <c r="D859" t="s">
        <v>7</v>
      </c>
      <c r="E859">
        <v>653252</v>
      </c>
      <c r="F859" s="2">
        <v>653252</v>
      </c>
      <c r="G859" s="2">
        <v>653252</v>
      </c>
      <c r="H859">
        <v>120</v>
      </c>
      <c r="I859" s="1">
        <v>42519</v>
      </c>
      <c r="J859" t="s">
        <v>5</v>
      </c>
      <c r="K859">
        <f>COUNTIFS(GESTIONES!$A:$A, BASE_CUENTAS!$A859, GESTIONES!$B:$B, BASE_CUENTAS!$C859)</f>
        <v>3</v>
      </c>
      <c r="L859">
        <f>COUNTIFS(GESTIONES!$A:$A, BASE_CUENTAS!$A859,GESTIONES!$B:$B, BASE_CUENTAS!$C859,GESTIONES!$E:$E, "S")</f>
        <v>1</v>
      </c>
      <c r="M859">
        <f>COUNTIFS(GESTIONES!$A:$A, BASE_CUENTAS!$A859,GESTIONES!$B:$B, BASE_CUENTAS!$C859,GESTIONES!$E:$E, "N")</f>
        <v>2</v>
      </c>
      <c r="N859">
        <f>COUNTIFS(GESTIONES!$A:$A, BASE_CUENTAS!$A859,GESTIONES!$B:$B, BASE_CUENTAS!$C859,GESTIONES!$D:$D, "SMS")</f>
        <v>1</v>
      </c>
      <c r="O859">
        <f>SUMIFS(PAGOS!$D:$D,PAGOS!$A:$A, BASE_CUENTAS!$A859,PAGOS!$B:$B, BASE_CUENTAS!$C859)</f>
        <v>0</v>
      </c>
      <c r="P859" t="str">
        <f>IF(
VLOOKUP($C859,BASE_CIERRE_MES!$C:$G,5,FALSE)=0,
"Normalización",
IF(
VLOOKUP($C859,BASE_CIERRE_MES!$C:$G,5,FALSE)&lt;$H859,
"Recuperación",
IF(
VLOOKUP($C859,BASE_CIERRE_MES!$C:$G,5,FALSE)=$H859,
"Contención",
"Rodamiento"
)))</f>
        <v>Rodamiento</v>
      </c>
      <c r="Q859">
        <f t="shared" si="13"/>
        <v>0</v>
      </c>
    </row>
    <row r="860" spans="1:17" x14ac:dyDescent="0.25">
      <c r="A860">
        <v>8549887</v>
      </c>
      <c r="B860" t="s">
        <v>18</v>
      </c>
      <c r="C860">
        <v>23896168</v>
      </c>
      <c r="D860" t="s">
        <v>7</v>
      </c>
      <c r="E860">
        <v>674250</v>
      </c>
      <c r="F860" s="2">
        <v>674250</v>
      </c>
      <c r="G860" s="2">
        <v>75462</v>
      </c>
      <c r="H860">
        <v>30</v>
      </c>
      <c r="I860" s="1">
        <v>42508</v>
      </c>
      <c r="J860" t="s">
        <v>6</v>
      </c>
      <c r="K860">
        <f>COUNTIFS(GESTIONES!$A:$A, BASE_CUENTAS!$A860, GESTIONES!$B:$B, BASE_CUENTAS!$C860)</f>
        <v>3</v>
      </c>
      <c r="L860">
        <f>COUNTIFS(GESTIONES!$A:$A, BASE_CUENTAS!$A860,GESTIONES!$B:$B, BASE_CUENTAS!$C860,GESTIONES!$E:$E, "S")</f>
        <v>1</v>
      </c>
      <c r="M860">
        <f>COUNTIFS(GESTIONES!$A:$A, BASE_CUENTAS!$A860,GESTIONES!$B:$B, BASE_CUENTAS!$C860,GESTIONES!$E:$E, "N")</f>
        <v>2</v>
      </c>
      <c r="N860">
        <f>COUNTIFS(GESTIONES!$A:$A, BASE_CUENTAS!$A860,GESTIONES!$B:$B, BASE_CUENTAS!$C860,GESTIONES!$D:$D, "SMS")</f>
        <v>0</v>
      </c>
      <c r="O860">
        <f>SUMIFS(PAGOS!$D:$D,PAGOS!$A:$A, BASE_CUENTAS!$A860,PAGOS!$B:$B, BASE_CUENTAS!$C860)</f>
        <v>0</v>
      </c>
      <c r="P860" t="str">
        <f>IF(
VLOOKUP($C860,BASE_CIERRE_MES!$C:$G,5,FALSE)=0,
"Normalización",
IF(
VLOOKUP($C860,BASE_CIERRE_MES!$C:$G,5,FALSE)&lt;$H860,
"Recuperación",
IF(
VLOOKUP($C860,BASE_CIERRE_MES!$C:$G,5,FALSE)=$H860,
"Contención",
"Rodamiento"
)))</f>
        <v>Rodamiento</v>
      </c>
      <c r="Q860">
        <f t="shared" si="13"/>
        <v>0</v>
      </c>
    </row>
    <row r="861" spans="1:17" x14ac:dyDescent="0.25">
      <c r="A861">
        <v>8550032</v>
      </c>
      <c r="B861" t="s">
        <v>17</v>
      </c>
      <c r="C861">
        <v>23865163</v>
      </c>
      <c r="D861" t="s">
        <v>7</v>
      </c>
      <c r="E861">
        <v>3686425</v>
      </c>
      <c r="F861" s="2">
        <v>1824806</v>
      </c>
      <c r="G861" s="2">
        <v>1824806</v>
      </c>
      <c r="H861">
        <v>150</v>
      </c>
      <c r="I861" s="1">
        <v>42508</v>
      </c>
      <c r="J861" t="s">
        <v>5</v>
      </c>
      <c r="K861">
        <f>COUNTIFS(GESTIONES!$A:$A, BASE_CUENTAS!$A861, GESTIONES!$B:$B, BASE_CUENTAS!$C861)</f>
        <v>3</v>
      </c>
      <c r="L861">
        <f>COUNTIFS(GESTIONES!$A:$A, BASE_CUENTAS!$A861,GESTIONES!$B:$B, BASE_CUENTAS!$C861,GESTIONES!$E:$E, "S")</f>
        <v>0</v>
      </c>
      <c r="M861">
        <f>COUNTIFS(GESTIONES!$A:$A, BASE_CUENTAS!$A861,GESTIONES!$B:$B, BASE_CUENTAS!$C861,GESTIONES!$E:$E, "N")</f>
        <v>3</v>
      </c>
      <c r="N861">
        <f>COUNTIFS(GESTIONES!$A:$A, BASE_CUENTAS!$A861,GESTIONES!$B:$B, BASE_CUENTAS!$C861,GESTIONES!$D:$D, "SMS")</f>
        <v>1</v>
      </c>
      <c r="O861">
        <f>SUMIFS(PAGOS!$D:$D,PAGOS!$A:$A, BASE_CUENTAS!$A861,PAGOS!$B:$B, BASE_CUENTAS!$C861)</f>
        <v>0</v>
      </c>
      <c r="P861" t="str">
        <f>IF(
VLOOKUP($C861,BASE_CIERRE_MES!$C:$G,5,FALSE)=0,
"Normalización",
IF(
VLOOKUP($C861,BASE_CIERRE_MES!$C:$G,5,FALSE)&lt;$H861,
"Recuperación",
IF(
VLOOKUP($C861,BASE_CIERRE_MES!$C:$G,5,FALSE)=$H861,
"Contención",
"Rodamiento"
)))</f>
        <v>Rodamiento</v>
      </c>
      <c r="Q861">
        <f t="shared" si="13"/>
        <v>0</v>
      </c>
    </row>
    <row r="862" spans="1:17" x14ac:dyDescent="0.25">
      <c r="A862">
        <v>8550032</v>
      </c>
      <c r="B862" t="s">
        <v>17</v>
      </c>
      <c r="C862">
        <v>26664605</v>
      </c>
      <c r="D862" t="s">
        <v>7</v>
      </c>
      <c r="E862">
        <v>3686425</v>
      </c>
      <c r="F862" s="2">
        <v>1861618</v>
      </c>
      <c r="G862" s="2">
        <v>1861619</v>
      </c>
      <c r="H862">
        <v>180</v>
      </c>
      <c r="I862" s="1">
        <v>42490</v>
      </c>
      <c r="J862" t="s">
        <v>5</v>
      </c>
      <c r="K862">
        <f>COUNTIFS(GESTIONES!$A:$A, BASE_CUENTAS!$A862, GESTIONES!$B:$B, BASE_CUENTAS!$C862)</f>
        <v>3</v>
      </c>
      <c r="L862">
        <f>COUNTIFS(GESTIONES!$A:$A, BASE_CUENTAS!$A862,GESTIONES!$B:$B, BASE_CUENTAS!$C862,GESTIONES!$E:$E, "S")</f>
        <v>1</v>
      </c>
      <c r="M862">
        <f>COUNTIFS(GESTIONES!$A:$A, BASE_CUENTAS!$A862,GESTIONES!$B:$B, BASE_CUENTAS!$C862,GESTIONES!$E:$E, "N")</f>
        <v>2</v>
      </c>
      <c r="N862">
        <f>COUNTIFS(GESTIONES!$A:$A, BASE_CUENTAS!$A862,GESTIONES!$B:$B, BASE_CUENTAS!$C862,GESTIONES!$D:$D, "SMS")</f>
        <v>2</v>
      </c>
      <c r="O862">
        <f>SUMIFS(PAGOS!$D:$D,PAGOS!$A:$A, BASE_CUENTAS!$A862,PAGOS!$B:$B, BASE_CUENTAS!$C862)</f>
        <v>1861619</v>
      </c>
      <c r="P862" t="str">
        <f>IF(
VLOOKUP($C862,BASE_CIERRE_MES!$C:$G,5,FALSE)=0,
"Normalización",
IF(
VLOOKUP($C862,BASE_CIERRE_MES!$C:$G,5,FALSE)&lt;$H862,
"Recuperación",
IF(
VLOOKUP($C862,BASE_CIERRE_MES!$C:$G,5,FALSE)=$H862,
"Contención",
"Rodamiento"
)))</f>
        <v>Normalización</v>
      </c>
      <c r="Q862">
        <f t="shared" si="13"/>
        <v>1.000000537167131</v>
      </c>
    </row>
    <row r="863" spans="1:17" x14ac:dyDescent="0.25">
      <c r="A863">
        <v>8550135</v>
      </c>
      <c r="B863" t="s">
        <v>16</v>
      </c>
      <c r="C863">
        <v>23836912</v>
      </c>
      <c r="D863" t="s">
        <v>7</v>
      </c>
      <c r="E863">
        <v>31082508</v>
      </c>
      <c r="F863" s="2">
        <v>3498563</v>
      </c>
      <c r="G863" s="2">
        <v>751204</v>
      </c>
      <c r="H863">
        <v>90</v>
      </c>
      <c r="I863" s="1">
        <v>42503</v>
      </c>
      <c r="J863" t="s">
        <v>6</v>
      </c>
      <c r="K863">
        <f>COUNTIFS(GESTIONES!$A:$A, BASE_CUENTAS!$A863, GESTIONES!$B:$B, BASE_CUENTAS!$C863)</f>
        <v>3</v>
      </c>
      <c r="L863">
        <f>COUNTIFS(GESTIONES!$A:$A, BASE_CUENTAS!$A863,GESTIONES!$B:$B, BASE_CUENTAS!$C863,GESTIONES!$E:$E, "S")</f>
        <v>1</v>
      </c>
      <c r="M863">
        <f>COUNTIFS(GESTIONES!$A:$A, BASE_CUENTAS!$A863,GESTIONES!$B:$B, BASE_CUENTAS!$C863,GESTIONES!$E:$E, "N")</f>
        <v>2</v>
      </c>
      <c r="N863">
        <f>COUNTIFS(GESTIONES!$A:$A, BASE_CUENTAS!$A863,GESTIONES!$B:$B, BASE_CUENTAS!$C863,GESTIONES!$D:$D, "SMS")</f>
        <v>0</v>
      </c>
      <c r="O863">
        <f>SUMIFS(PAGOS!$D:$D,PAGOS!$A:$A, BASE_CUENTAS!$A863,PAGOS!$B:$B, BASE_CUENTAS!$C863)</f>
        <v>0</v>
      </c>
      <c r="P863" t="str">
        <f>IF(
VLOOKUP($C863,BASE_CIERRE_MES!$C:$G,5,FALSE)=0,
"Normalización",
IF(
VLOOKUP($C863,BASE_CIERRE_MES!$C:$G,5,FALSE)&lt;$H863,
"Recuperación",
IF(
VLOOKUP($C863,BASE_CIERRE_MES!$C:$G,5,FALSE)=$H863,
"Contención",
"Rodamiento"
)))</f>
        <v>Rodamiento</v>
      </c>
      <c r="Q863">
        <f t="shared" si="13"/>
        <v>0</v>
      </c>
    </row>
    <row r="864" spans="1:17" x14ac:dyDescent="0.25">
      <c r="A864">
        <v>8550135</v>
      </c>
      <c r="B864" t="s">
        <v>16</v>
      </c>
      <c r="C864">
        <v>25353899</v>
      </c>
      <c r="D864" t="s">
        <v>9</v>
      </c>
      <c r="E864">
        <v>31082508</v>
      </c>
      <c r="F864" s="2">
        <v>9443146</v>
      </c>
      <c r="G864" s="2">
        <v>967307</v>
      </c>
      <c r="H864">
        <v>74</v>
      </c>
      <c r="I864" s="1">
        <v>42503</v>
      </c>
      <c r="J864" t="s">
        <v>6</v>
      </c>
      <c r="K864">
        <f>COUNTIFS(GESTIONES!$A:$A, BASE_CUENTAS!$A864, GESTIONES!$B:$B, BASE_CUENTAS!$C864)</f>
        <v>3</v>
      </c>
      <c r="L864">
        <f>COUNTIFS(GESTIONES!$A:$A, BASE_CUENTAS!$A864,GESTIONES!$B:$B, BASE_CUENTAS!$C864,GESTIONES!$E:$E, "S")</f>
        <v>1</v>
      </c>
      <c r="M864">
        <f>COUNTIFS(GESTIONES!$A:$A, BASE_CUENTAS!$A864,GESTIONES!$B:$B, BASE_CUENTAS!$C864,GESTIONES!$E:$E, "N")</f>
        <v>2</v>
      </c>
      <c r="N864">
        <f>COUNTIFS(GESTIONES!$A:$A, BASE_CUENTAS!$A864,GESTIONES!$B:$B, BASE_CUENTAS!$C864,GESTIONES!$D:$D, "SMS")</f>
        <v>1</v>
      </c>
      <c r="O864">
        <f>SUMIFS(PAGOS!$D:$D,PAGOS!$A:$A, BASE_CUENTAS!$A864,PAGOS!$B:$B, BASE_CUENTAS!$C864)</f>
        <v>0</v>
      </c>
      <c r="P864" t="str">
        <f>IF(
VLOOKUP($C864,BASE_CIERRE_MES!$C:$G,5,FALSE)=0,
"Normalización",
IF(
VLOOKUP($C864,BASE_CIERRE_MES!$C:$G,5,FALSE)&lt;$H864,
"Recuperación",
IF(
VLOOKUP($C864,BASE_CIERRE_MES!$C:$G,5,FALSE)=$H864,
"Contención",
"Rodamiento"
)))</f>
        <v>Rodamiento</v>
      </c>
      <c r="Q864">
        <f t="shared" si="13"/>
        <v>0</v>
      </c>
    </row>
    <row r="865" spans="1:17" x14ac:dyDescent="0.25">
      <c r="A865">
        <v>8550135</v>
      </c>
      <c r="B865" t="s">
        <v>16</v>
      </c>
      <c r="C865">
        <v>26223205</v>
      </c>
      <c r="D865" t="s">
        <v>9</v>
      </c>
      <c r="E865">
        <v>31082508</v>
      </c>
      <c r="F865" s="2">
        <v>8881018</v>
      </c>
      <c r="G865" s="2">
        <v>840004</v>
      </c>
      <c r="H865">
        <v>89</v>
      </c>
      <c r="I865" s="1">
        <v>42503</v>
      </c>
      <c r="J865" t="s">
        <v>6</v>
      </c>
      <c r="K865">
        <f>COUNTIFS(GESTIONES!$A:$A, BASE_CUENTAS!$A865, GESTIONES!$B:$B, BASE_CUENTAS!$C865)</f>
        <v>3</v>
      </c>
      <c r="L865">
        <f>COUNTIFS(GESTIONES!$A:$A, BASE_CUENTAS!$A865,GESTIONES!$B:$B, BASE_CUENTAS!$C865,GESTIONES!$E:$E, "S")</f>
        <v>2</v>
      </c>
      <c r="M865">
        <f>COUNTIFS(GESTIONES!$A:$A, BASE_CUENTAS!$A865,GESTIONES!$B:$B, BASE_CUENTAS!$C865,GESTIONES!$E:$E, "N")</f>
        <v>1</v>
      </c>
      <c r="N865">
        <f>COUNTIFS(GESTIONES!$A:$A, BASE_CUENTAS!$A865,GESTIONES!$B:$B, BASE_CUENTAS!$C865,GESTIONES!$D:$D, "SMS")</f>
        <v>0</v>
      </c>
      <c r="O865">
        <f>SUMIFS(PAGOS!$D:$D,PAGOS!$A:$A, BASE_CUENTAS!$A865,PAGOS!$B:$B, BASE_CUENTAS!$C865)</f>
        <v>280002</v>
      </c>
      <c r="P865" t="str">
        <f>IF(
VLOOKUP($C865,BASE_CIERRE_MES!$C:$G,5,FALSE)=0,
"Normalización",
IF(
VLOOKUP($C865,BASE_CIERRE_MES!$C:$G,5,FALSE)&lt;$H865,
"Recuperación",
IF(
VLOOKUP($C865,BASE_CIERRE_MES!$C:$G,5,FALSE)=$H865,
"Contención",
"Rodamiento"
)))</f>
        <v>Contención</v>
      </c>
      <c r="Q865">
        <f t="shared" si="13"/>
        <v>3.1528142381875589E-2</v>
      </c>
    </row>
    <row r="866" spans="1:17" x14ac:dyDescent="0.25">
      <c r="A866">
        <v>8550135</v>
      </c>
      <c r="B866" t="s">
        <v>16</v>
      </c>
      <c r="C866">
        <v>26235241</v>
      </c>
      <c r="D866" t="s">
        <v>12</v>
      </c>
      <c r="E866">
        <v>31082508</v>
      </c>
      <c r="F866" s="2">
        <v>1533392</v>
      </c>
      <c r="G866" s="2">
        <v>221778</v>
      </c>
      <c r="H866">
        <v>85</v>
      </c>
      <c r="I866" s="1">
        <v>42503</v>
      </c>
      <c r="J866" t="s">
        <v>6</v>
      </c>
      <c r="K866">
        <f>COUNTIFS(GESTIONES!$A:$A, BASE_CUENTAS!$A866, GESTIONES!$B:$B, BASE_CUENTAS!$C866)</f>
        <v>3</v>
      </c>
      <c r="L866">
        <f>COUNTIFS(GESTIONES!$A:$A, BASE_CUENTAS!$A866,GESTIONES!$B:$B, BASE_CUENTAS!$C866,GESTIONES!$E:$E, "S")</f>
        <v>1</v>
      </c>
      <c r="M866">
        <f>COUNTIFS(GESTIONES!$A:$A, BASE_CUENTAS!$A866,GESTIONES!$B:$B, BASE_CUENTAS!$C866,GESTIONES!$E:$E, "N")</f>
        <v>2</v>
      </c>
      <c r="N866">
        <f>COUNTIFS(GESTIONES!$A:$A, BASE_CUENTAS!$A866,GESTIONES!$B:$B, BASE_CUENTAS!$C866,GESTIONES!$D:$D, "SMS")</f>
        <v>0</v>
      </c>
      <c r="O866">
        <f>SUMIFS(PAGOS!$D:$D,PAGOS!$A:$A, BASE_CUENTAS!$A866,PAGOS!$B:$B, BASE_CUENTAS!$C866)</f>
        <v>221778</v>
      </c>
      <c r="P866" t="str">
        <f>IF(
VLOOKUP($C866,BASE_CIERRE_MES!$C:$G,5,FALSE)=0,
"Normalización",
IF(
VLOOKUP($C866,BASE_CIERRE_MES!$C:$G,5,FALSE)&lt;$H866,
"Recuperación",
IF(
VLOOKUP($C866,BASE_CIERRE_MES!$C:$G,5,FALSE)=$H866,
"Contención",
"Rodamiento"
)))</f>
        <v>Normalización</v>
      </c>
      <c r="Q866">
        <f t="shared" si="13"/>
        <v>0.14463229232968478</v>
      </c>
    </row>
    <row r="867" spans="1:17" x14ac:dyDescent="0.25">
      <c r="A867">
        <v>8550135</v>
      </c>
      <c r="B867" t="s">
        <v>16</v>
      </c>
      <c r="C867">
        <v>27107473</v>
      </c>
      <c r="D867" t="s">
        <v>12</v>
      </c>
      <c r="E867">
        <v>31082508</v>
      </c>
      <c r="F867" s="2">
        <v>204917</v>
      </c>
      <c r="G867" s="2">
        <v>26523</v>
      </c>
      <c r="H867">
        <v>85</v>
      </c>
      <c r="I867" s="1">
        <v>42503</v>
      </c>
      <c r="J867" t="s">
        <v>6</v>
      </c>
      <c r="K867">
        <f>COUNTIFS(GESTIONES!$A:$A, BASE_CUENTAS!$A867, GESTIONES!$B:$B, BASE_CUENTAS!$C867)</f>
        <v>3</v>
      </c>
      <c r="L867">
        <f>COUNTIFS(GESTIONES!$A:$A, BASE_CUENTAS!$A867,GESTIONES!$B:$B, BASE_CUENTAS!$C867,GESTIONES!$E:$E, "S")</f>
        <v>0</v>
      </c>
      <c r="M867">
        <f>COUNTIFS(GESTIONES!$A:$A, BASE_CUENTAS!$A867,GESTIONES!$B:$B, BASE_CUENTAS!$C867,GESTIONES!$E:$E, "N")</f>
        <v>3</v>
      </c>
      <c r="N867">
        <f>COUNTIFS(GESTIONES!$A:$A, BASE_CUENTAS!$A867,GESTIONES!$B:$B, BASE_CUENTAS!$C867,GESTIONES!$D:$D, "SMS")</f>
        <v>2</v>
      </c>
      <c r="O867">
        <f>SUMIFS(PAGOS!$D:$D,PAGOS!$A:$A, BASE_CUENTAS!$A867,PAGOS!$B:$B, BASE_CUENTAS!$C867)</f>
        <v>0</v>
      </c>
      <c r="P867" t="str">
        <f>IF(
VLOOKUP($C867,BASE_CIERRE_MES!$C:$G,5,FALSE)=0,
"Normalización",
IF(
VLOOKUP($C867,BASE_CIERRE_MES!$C:$G,5,FALSE)&lt;$H867,
"Recuperación",
IF(
VLOOKUP($C867,BASE_CIERRE_MES!$C:$G,5,FALSE)=$H867,
"Contención",
"Rodamiento"
)))</f>
        <v>Rodamiento</v>
      </c>
      <c r="Q867">
        <f t="shared" si="13"/>
        <v>0</v>
      </c>
    </row>
    <row r="868" spans="1:17" x14ac:dyDescent="0.25">
      <c r="A868">
        <v>8550284</v>
      </c>
      <c r="B868" t="s">
        <v>18</v>
      </c>
      <c r="C868">
        <v>21382277</v>
      </c>
      <c r="D868" t="s">
        <v>7</v>
      </c>
      <c r="E868">
        <v>2097636</v>
      </c>
      <c r="F868" s="2">
        <v>371099</v>
      </c>
      <c r="G868" s="2">
        <v>94249</v>
      </c>
      <c r="H868">
        <v>30</v>
      </c>
      <c r="I868" s="1">
        <v>42508</v>
      </c>
      <c r="J868" t="s">
        <v>6</v>
      </c>
      <c r="K868">
        <f>COUNTIFS(GESTIONES!$A:$A, BASE_CUENTAS!$A868, GESTIONES!$B:$B, BASE_CUENTAS!$C868)</f>
        <v>3</v>
      </c>
      <c r="L868">
        <f>COUNTIFS(GESTIONES!$A:$A, BASE_CUENTAS!$A868,GESTIONES!$B:$B, BASE_CUENTAS!$C868,GESTIONES!$E:$E, "S")</f>
        <v>1</v>
      </c>
      <c r="M868">
        <f>COUNTIFS(GESTIONES!$A:$A, BASE_CUENTAS!$A868,GESTIONES!$B:$B, BASE_CUENTAS!$C868,GESTIONES!$E:$E, "N")</f>
        <v>2</v>
      </c>
      <c r="N868">
        <f>COUNTIFS(GESTIONES!$A:$A, BASE_CUENTAS!$A868,GESTIONES!$B:$B, BASE_CUENTAS!$C868,GESTIONES!$D:$D, "SMS")</f>
        <v>1</v>
      </c>
      <c r="O868">
        <f>SUMIFS(PAGOS!$D:$D,PAGOS!$A:$A, BASE_CUENTAS!$A868,PAGOS!$B:$B, BASE_CUENTAS!$C868)</f>
        <v>94249</v>
      </c>
      <c r="P868" t="str">
        <f>IF(
VLOOKUP($C868,BASE_CIERRE_MES!$C:$G,5,FALSE)=0,
"Normalización",
IF(
VLOOKUP($C868,BASE_CIERRE_MES!$C:$G,5,FALSE)&lt;$H868,
"Recuperación",
IF(
VLOOKUP($C868,BASE_CIERRE_MES!$C:$G,5,FALSE)=$H868,
"Contención",
"Rodamiento"
)))</f>
        <v>Normalización</v>
      </c>
      <c r="Q868">
        <f t="shared" si="13"/>
        <v>0.25397265958679488</v>
      </c>
    </row>
    <row r="869" spans="1:17" x14ac:dyDescent="0.25">
      <c r="A869">
        <v>8550284</v>
      </c>
      <c r="B869" t="s">
        <v>18</v>
      </c>
      <c r="C869">
        <v>25923127</v>
      </c>
      <c r="D869" t="s">
        <v>7</v>
      </c>
      <c r="E869">
        <v>2097636</v>
      </c>
      <c r="F869" s="2">
        <v>1726537</v>
      </c>
      <c r="G869" s="2">
        <v>190862</v>
      </c>
      <c r="H869">
        <v>30</v>
      </c>
      <c r="I869" s="1">
        <v>42508</v>
      </c>
      <c r="J869" t="s">
        <v>6</v>
      </c>
      <c r="K869">
        <f>COUNTIFS(GESTIONES!$A:$A, BASE_CUENTAS!$A869, GESTIONES!$B:$B, BASE_CUENTAS!$C869)</f>
        <v>3</v>
      </c>
      <c r="L869">
        <f>COUNTIFS(GESTIONES!$A:$A, BASE_CUENTAS!$A869,GESTIONES!$B:$B, BASE_CUENTAS!$C869,GESTIONES!$E:$E, "S")</f>
        <v>1</v>
      </c>
      <c r="M869">
        <f>COUNTIFS(GESTIONES!$A:$A, BASE_CUENTAS!$A869,GESTIONES!$B:$B, BASE_CUENTAS!$C869,GESTIONES!$E:$E, "N")</f>
        <v>2</v>
      </c>
      <c r="N869">
        <f>COUNTIFS(GESTIONES!$A:$A, BASE_CUENTAS!$A869,GESTIONES!$B:$B, BASE_CUENTAS!$C869,GESTIONES!$D:$D, "SMS")</f>
        <v>1</v>
      </c>
      <c r="O869">
        <f>SUMIFS(PAGOS!$D:$D,PAGOS!$A:$A, BASE_CUENTAS!$A869,PAGOS!$B:$B, BASE_CUENTAS!$C869)</f>
        <v>95431</v>
      </c>
      <c r="P869" t="str">
        <f>IF(
VLOOKUP($C869,BASE_CIERRE_MES!$C:$G,5,FALSE)=0,
"Normalización",
IF(
VLOOKUP($C869,BASE_CIERRE_MES!$C:$G,5,FALSE)&lt;$H869,
"Recuperación",
IF(
VLOOKUP($C869,BASE_CIERRE_MES!$C:$G,5,FALSE)=$H869,
"Contención",
"Rodamiento"
)))</f>
        <v>Recuperación</v>
      </c>
      <c r="Q869">
        <f t="shared" si="13"/>
        <v>5.5273069734387392E-2</v>
      </c>
    </row>
    <row r="870" spans="1:17" x14ac:dyDescent="0.25">
      <c r="A870">
        <v>8550298</v>
      </c>
      <c r="B870" t="s">
        <v>18</v>
      </c>
      <c r="C870">
        <v>28167696</v>
      </c>
      <c r="D870" t="s">
        <v>7</v>
      </c>
      <c r="E870">
        <v>66140</v>
      </c>
      <c r="F870" s="2">
        <v>66140</v>
      </c>
      <c r="G870" s="2">
        <v>13393</v>
      </c>
      <c r="H870">
        <v>30</v>
      </c>
      <c r="I870" s="1">
        <v>42508</v>
      </c>
      <c r="J870" t="s">
        <v>6</v>
      </c>
      <c r="K870">
        <f>COUNTIFS(GESTIONES!$A:$A, BASE_CUENTAS!$A870, GESTIONES!$B:$B, BASE_CUENTAS!$C870)</f>
        <v>3</v>
      </c>
      <c r="L870">
        <f>COUNTIFS(GESTIONES!$A:$A, BASE_CUENTAS!$A870,GESTIONES!$B:$B, BASE_CUENTAS!$C870,GESTIONES!$E:$E, "S")</f>
        <v>1</v>
      </c>
      <c r="M870">
        <f>COUNTIFS(GESTIONES!$A:$A, BASE_CUENTAS!$A870,GESTIONES!$B:$B, BASE_CUENTAS!$C870,GESTIONES!$E:$E, "N")</f>
        <v>2</v>
      </c>
      <c r="N870">
        <f>COUNTIFS(GESTIONES!$A:$A, BASE_CUENTAS!$A870,GESTIONES!$B:$B, BASE_CUENTAS!$C870,GESTIONES!$D:$D, "SMS")</f>
        <v>0</v>
      </c>
      <c r="O870">
        <f>SUMIFS(PAGOS!$D:$D,PAGOS!$A:$A, BASE_CUENTAS!$A870,PAGOS!$B:$B, BASE_CUENTAS!$C870)</f>
        <v>0</v>
      </c>
      <c r="P870" t="str">
        <f>IF(
VLOOKUP($C870,BASE_CIERRE_MES!$C:$G,5,FALSE)=0,
"Normalización",
IF(
VLOOKUP($C870,BASE_CIERRE_MES!$C:$G,5,FALSE)&lt;$H870,
"Recuperación",
IF(
VLOOKUP($C870,BASE_CIERRE_MES!$C:$G,5,FALSE)=$H870,
"Contención",
"Rodamiento"
)))</f>
        <v>Rodamiento</v>
      </c>
      <c r="Q870">
        <f t="shared" si="13"/>
        <v>0</v>
      </c>
    </row>
    <row r="871" spans="1:17" x14ac:dyDescent="0.25">
      <c r="A871">
        <v>8550305</v>
      </c>
      <c r="B871" t="s">
        <v>18</v>
      </c>
      <c r="C871">
        <v>23926491</v>
      </c>
      <c r="D871" t="s">
        <v>7</v>
      </c>
      <c r="E871">
        <v>2065854</v>
      </c>
      <c r="F871" s="2">
        <v>2065854</v>
      </c>
      <c r="G871" s="2">
        <v>2065854</v>
      </c>
      <c r="H871">
        <v>120</v>
      </c>
      <c r="I871" s="1">
        <v>42518</v>
      </c>
      <c r="J871" t="s">
        <v>5</v>
      </c>
      <c r="K871">
        <f>COUNTIFS(GESTIONES!$A:$A, BASE_CUENTAS!$A871, GESTIONES!$B:$B, BASE_CUENTAS!$C871)</f>
        <v>3</v>
      </c>
      <c r="L871">
        <f>COUNTIFS(GESTIONES!$A:$A, BASE_CUENTAS!$A871,GESTIONES!$B:$B, BASE_CUENTAS!$C871,GESTIONES!$E:$E, "S")</f>
        <v>1</v>
      </c>
      <c r="M871">
        <f>COUNTIFS(GESTIONES!$A:$A, BASE_CUENTAS!$A871,GESTIONES!$B:$B, BASE_CUENTAS!$C871,GESTIONES!$E:$E, "N")</f>
        <v>2</v>
      </c>
      <c r="N871">
        <f>COUNTIFS(GESTIONES!$A:$A, BASE_CUENTAS!$A871,GESTIONES!$B:$B, BASE_CUENTAS!$C871,GESTIONES!$D:$D, "SMS")</f>
        <v>0</v>
      </c>
      <c r="O871">
        <f>SUMIFS(PAGOS!$D:$D,PAGOS!$A:$A, BASE_CUENTAS!$A871,PAGOS!$B:$B, BASE_CUENTAS!$C871)</f>
        <v>1032927</v>
      </c>
      <c r="P871" t="str">
        <f>IF(
VLOOKUP($C871,BASE_CIERRE_MES!$C:$G,5,FALSE)=0,
"Normalización",
IF(
VLOOKUP($C871,BASE_CIERRE_MES!$C:$G,5,FALSE)&lt;$H871,
"Recuperación",
IF(
VLOOKUP($C871,BASE_CIERRE_MES!$C:$G,5,FALSE)=$H871,
"Contención",
"Rodamiento"
)))</f>
        <v>Recuperación</v>
      </c>
      <c r="Q871">
        <f t="shared" si="13"/>
        <v>0.5</v>
      </c>
    </row>
    <row r="872" spans="1:17" x14ac:dyDescent="0.25">
      <c r="A872">
        <v>8550332</v>
      </c>
      <c r="B872" t="s">
        <v>18</v>
      </c>
      <c r="C872">
        <v>23318244</v>
      </c>
      <c r="D872" t="s">
        <v>7</v>
      </c>
      <c r="E872">
        <v>1538613</v>
      </c>
      <c r="F872" s="2">
        <v>611238</v>
      </c>
      <c r="G872" s="2">
        <v>420053</v>
      </c>
      <c r="H872">
        <v>90</v>
      </c>
      <c r="I872" s="1">
        <v>42508</v>
      </c>
      <c r="J872" t="s">
        <v>6</v>
      </c>
      <c r="K872">
        <f>COUNTIFS(GESTIONES!$A:$A, BASE_CUENTAS!$A872, GESTIONES!$B:$B, BASE_CUENTAS!$C872)</f>
        <v>3</v>
      </c>
      <c r="L872">
        <f>COUNTIFS(GESTIONES!$A:$A, BASE_CUENTAS!$A872,GESTIONES!$B:$B, BASE_CUENTAS!$C872,GESTIONES!$E:$E, "S")</f>
        <v>0</v>
      </c>
      <c r="M872">
        <f>COUNTIFS(GESTIONES!$A:$A, BASE_CUENTAS!$A872,GESTIONES!$B:$B, BASE_CUENTAS!$C872,GESTIONES!$E:$E, "N")</f>
        <v>3</v>
      </c>
      <c r="N872">
        <f>COUNTIFS(GESTIONES!$A:$A, BASE_CUENTAS!$A872,GESTIONES!$B:$B, BASE_CUENTAS!$C872,GESTIONES!$D:$D, "SMS")</f>
        <v>2</v>
      </c>
      <c r="O872">
        <f>SUMIFS(PAGOS!$D:$D,PAGOS!$A:$A, BASE_CUENTAS!$A872,PAGOS!$B:$B, BASE_CUENTAS!$C872)</f>
        <v>0</v>
      </c>
      <c r="P872" t="str">
        <f>IF(
VLOOKUP($C872,BASE_CIERRE_MES!$C:$G,5,FALSE)=0,
"Normalización",
IF(
VLOOKUP($C872,BASE_CIERRE_MES!$C:$G,5,FALSE)&lt;$H872,
"Recuperación",
IF(
VLOOKUP($C872,BASE_CIERRE_MES!$C:$G,5,FALSE)=$H872,
"Contención",
"Rodamiento"
)))</f>
        <v>Rodamiento</v>
      </c>
      <c r="Q872">
        <f t="shared" si="13"/>
        <v>0</v>
      </c>
    </row>
    <row r="873" spans="1:17" x14ac:dyDescent="0.25">
      <c r="A873">
        <v>8550332</v>
      </c>
      <c r="B873" t="s">
        <v>18</v>
      </c>
      <c r="C873">
        <v>24814717</v>
      </c>
      <c r="D873" t="s">
        <v>7</v>
      </c>
      <c r="E873">
        <v>1538613</v>
      </c>
      <c r="F873" s="2">
        <v>927375</v>
      </c>
      <c r="G873" s="2">
        <v>674054</v>
      </c>
      <c r="H873">
        <v>90</v>
      </c>
      <c r="I873" s="1">
        <v>42508</v>
      </c>
      <c r="J873" t="s">
        <v>6</v>
      </c>
      <c r="K873">
        <f>COUNTIFS(GESTIONES!$A:$A, BASE_CUENTAS!$A873, GESTIONES!$B:$B, BASE_CUENTAS!$C873)</f>
        <v>3</v>
      </c>
      <c r="L873">
        <f>COUNTIFS(GESTIONES!$A:$A, BASE_CUENTAS!$A873,GESTIONES!$B:$B, BASE_CUENTAS!$C873,GESTIONES!$E:$E, "S")</f>
        <v>1</v>
      </c>
      <c r="M873">
        <f>COUNTIFS(GESTIONES!$A:$A, BASE_CUENTAS!$A873,GESTIONES!$B:$B, BASE_CUENTAS!$C873,GESTIONES!$E:$E, "N")</f>
        <v>2</v>
      </c>
      <c r="N873">
        <f>COUNTIFS(GESTIONES!$A:$A, BASE_CUENTAS!$A873,GESTIONES!$B:$B, BASE_CUENTAS!$C873,GESTIONES!$D:$D, "SMS")</f>
        <v>1</v>
      </c>
      <c r="O873">
        <f>SUMIFS(PAGOS!$D:$D,PAGOS!$A:$A, BASE_CUENTAS!$A873,PAGOS!$B:$B, BASE_CUENTAS!$C873)</f>
        <v>674054</v>
      </c>
      <c r="P873" t="str">
        <f>IF(
VLOOKUP($C873,BASE_CIERRE_MES!$C:$G,5,FALSE)=0,
"Normalización",
IF(
VLOOKUP($C873,BASE_CIERRE_MES!$C:$G,5,FALSE)&lt;$H873,
"Recuperación",
IF(
VLOOKUP($C873,BASE_CIERRE_MES!$C:$G,5,FALSE)=$H873,
"Contención",
"Rodamiento"
)))</f>
        <v>Normalización</v>
      </c>
      <c r="Q873">
        <f t="shared" si="13"/>
        <v>0.72684081412589296</v>
      </c>
    </row>
    <row r="874" spans="1:17" x14ac:dyDescent="0.25">
      <c r="A874">
        <v>8550436</v>
      </c>
      <c r="B874" t="s">
        <v>17</v>
      </c>
      <c r="C874">
        <v>25269400</v>
      </c>
      <c r="D874" t="s">
        <v>7</v>
      </c>
      <c r="E874">
        <v>6524374</v>
      </c>
      <c r="F874" s="2">
        <v>2096062</v>
      </c>
      <c r="G874" s="2">
        <v>171360</v>
      </c>
      <c r="H874">
        <v>30</v>
      </c>
      <c r="I874" s="1">
        <v>42509</v>
      </c>
      <c r="J874" t="s">
        <v>6</v>
      </c>
      <c r="K874">
        <f>COUNTIFS(GESTIONES!$A:$A, BASE_CUENTAS!$A874, GESTIONES!$B:$B, BASE_CUENTAS!$C874)</f>
        <v>3</v>
      </c>
      <c r="L874">
        <f>COUNTIFS(GESTIONES!$A:$A, BASE_CUENTAS!$A874,GESTIONES!$B:$B, BASE_CUENTAS!$C874,GESTIONES!$E:$E, "S")</f>
        <v>1</v>
      </c>
      <c r="M874">
        <f>COUNTIFS(GESTIONES!$A:$A, BASE_CUENTAS!$A874,GESTIONES!$B:$B, BASE_CUENTAS!$C874,GESTIONES!$E:$E, "N")</f>
        <v>2</v>
      </c>
      <c r="N874">
        <f>COUNTIFS(GESTIONES!$A:$A, BASE_CUENTAS!$A874,GESTIONES!$B:$B, BASE_CUENTAS!$C874,GESTIONES!$D:$D, "SMS")</f>
        <v>1</v>
      </c>
      <c r="O874">
        <f>SUMIFS(PAGOS!$D:$D,PAGOS!$A:$A, BASE_CUENTAS!$A874,PAGOS!$B:$B, BASE_CUENTAS!$C874)</f>
        <v>0</v>
      </c>
      <c r="P874" t="str">
        <f>IF(
VLOOKUP($C874,BASE_CIERRE_MES!$C:$G,5,FALSE)=0,
"Normalización",
IF(
VLOOKUP($C874,BASE_CIERRE_MES!$C:$G,5,FALSE)&lt;$H874,
"Recuperación",
IF(
VLOOKUP($C874,BASE_CIERRE_MES!$C:$G,5,FALSE)=$H874,
"Contención",
"Rodamiento"
)))</f>
        <v>Rodamiento</v>
      </c>
      <c r="Q874">
        <f t="shared" si="13"/>
        <v>0</v>
      </c>
    </row>
    <row r="875" spans="1:17" x14ac:dyDescent="0.25">
      <c r="A875">
        <v>8550436</v>
      </c>
      <c r="B875" t="s">
        <v>17</v>
      </c>
      <c r="C875">
        <v>25270150</v>
      </c>
      <c r="D875" t="s">
        <v>7</v>
      </c>
      <c r="E875">
        <v>6524374</v>
      </c>
      <c r="F875" s="2">
        <v>4428311</v>
      </c>
      <c r="G875" s="2">
        <v>378750</v>
      </c>
      <c r="H875">
        <v>30</v>
      </c>
      <c r="I875" s="1">
        <v>42508</v>
      </c>
      <c r="J875" t="s">
        <v>6</v>
      </c>
      <c r="K875">
        <f>COUNTIFS(GESTIONES!$A:$A, BASE_CUENTAS!$A875, GESTIONES!$B:$B, BASE_CUENTAS!$C875)</f>
        <v>3</v>
      </c>
      <c r="L875">
        <f>COUNTIFS(GESTIONES!$A:$A, BASE_CUENTAS!$A875,GESTIONES!$B:$B, BASE_CUENTAS!$C875,GESTIONES!$E:$E, "S")</f>
        <v>1</v>
      </c>
      <c r="M875">
        <f>COUNTIFS(GESTIONES!$A:$A, BASE_CUENTAS!$A875,GESTIONES!$B:$B, BASE_CUENTAS!$C875,GESTIONES!$E:$E, "N")</f>
        <v>2</v>
      </c>
      <c r="N875">
        <f>COUNTIFS(GESTIONES!$A:$A, BASE_CUENTAS!$A875,GESTIONES!$B:$B, BASE_CUENTAS!$C875,GESTIONES!$D:$D, "SMS")</f>
        <v>0</v>
      </c>
      <c r="O875">
        <f>SUMIFS(PAGOS!$D:$D,PAGOS!$A:$A, BASE_CUENTAS!$A875,PAGOS!$B:$B, BASE_CUENTAS!$C875)</f>
        <v>4428311</v>
      </c>
      <c r="P875" t="str">
        <f>IF(
VLOOKUP($C875,BASE_CIERRE_MES!$C:$G,5,FALSE)=0,
"Normalización",
IF(
VLOOKUP($C875,BASE_CIERRE_MES!$C:$G,5,FALSE)&lt;$H875,
"Recuperación",
IF(
VLOOKUP($C875,BASE_CIERRE_MES!$C:$G,5,FALSE)=$H875,
"Contención",
"Rodamiento"
)))</f>
        <v>Normalización</v>
      </c>
      <c r="Q875">
        <f t="shared" si="13"/>
        <v>1</v>
      </c>
    </row>
    <row r="876" spans="1:17" x14ac:dyDescent="0.25">
      <c r="A876">
        <v>8550484</v>
      </c>
      <c r="B876" t="s">
        <v>17</v>
      </c>
      <c r="C876">
        <v>26911994</v>
      </c>
      <c r="D876" t="s">
        <v>7</v>
      </c>
      <c r="E876">
        <v>6425389</v>
      </c>
      <c r="F876" s="2">
        <v>3212695</v>
      </c>
      <c r="G876" s="2">
        <v>585663</v>
      </c>
      <c r="H876">
        <v>90</v>
      </c>
      <c r="I876" s="1">
        <v>42524</v>
      </c>
      <c r="J876" t="s">
        <v>6</v>
      </c>
      <c r="K876">
        <f>COUNTIFS(GESTIONES!$A:$A, BASE_CUENTAS!$A876, GESTIONES!$B:$B, BASE_CUENTAS!$C876)</f>
        <v>3</v>
      </c>
      <c r="L876">
        <f>COUNTIFS(GESTIONES!$A:$A, BASE_CUENTAS!$A876,GESTIONES!$B:$B, BASE_CUENTAS!$C876,GESTIONES!$E:$E, "S")</f>
        <v>1</v>
      </c>
      <c r="M876">
        <f>COUNTIFS(GESTIONES!$A:$A, BASE_CUENTAS!$A876,GESTIONES!$B:$B, BASE_CUENTAS!$C876,GESTIONES!$E:$E, "N")</f>
        <v>2</v>
      </c>
      <c r="N876">
        <f>COUNTIFS(GESTIONES!$A:$A, BASE_CUENTAS!$A876,GESTIONES!$B:$B, BASE_CUENTAS!$C876,GESTIONES!$D:$D, "SMS")</f>
        <v>0</v>
      </c>
      <c r="O876">
        <f>SUMIFS(PAGOS!$D:$D,PAGOS!$A:$A, BASE_CUENTAS!$A876,PAGOS!$B:$B, BASE_CUENTAS!$C876)</f>
        <v>585663</v>
      </c>
      <c r="P876" t="str">
        <f>IF(
VLOOKUP($C876,BASE_CIERRE_MES!$C:$G,5,FALSE)=0,
"Normalización",
IF(
VLOOKUP($C876,BASE_CIERRE_MES!$C:$G,5,FALSE)&lt;$H876,
"Recuperación",
IF(
VLOOKUP($C876,BASE_CIERRE_MES!$C:$G,5,FALSE)=$H876,
"Contención",
"Rodamiento"
)))</f>
        <v>Normalización</v>
      </c>
      <c r="Q876">
        <f t="shared" si="13"/>
        <v>0.18229648317067135</v>
      </c>
    </row>
    <row r="877" spans="1:17" x14ac:dyDescent="0.25">
      <c r="A877">
        <v>8550513</v>
      </c>
      <c r="B877" t="s">
        <v>18</v>
      </c>
      <c r="C877">
        <v>12130935</v>
      </c>
      <c r="D877" t="s">
        <v>7</v>
      </c>
      <c r="E877">
        <v>1190948</v>
      </c>
      <c r="F877" s="2">
        <v>1097469</v>
      </c>
      <c r="G877" s="2">
        <v>521974</v>
      </c>
      <c r="H877">
        <v>30</v>
      </c>
      <c r="I877" s="1">
        <v>42521</v>
      </c>
      <c r="J877" t="s">
        <v>4</v>
      </c>
      <c r="K877">
        <f>COUNTIFS(GESTIONES!$A:$A, BASE_CUENTAS!$A877, GESTIONES!$B:$B, BASE_CUENTAS!$C877)</f>
        <v>3</v>
      </c>
      <c r="L877">
        <f>COUNTIFS(GESTIONES!$A:$A, BASE_CUENTAS!$A877,GESTIONES!$B:$B, BASE_CUENTAS!$C877,GESTIONES!$E:$E, "S")</f>
        <v>0</v>
      </c>
      <c r="M877">
        <f>COUNTIFS(GESTIONES!$A:$A, BASE_CUENTAS!$A877,GESTIONES!$B:$B, BASE_CUENTAS!$C877,GESTIONES!$E:$E, "N")</f>
        <v>3</v>
      </c>
      <c r="N877">
        <f>COUNTIFS(GESTIONES!$A:$A, BASE_CUENTAS!$A877,GESTIONES!$B:$B, BASE_CUENTAS!$C877,GESTIONES!$D:$D, "SMS")</f>
        <v>2</v>
      </c>
      <c r="O877">
        <f>SUMIFS(PAGOS!$D:$D,PAGOS!$A:$A, BASE_CUENTAS!$A877,PAGOS!$B:$B, BASE_CUENTAS!$C877)</f>
        <v>521974</v>
      </c>
      <c r="P877" t="str">
        <f>IF(
VLOOKUP($C877,BASE_CIERRE_MES!$C:$G,5,FALSE)=0,
"Normalización",
IF(
VLOOKUP($C877,BASE_CIERRE_MES!$C:$G,5,FALSE)&lt;$H877,
"Recuperación",
IF(
VLOOKUP($C877,BASE_CIERRE_MES!$C:$G,5,FALSE)=$H877,
"Contención",
"Rodamiento"
)))</f>
        <v>Normalización</v>
      </c>
      <c r="Q877">
        <f t="shared" si="13"/>
        <v>0.47561616774596821</v>
      </c>
    </row>
    <row r="878" spans="1:17" x14ac:dyDescent="0.25">
      <c r="A878">
        <v>8550513</v>
      </c>
      <c r="B878" t="s">
        <v>18</v>
      </c>
      <c r="C878">
        <v>23977900</v>
      </c>
      <c r="D878" t="s">
        <v>7</v>
      </c>
      <c r="E878">
        <v>1190948</v>
      </c>
      <c r="F878" s="2">
        <v>93479</v>
      </c>
      <c r="G878" s="2">
        <v>18783</v>
      </c>
      <c r="H878">
        <v>30</v>
      </c>
      <c r="I878" s="1">
        <v>42521</v>
      </c>
      <c r="J878" t="s">
        <v>4</v>
      </c>
      <c r="K878">
        <f>COUNTIFS(GESTIONES!$A:$A, BASE_CUENTAS!$A878, GESTIONES!$B:$B, BASE_CUENTAS!$C878)</f>
        <v>3</v>
      </c>
      <c r="L878">
        <f>COUNTIFS(GESTIONES!$A:$A, BASE_CUENTAS!$A878,GESTIONES!$B:$B, BASE_CUENTAS!$C878,GESTIONES!$E:$E, "S")</f>
        <v>1</v>
      </c>
      <c r="M878">
        <f>COUNTIFS(GESTIONES!$A:$A, BASE_CUENTAS!$A878,GESTIONES!$B:$B, BASE_CUENTAS!$C878,GESTIONES!$E:$E, "N")</f>
        <v>2</v>
      </c>
      <c r="N878">
        <f>COUNTIFS(GESTIONES!$A:$A, BASE_CUENTAS!$A878,GESTIONES!$B:$B, BASE_CUENTAS!$C878,GESTIONES!$D:$D, "SMS")</f>
        <v>1</v>
      </c>
      <c r="O878">
        <f>SUMIFS(PAGOS!$D:$D,PAGOS!$A:$A, BASE_CUENTAS!$A878,PAGOS!$B:$B, BASE_CUENTAS!$C878)</f>
        <v>6261</v>
      </c>
      <c r="P878" t="str">
        <f>IF(
VLOOKUP($C878,BASE_CIERRE_MES!$C:$G,5,FALSE)=0,
"Normalización",
IF(
VLOOKUP($C878,BASE_CIERRE_MES!$C:$G,5,FALSE)&lt;$H878,
"Recuperación",
IF(
VLOOKUP($C878,BASE_CIERRE_MES!$C:$G,5,FALSE)=$H878,
"Contención",
"Rodamiento"
)))</f>
        <v>Contención</v>
      </c>
      <c r="Q878">
        <f t="shared" si="13"/>
        <v>6.6977609944479502E-2</v>
      </c>
    </row>
    <row r="879" spans="1:17" x14ac:dyDescent="0.25">
      <c r="A879">
        <v>8550753</v>
      </c>
      <c r="B879" t="s">
        <v>18</v>
      </c>
      <c r="C879">
        <v>21386180</v>
      </c>
      <c r="D879" t="s">
        <v>7</v>
      </c>
      <c r="E879">
        <v>319662</v>
      </c>
      <c r="F879" s="2">
        <v>319662</v>
      </c>
      <c r="G879" s="2">
        <v>7064</v>
      </c>
      <c r="H879">
        <v>30</v>
      </c>
      <c r="I879" s="1">
        <v>42521</v>
      </c>
      <c r="J879" t="s">
        <v>4</v>
      </c>
      <c r="K879">
        <f>COUNTIFS(GESTIONES!$A:$A, BASE_CUENTAS!$A879, GESTIONES!$B:$B, BASE_CUENTAS!$C879)</f>
        <v>3</v>
      </c>
      <c r="L879">
        <f>COUNTIFS(GESTIONES!$A:$A, BASE_CUENTAS!$A879,GESTIONES!$B:$B, BASE_CUENTAS!$C879,GESTIONES!$E:$E, "S")</f>
        <v>1</v>
      </c>
      <c r="M879">
        <f>COUNTIFS(GESTIONES!$A:$A, BASE_CUENTAS!$A879,GESTIONES!$B:$B, BASE_CUENTAS!$C879,GESTIONES!$E:$E, "N")</f>
        <v>2</v>
      </c>
      <c r="N879">
        <f>COUNTIFS(GESTIONES!$A:$A, BASE_CUENTAS!$A879,GESTIONES!$B:$B, BASE_CUENTAS!$C879,GESTIONES!$D:$D, "SMS")</f>
        <v>1</v>
      </c>
      <c r="O879">
        <f>SUMIFS(PAGOS!$D:$D,PAGOS!$A:$A, BASE_CUENTAS!$A879,PAGOS!$B:$B, BASE_CUENTAS!$C879)</f>
        <v>0</v>
      </c>
      <c r="P879" t="str">
        <f>IF(
VLOOKUP($C879,BASE_CIERRE_MES!$C:$G,5,FALSE)=0,
"Normalización",
IF(
VLOOKUP($C879,BASE_CIERRE_MES!$C:$G,5,FALSE)&lt;$H879,
"Recuperación",
IF(
VLOOKUP($C879,BASE_CIERRE_MES!$C:$G,5,FALSE)=$H879,
"Contención",
"Rodamiento"
)))</f>
        <v>Rodamiento</v>
      </c>
      <c r="Q879">
        <f t="shared" si="13"/>
        <v>0</v>
      </c>
    </row>
    <row r="880" spans="1:17" x14ac:dyDescent="0.25">
      <c r="A880">
        <v>8550900</v>
      </c>
      <c r="B880" t="s">
        <v>18</v>
      </c>
      <c r="C880">
        <v>19225430</v>
      </c>
      <c r="D880" t="s">
        <v>7</v>
      </c>
      <c r="E880">
        <v>347206</v>
      </c>
      <c r="F880" s="2">
        <v>347206</v>
      </c>
      <c r="G880" s="2">
        <v>24821</v>
      </c>
      <c r="H880">
        <v>30</v>
      </c>
      <c r="I880" s="1">
        <v>42509</v>
      </c>
      <c r="J880" t="s">
        <v>6</v>
      </c>
      <c r="K880">
        <f>COUNTIFS(GESTIONES!$A:$A, BASE_CUENTAS!$A880, GESTIONES!$B:$B, BASE_CUENTAS!$C880)</f>
        <v>3</v>
      </c>
      <c r="L880">
        <f>COUNTIFS(GESTIONES!$A:$A, BASE_CUENTAS!$A880,GESTIONES!$B:$B, BASE_CUENTAS!$C880,GESTIONES!$E:$E, "S")</f>
        <v>1</v>
      </c>
      <c r="M880">
        <f>COUNTIFS(GESTIONES!$A:$A, BASE_CUENTAS!$A880,GESTIONES!$B:$B, BASE_CUENTAS!$C880,GESTIONES!$E:$E, "N")</f>
        <v>2</v>
      </c>
      <c r="N880">
        <f>COUNTIFS(GESTIONES!$A:$A, BASE_CUENTAS!$A880,GESTIONES!$B:$B, BASE_CUENTAS!$C880,GESTIONES!$D:$D, "SMS")</f>
        <v>0</v>
      </c>
      <c r="O880">
        <f>SUMIFS(PAGOS!$D:$D,PAGOS!$A:$A, BASE_CUENTAS!$A880,PAGOS!$B:$B, BASE_CUENTAS!$C880)</f>
        <v>0</v>
      </c>
      <c r="P880" t="str">
        <f>IF(
VLOOKUP($C880,BASE_CIERRE_MES!$C:$G,5,FALSE)=0,
"Normalización",
IF(
VLOOKUP($C880,BASE_CIERRE_MES!$C:$G,5,FALSE)&lt;$H880,
"Recuperación",
IF(
VLOOKUP($C880,BASE_CIERRE_MES!$C:$G,5,FALSE)=$H880,
"Contención",
"Rodamiento"
)))</f>
        <v>Rodamiento</v>
      </c>
      <c r="Q880">
        <f t="shared" si="13"/>
        <v>0</v>
      </c>
    </row>
    <row r="881" spans="1:17" x14ac:dyDescent="0.25">
      <c r="A881">
        <v>8551082</v>
      </c>
      <c r="B881" t="s">
        <v>18</v>
      </c>
      <c r="C881">
        <v>26878877</v>
      </c>
      <c r="D881" t="s">
        <v>7</v>
      </c>
      <c r="E881">
        <v>358614</v>
      </c>
      <c r="F881" s="2">
        <v>358614</v>
      </c>
      <c r="G881" s="2">
        <v>144042</v>
      </c>
      <c r="H881">
        <v>90</v>
      </c>
      <c r="I881" s="1">
        <v>42518</v>
      </c>
      <c r="J881" t="s">
        <v>6</v>
      </c>
      <c r="K881">
        <f>COUNTIFS(GESTIONES!$A:$A, BASE_CUENTAS!$A881, GESTIONES!$B:$B, BASE_CUENTAS!$C881)</f>
        <v>3</v>
      </c>
      <c r="L881">
        <f>COUNTIFS(GESTIONES!$A:$A, BASE_CUENTAS!$A881,GESTIONES!$B:$B, BASE_CUENTAS!$C881,GESTIONES!$E:$E, "S")</f>
        <v>2</v>
      </c>
      <c r="M881">
        <f>COUNTIFS(GESTIONES!$A:$A, BASE_CUENTAS!$A881,GESTIONES!$B:$B, BASE_CUENTAS!$C881,GESTIONES!$E:$E, "N")</f>
        <v>1</v>
      </c>
      <c r="N881">
        <f>COUNTIFS(GESTIONES!$A:$A, BASE_CUENTAS!$A881,GESTIONES!$B:$B, BASE_CUENTAS!$C881,GESTIONES!$D:$D, "SMS")</f>
        <v>0</v>
      </c>
      <c r="O881">
        <f>SUMIFS(PAGOS!$D:$D,PAGOS!$A:$A, BASE_CUENTAS!$A881,PAGOS!$B:$B, BASE_CUENTAS!$C881)</f>
        <v>144042</v>
      </c>
      <c r="P881" t="str">
        <f>IF(
VLOOKUP($C881,BASE_CIERRE_MES!$C:$G,5,FALSE)=0,
"Normalización",
IF(
VLOOKUP($C881,BASE_CIERRE_MES!$C:$G,5,FALSE)&lt;$H881,
"Recuperación",
IF(
VLOOKUP($C881,BASE_CIERRE_MES!$C:$G,5,FALSE)=$H881,
"Contención",
"Rodamiento"
)))</f>
        <v>Normalización</v>
      </c>
      <c r="Q881">
        <f t="shared" si="13"/>
        <v>0.40166306948418079</v>
      </c>
    </row>
    <row r="882" spans="1:17" x14ac:dyDescent="0.25">
      <c r="A882">
        <v>8551304</v>
      </c>
      <c r="B882" t="s">
        <v>18</v>
      </c>
      <c r="C882">
        <v>27672818</v>
      </c>
      <c r="D882" t="s">
        <v>7</v>
      </c>
      <c r="E882">
        <v>958458</v>
      </c>
      <c r="F882" s="2">
        <v>958458</v>
      </c>
      <c r="G882" s="2">
        <v>346980</v>
      </c>
      <c r="H882">
        <v>60</v>
      </c>
      <c r="I882" s="1">
        <v>42487</v>
      </c>
      <c r="J882" t="s">
        <v>6</v>
      </c>
      <c r="K882">
        <f>COUNTIFS(GESTIONES!$A:$A, BASE_CUENTAS!$A882, GESTIONES!$B:$B, BASE_CUENTAS!$C882)</f>
        <v>3</v>
      </c>
      <c r="L882">
        <f>COUNTIFS(GESTIONES!$A:$A, BASE_CUENTAS!$A882,GESTIONES!$B:$B, BASE_CUENTAS!$C882,GESTIONES!$E:$E, "S")</f>
        <v>1</v>
      </c>
      <c r="M882">
        <f>COUNTIFS(GESTIONES!$A:$A, BASE_CUENTAS!$A882,GESTIONES!$B:$B, BASE_CUENTAS!$C882,GESTIONES!$E:$E, "N")</f>
        <v>2</v>
      </c>
      <c r="N882">
        <f>COUNTIFS(GESTIONES!$A:$A, BASE_CUENTAS!$A882,GESTIONES!$B:$B, BASE_CUENTAS!$C882,GESTIONES!$D:$D, "SMS")</f>
        <v>1</v>
      </c>
      <c r="O882">
        <f>SUMIFS(PAGOS!$D:$D,PAGOS!$A:$A, BASE_CUENTAS!$A882,PAGOS!$B:$B, BASE_CUENTAS!$C882)</f>
        <v>0</v>
      </c>
      <c r="P882" t="str">
        <f>IF(
VLOOKUP($C882,BASE_CIERRE_MES!$C:$G,5,FALSE)=0,
"Normalización",
IF(
VLOOKUP($C882,BASE_CIERRE_MES!$C:$G,5,FALSE)&lt;$H882,
"Recuperación",
IF(
VLOOKUP($C882,BASE_CIERRE_MES!$C:$G,5,FALSE)=$H882,
"Contención",
"Rodamiento"
)))</f>
        <v>Rodamiento</v>
      </c>
      <c r="Q882">
        <f t="shared" si="13"/>
        <v>0</v>
      </c>
    </row>
    <row r="883" spans="1:17" x14ac:dyDescent="0.25">
      <c r="A883">
        <v>8551392</v>
      </c>
      <c r="B883" t="s">
        <v>18</v>
      </c>
      <c r="C883">
        <v>26555103</v>
      </c>
      <c r="D883" t="s">
        <v>7</v>
      </c>
      <c r="E883">
        <v>537536</v>
      </c>
      <c r="F883" s="2">
        <v>537536</v>
      </c>
      <c r="G883" s="2">
        <v>17440</v>
      </c>
      <c r="H883">
        <v>30</v>
      </c>
      <c r="I883" s="1">
        <v>42491</v>
      </c>
      <c r="J883" t="s">
        <v>6</v>
      </c>
      <c r="K883">
        <f>COUNTIFS(GESTIONES!$A:$A, BASE_CUENTAS!$A883, GESTIONES!$B:$B, BASE_CUENTAS!$C883)</f>
        <v>3</v>
      </c>
      <c r="L883">
        <f>COUNTIFS(GESTIONES!$A:$A, BASE_CUENTAS!$A883,GESTIONES!$B:$B, BASE_CUENTAS!$C883,GESTIONES!$E:$E, "S")</f>
        <v>0</v>
      </c>
      <c r="M883">
        <f>COUNTIFS(GESTIONES!$A:$A, BASE_CUENTAS!$A883,GESTIONES!$B:$B, BASE_CUENTAS!$C883,GESTIONES!$E:$E, "N")</f>
        <v>3</v>
      </c>
      <c r="N883">
        <f>COUNTIFS(GESTIONES!$A:$A, BASE_CUENTAS!$A883,GESTIONES!$B:$B, BASE_CUENTAS!$C883,GESTIONES!$D:$D, "SMS")</f>
        <v>1</v>
      </c>
      <c r="O883">
        <f>SUMIFS(PAGOS!$D:$D,PAGOS!$A:$A, BASE_CUENTAS!$A883,PAGOS!$B:$B, BASE_CUENTAS!$C883)</f>
        <v>0</v>
      </c>
      <c r="P883" t="str">
        <f>IF(
VLOOKUP($C883,BASE_CIERRE_MES!$C:$G,5,FALSE)=0,
"Normalización",
IF(
VLOOKUP($C883,BASE_CIERRE_MES!$C:$G,5,FALSE)&lt;$H883,
"Recuperación",
IF(
VLOOKUP($C883,BASE_CIERRE_MES!$C:$G,5,FALSE)=$H883,
"Contención",
"Rodamiento"
)))</f>
        <v>Rodamiento</v>
      </c>
      <c r="Q883">
        <f t="shared" si="13"/>
        <v>0</v>
      </c>
    </row>
    <row r="884" spans="1:17" x14ac:dyDescent="0.25">
      <c r="A884">
        <v>8551680</v>
      </c>
      <c r="B884" t="s">
        <v>18</v>
      </c>
      <c r="C884">
        <v>23582216</v>
      </c>
      <c r="D884" t="s">
        <v>7</v>
      </c>
      <c r="E884">
        <v>328004</v>
      </c>
      <c r="F884" s="2">
        <v>328004</v>
      </c>
      <c r="G884" s="2">
        <v>328004</v>
      </c>
      <c r="H884">
        <v>150</v>
      </c>
      <c r="I884" s="1">
        <v>42508</v>
      </c>
      <c r="J884" t="s">
        <v>5</v>
      </c>
      <c r="K884">
        <f>COUNTIFS(GESTIONES!$A:$A, BASE_CUENTAS!$A884, GESTIONES!$B:$B, BASE_CUENTAS!$C884)</f>
        <v>3</v>
      </c>
      <c r="L884">
        <f>COUNTIFS(GESTIONES!$A:$A, BASE_CUENTAS!$A884,GESTIONES!$B:$B, BASE_CUENTAS!$C884,GESTIONES!$E:$E, "S")</f>
        <v>1</v>
      </c>
      <c r="M884">
        <f>COUNTIFS(GESTIONES!$A:$A, BASE_CUENTAS!$A884,GESTIONES!$B:$B, BASE_CUENTAS!$C884,GESTIONES!$E:$E, "N")</f>
        <v>2</v>
      </c>
      <c r="N884">
        <f>COUNTIFS(GESTIONES!$A:$A, BASE_CUENTAS!$A884,GESTIONES!$B:$B, BASE_CUENTAS!$C884,GESTIONES!$D:$D, "SMS")</f>
        <v>2</v>
      </c>
      <c r="O884">
        <f>SUMIFS(PAGOS!$D:$D,PAGOS!$A:$A, BASE_CUENTAS!$A884,PAGOS!$B:$B, BASE_CUENTAS!$C884)</f>
        <v>109335</v>
      </c>
      <c r="P884" t="str">
        <f>IF(
VLOOKUP($C884,BASE_CIERRE_MES!$C:$G,5,FALSE)=0,
"Normalización",
IF(
VLOOKUP($C884,BASE_CIERRE_MES!$C:$G,5,FALSE)&lt;$H884,
"Recuperación",
IF(
VLOOKUP($C884,BASE_CIERRE_MES!$C:$G,5,FALSE)=$H884,
"Contención",
"Rodamiento"
)))</f>
        <v>Contención</v>
      </c>
      <c r="Q884">
        <f t="shared" si="13"/>
        <v>0.3333343495811027</v>
      </c>
    </row>
    <row r="885" spans="1:17" x14ac:dyDescent="0.25">
      <c r="A885">
        <v>8551730</v>
      </c>
      <c r="B885" t="s">
        <v>17</v>
      </c>
      <c r="C885">
        <v>25786927</v>
      </c>
      <c r="D885" t="s">
        <v>7</v>
      </c>
      <c r="E885">
        <v>5955547</v>
      </c>
      <c r="F885" s="2">
        <v>139273</v>
      </c>
      <c r="G885" s="2">
        <v>46258</v>
      </c>
      <c r="H885">
        <v>30</v>
      </c>
      <c r="I885" s="1">
        <v>42508</v>
      </c>
      <c r="J885" t="s">
        <v>6</v>
      </c>
      <c r="K885">
        <f>COUNTIFS(GESTIONES!$A:$A, BASE_CUENTAS!$A885, GESTIONES!$B:$B, BASE_CUENTAS!$C885)</f>
        <v>3</v>
      </c>
      <c r="L885">
        <f>COUNTIFS(GESTIONES!$A:$A, BASE_CUENTAS!$A885,GESTIONES!$B:$B, BASE_CUENTAS!$C885,GESTIONES!$E:$E, "S")</f>
        <v>1</v>
      </c>
      <c r="M885">
        <f>COUNTIFS(GESTIONES!$A:$A, BASE_CUENTAS!$A885,GESTIONES!$B:$B, BASE_CUENTAS!$C885,GESTIONES!$E:$E, "N")</f>
        <v>2</v>
      </c>
      <c r="N885">
        <f>COUNTIFS(GESTIONES!$A:$A, BASE_CUENTAS!$A885,GESTIONES!$B:$B, BASE_CUENTAS!$C885,GESTIONES!$D:$D, "SMS")</f>
        <v>0</v>
      </c>
      <c r="O885">
        <f>SUMIFS(PAGOS!$D:$D,PAGOS!$A:$A, BASE_CUENTAS!$A885,PAGOS!$B:$B, BASE_CUENTAS!$C885)</f>
        <v>0</v>
      </c>
      <c r="P885" t="str">
        <f>IF(
VLOOKUP($C885,BASE_CIERRE_MES!$C:$G,5,FALSE)=0,
"Normalización",
IF(
VLOOKUP($C885,BASE_CIERRE_MES!$C:$G,5,FALSE)&lt;$H885,
"Recuperación",
IF(
VLOOKUP($C885,BASE_CIERRE_MES!$C:$G,5,FALSE)=$H885,
"Contención",
"Rodamiento"
)))</f>
        <v>Rodamiento</v>
      </c>
      <c r="Q885">
        <f t="shared" si="13"/>
        <v>0</v>
      </c>
    </row>
    <row r="886" spans="1:17" x14ac:dyDescent="0.25">
      <c r="A886">
        <v>8551730</v>
      </c>
      <c r="B886" t="s">
        <v>17</v>
      </c>
      <c r="C886">
        <v>28186038</v>
      </c>
      <c r="D886" t="s">
        <v>13</v>
      </c>
      <c r="E886">
        <v>5955547</v>
      </c>
      <c r="F886" s="2">
        <v>5816274</v>
      </c>
      <c r="G886" s="2">
        <v>181122</v>
      </c>
      <c r="H886">
        <v>7</v>
      </c>
      <c r="I886" s="1">
        <v>42523</v>
      </c>
      <c r="J886" t="s">
        <v>6</v>
      </c>
      <c r="K886">
        <f>COUNTIFS(GESTIONES!$A:$A, BASE_CUENTAS!$A886, GESTIONES!$B:$B, BASE_CUENTAS!$C886)</f>
        <v>3</v>
      </c>
      <c r="L886">
        <f>COUNTIFS(GESTIONES!$A:$A, BASE_CUENTAS!$A886,GESTIONES!$B:$B, BASE_CUENTAS!$C886,GESTIONES!$E:$E, "S")</f>
        <v>1</v>
      </c>
      <c r="M886">
        <f>COUNTIFS(GESTIONES!$A:$A, BASE_CUENTAS!$A886,GESTIONES!$B:$B, BASE_CUENTAS!$C886,GESTIONES!$E:$E, "N")</f>
        <v>2</v>
      </c>
      <c r="N886">
        <f>COUNTIFS(GESTIONES!$A:$A, BASE_CUENTAS!$A886,GESTIONES!$B:$B, BASE_CUENTAS!$C886,GESTIONES!$D:$D, "SMS")</f>
        <v>0</v>
      </c>
      <c r="O886">
        <f>SUMIFS(PAGOS!$D:$D,PAGOS!$A:$A, BASE_CUENTAS!$A886,PAGOS!$B:$B, BASE_CUENTAS!$C886)</f>
        <v>0</v>
      </c>
      <c r="P886" t="str">
        <f>IF(
VLOOKUP($C886,BASE_CIERRE_MES!$C:$G,5,FALSE)=0,
"Normalización",
IF(
VLOOKUP($C886,BASE_CIERRE_MES!$C:$G,5,FALSE)&lt;$H886,
"Recuperación",
IF(
VLOOKUP($C886,BASE_CIERRE_MES!$C:$G,5,FALSE)=$H886,
"Contención",
"Rodamiento"
)))</f>
        <v>Rodamiento</v>
      </c>
      <c r="Q886">
        <f t="shared" si="13"/>
        <v>0</v>
      </c>
    </row>
    <row r="887" spans="1:17" x14ac:dyDescent="0.25">
      <c r="A887">
        <v>8552223</v>
      </c>
      <c r="B887" t="s">
        <v>18</v>
      </c>
      <c r="C887">
        <v>25178462</v>
      </c>
      <c r="D887" t="s">
        <v>7</v>
      </c>
      <c r="E887">
        <v>2005145</v>
      </c>
      <c r="F887" s="2">
        <v>180229</v>
      </c>
      <c r="G887" s="2">
        <v>36204</v>
      </c>
      <c r="H887">
        <v>30</v>
      </c>
      <c r="I887" s="1">
        <v>42521</v>
      </c>
      <c r="J887" t="s">
        <v>4</v>
      </c>
      <c r="K887">
        <f>COUNTIFS(GESTIONES!$A:$A, BASE_CUENTAS!$A887, GESTIONES!$B:$B, BASE_CUENTAS!$C887)</f>
        <v>3</v>
      </c>
      <c r="L887">
        <f>COUNTIFS(GESTIONES!$A:$A, BASE_CUENTAS!$A887,GESTIONES!$B:$B, BASE_CUENTAS!$C887,GESTIONES!$E:$E, "S")</f>
        <v>1</v>
      </c>
      <c r="M887">
        <f>COUNTIFS(GESTIONES!$A:$A, BASE_CUENTAS!$A887,GESTIONES!$B:$B, BASE_CUENTAS!$C887,GESTIONES!$E:$E, "N")</f>
        <v>2</v>
      </c>
      <c r="N887">
        <f>COUNTIFS(GESTIONES!$A:$A, BASE_CUENTAS!$A887,GESTIONES!$B:$B, BASE_CUENTAS!$C887,GESTIONES!$D:$D, "SMS")</f>
        <v>1</v>
      </c>
      <c r="O887">
        <f>SUMIFS(PAGOS!$D:$D,PAGOS!$A:$A, BASE_CUENTAS!$A887,PAGOS!$B:$B, BASE_CUENTAS!$C887)</f>
        <v>0</v>
      </c>
      <c r="P887" t="str">
        <f>IF(
VLOOKUP($C887,BASE_CIERRE_MES!$C:$G,5,FALSE)=0,
"Normalización",
IF(
VLOOKUP($C887,BASE_CIERRE_MES!$C:$G,5,FALSE)&lt;$H887,
"Recuperación",
IF(
VLOOKUP($C887,BASE_CIERRE_MES!$C:$G,5,FALSE)=$H887,
"Contención",
"Rodamiento"
)))</f>
        <v>Rodamiento</v>
      </c>
      <c r="Q887">
        <f t="shared" si="13"/>
        <v>0</v>
      </c>
    </row>
    <row r="888" spans="1:17" x14ac:dyDescent="0.25">
      <c r="A888">
        <v>8552331</v>
      </c>
      <c r="B888" t="s">
        <v>16</v>
      </c>
      <c r="C888">
        <v>22221367</v>
      </c>
      <c r="D888" t="s">
        <v>9</v>
      </c>
      <c r="E888">
        <v>9245279</v>
      </c>
      <c r="F888" s="2">
        <v>5322710</v>
      </c>
      <c r="G888" s="2">
        <v>793431</v>
      </c>
      <c r="H888">
        <v>52</v>
      </c>
      <c r="I888" s="1">
        <v>42479</v>
      </c>
      <c r="J888" t="s">
        <v>6</v>
      </c>
      <c r="K888">
        <f>COUNTIFS(GESTIONES!$A:$A, BASE_CUENTAS!$A888, GESTIONES!$B:$B, BASE_CUENTAS!$C888)</f>
        <v>3</v>
      </c>
      <c r="L888">
        <f>COUNTIFS(GESTIONES!$A:$A, BASE_CUENTAS!$A888,GESTIONES!$B:$B, BASE_CUENTAS!$C888,GESTIONES!$E:$E, "S")</f>
        <v>0</v>
      </c>
      <c r="M888">
        <f>COUNTIFS(GESTIONES!$A:$A, BASE_CUENTAS!$A888,GESTIONES!$B:$B, BASE_CUENTAS!$C888,GESTIONES!$E:$E, "N")</f>
        <v>3</v>
      </c>
      <c r="N888">
        <f>COUNTIFS(GESTIONES!$A:$A, BASE_CUENTAS!$A888,GESTIONES!$B:$B, BASE_CUENTAS!$C888,GESTIONES!$D:$D, "SMS")</f>
        <v>1</v>
      </c>
      <c r="O888">
        <f>SUMIFS(PAGOS!$D:$D,PAGOS!$A:$A, BASE_CUENTAS!$A888,PAGOS!$B:$B, BASE_CUENTAS!$C888)</f>
        <v>0</v>
      </c>
      <c r="P888" t="str">
        <f>IF(
VLOOKUP($C888,BASE_CIERRE_MES!$C:$G,5,FALSE)=0,
"Normalización",
IF(
VLOOKUP($C888,BASE_CIERRE_MES!$C:$G,5,FALSE)&lt;$H888,
"Recuperación",
IF(
VLOOKUP($C888,BASE_CIERRE_MES!$C:$G,5,FALSE)=$H888,
"Contención",
"Rodamiento"
)))</f>
        <v>Rodamiento</v>
      </c>
      <c r="Q888">
        <f t="shared" si="13"/>
        <v>0</v>
      </c>
    </row>
    <row r="889" spans="1:17" x14ac:dyDescent="0.25">
      <c r="A889">
        <v>8552331</v>
      </c>
      <c r="B889" t="s">
        <v>16</v>
      </c>
      <c r="C889">
        <v>23982519</v>
      </c>
      <c r="D889" t="s">
        <v>7</v>
      </c>
      <c r="E889">
        <v>9245279</v>
      </c>
      <c r="F889" s="2">
        <v>2009803</v>
      </c>
      <c r="G889" s="2">
        <v>317875</v>
      </c>
      <c r="H889">
        <v>60</v>
      </c>
      <c r="I889" s="1">
        <v>42490</v>
      </c>
      <c r="J889" t="s">
        <v>6</v>
      </c>
      <c r="K889">
        <f>COUNTIFS(GESTIONES!$A:$A, BASE_CUENTAS!$A889, GESTIONES!$B:$B, BASE_CUENTAS!$C889)</f>
        <v>3</v>
      </c>
      <c r="L889">
        <f>COUNTIFS(GESTIONES!$A:$A, BASE_CUENTAS!$A889,GESTIONES!$B:$B, BASE_CUENTAS!$C889,GESTIONES!$E:$E, "S")</f>
        <v>1</v>
      </c>
      <c r="M889">
        <f>COUNTIFS(GESTIONES!$A:$A, BASE_CUENTAS!$A889,GESTIONES!$B:$B, BASE_CUENTAS!$C889,GESTIONES!$E:$E, "N")</f>
        <v>2</v>
      </c>
      <c r="N889">
        <f>COUNTIFS(GESTIONES!$A:$A, BASE_CUENTAS!$A889,GESTIONES!$B:$B, BASE_CUENTAS!$C889,GESTIONES!$D:$D, "SMS")</f>
        <v>2</v>
      </c>
      <c r="O889">
        <f>SUMIFS(PAGOS!$D:$D,PAGOS!$A:$A, BASE_CUENTAS!$A889,PAGOS!$B:$B, BASE_CUENTAS!$C889)</f>
        <v>105959</v>
      </c>
      <c r="P889" t="str">
        <f>IF(
VLOOKUP($C889,BASE_CIERRE_MES!$C:$G,5,FALSE)=0,
"Normalización",
IF(
VLOOKUP($C889,BASE_CIERRE_MES!$C:$G,5,FALSE)&lt;$H889,
"Recuperación",
IF(
VLOOKUP($C889,BASE_CIERRE_MES!$C:$G,5,FALSE)=$H889,
"Contención",
"Rodamiento"
)))</f>
        <v>Contención</v>
      </c>
      <c r="Q889">
        <f t="shared" si="13"/>
        <v>5.2721087589181627E-2</v>
      </c>
    </row>
    <row r="890" spans="1:17" x14ac:dyDescent="0.25">
      <c r="A890">
        <v>8552331</v>
      </c>
      <c r="B890" t="s">
        <v>16</v>
      </c>
      <c r="C890">
        <v>23983643</v>
      </c>
      <c r="D890" t="s">
        <v>7</v>
      </c>
      <c r="E890">
        <v>9245279</v>
      </c>
      <c r="F890" s="2">
        <v>1912766</v>
      </c>
      <c r="G890" s="2">
        <v>421704</v>
      </c>
      <c r="H890">
        <v>60</v>
      </c>
      <c r="I890" s="1">
        <v>42491</v>
      </c>
      <c r="J890" t="s">
        <v>6</v>
      </c>
      <c r="K890">
        <f>COUNTIFS(GESTIONES!$A:$A, BASE_CUENTAS!$A890, GESTIONES!$B:$B, BASE_CUENTAS!$C890)</f>
        <v>3</v>
      </c>
      <c r="L890">
        <f>COUNTIFS(GESTIONES!$A:$A, BASE_CUENTAS!$A890,GESTIONES!$B:$B, BASE_CUENTAS!$C890,GESTIONES!$E:$E, "S")</f>
        <v>1</v>
      </c>
      <c r="M890">
        <f>COUNTIFS(GESTIONES!$A:$A, BASE_CUENTAS!$A890,GESTIONES!$B:$B, BASE_CUENTAS!$C890,GESTIONES!$E:$E, "N")</f>
        <v>2</v>
      </c>
      <c r="N890">
        <f>COUNTIFS(GESTIONES!$A:$A, BASE_CUENTAS!$A890,GESTIONES!$B:$B, BASE_CUENTAS!$C890,GESTIONES!$D:$D, "SMS")</f>
        <v>0</v>
      </c>
      <c r="O890">
        <f>SUMIFS(PAGOS!$D:$D,PAGOS!$A:$A, BASE_CUENTAS!$A890,PAGOS!$B:$B, BASE_CUENTAS!$C890)</f>
        <v>421704</v>
      </c>
      <c r="P890" t="str">
        <f>IF(
VLOOKUP($C890,BASE_CIERRE_MES!$C:$G,5,FALSE)=0,
"Normalización",
IF(
VLOOKUP($C890,BASE_CIERRE_MES!$C:$G,5,FALSE)&lt;$H890,
"Recuperación",
IF(
VLOOKUP($C890,BASE_CIERRE_MES!$C:$G,5,FALSE)=$H890,
"Contención",
"Rodamiento"
)))</f>
        <v>Normalización</v>
      </c>
      <c r="Q890">
        <f t="shared" si="13"/>
        <v>0.2204681597226216</v>
      </c>
    </row>
    <row r="891" spans="1:17" x14ac:dyDescent="0.25">
      <c r="A891">
        <v>8552345</v>
      </c>
      <c r="B891" t="s">
        <v>17</v>
      </c>
      <c r="C891">
        <v>23758783</v>
      </c>
      <c r="D891" t="s">
        <v>11</v>
      </c>
      <c r="E891">
        <v>9578882</v>
      </c>
      <c r="F891" s="2">
        <v>9037665</v>
      </c>
      <c r="G891" s="2">
        <v>247400</v>
      </c>
      <c r="H891">
        <v>3</v>
      </c>
      <c r="I891" s="1">
        <v>42529</v>
      </c>
      <c r="J891" t="s">
        <v>6</v>
      </c>
      <c r="K891">
        <f>COUNTIFS(GESTIONES!$A:$A, BASE_CUENTAS!$A891, GESTIONES!$B:$B, BASE_CUENTAS!$C891)</f>
        <v>3</v>
      </c>
      <c r="L891">
        <f>COUNTIFS(GESTIONES!$A:$A, BASE_CUENTAS!$A891,GESTIONES!$B:$B, BASE_CUENTAS!$C891,GESTIONES!$E:$E, "S")</f>
        <v>1</v>
      </c>
      <c r="M891">
        <f>COUNTIFS(GESTIONES!$A:$A, BASE_CUENTAS!$A891,GESTIONES!$B:$B, BASE_CUENTAS!$C891,GESTIONES!$E:$E, "N")</f>
        <v>2</v>
      </c>
      <c r="N891">
        <f>COUNTIFS(GESTIONES!$A:$A, BASE_CUENTAS!$A891,GESTIONES!$B:$B, BASE_CUENTAS!$C891,GESTIONES!$D:$D, "SMS")</f>
        <v>0</v>
      </c>
      <c r="O891">
        <f>SUMIFS(PAGOS!$D:$D,PAGOS!$A:$A, BASE_CUENTAS!$A891,PAGOS!$B:$B, BASE_CUENTAS!$C891)</f>
        <v>0</v>
      </c>
      <c r="P891" t="str">
        <f>IF(
VLOOKUP($C891,BASE_CIERRE_MES!$C:$G,5,FALSE)=0,
"Normalización",
IF(
VLOOKUP($C891,BASE_CIERRE_MES!$C:$G,5,FALSE)&lt;$H891,
"Recuperación",
IF(
VLOOKUP($C891,BASE_CIERRE_MES!$C:$G,5,FALSE)=$H891,
"Contención",
"Rodamiento"
)))</f>
        <v>Rodamiento</v>
      </c>
      <c r="Q891">
        <f t="shared" si="13"/>
        <v>0</v>
      </c>
    </row>
    <row r="892" spans="1:17" x14ac:dyDescent="0.25">
      <c r="A892">
        <v>8552345</v>
      </c>
      <c r="B892" t="s">
        <v>17</v>
      </c>
      <c r="C892">
        <v>27755148</v>
      </c>
      <c r="D892" t="s">
        <v>7</v>
      </c>
      <c r="E892">
        <v>9578882</v>
      </c>
      <c r="F892" s="2">
        <v>541217</v>
      </c>
      <c r="G892" s="2">
        <v>162609</v>
      </c>
      <c r="H892">
        <v>60</v>
      </c>
      <c r="I892" s="1">
        <v>42491</v>
      </c>
      <c r="J892" t="s">
        <v>6</v>
      </c>
      <c r="K892">
        <f>COUNTIFS(GESTIONES!$A:$A, BASE_CUENTAS!$A892, GESTIONES!$B:$B, BASE_CUENTAS!$C892)</f>
        <v>3</v>
      </c>
      <c r="L892">
        <f>COUNTIFS(GESTIONES!$A:$A, BASE_CUENTAS!$A892,GESTIONES!$B:$B, BASE_CUENTAS!$C892,GESTIONES!$E:$E, "S")</f>
        <v>1</v>
      </c>
      <c r="M892">
        <f>COUNTIFS(GESTIONES!$A:$A, BASE_CUENTAS!$A892,GESTIONES!$B:$B, BASE_CUENTAS!$C892,GESTIONES!$E:$E, "N")</f>
        <v>2</v>
      </c>
      <c r="N892">
        <f>COUNTIFS(GESTIONES!$A:$A, BASE_CUENTAS!$A892,GESTIONES!$B:$B, BASE_CUENTAS!$C892,GESTIONES!$D:$D, "SMS")</f>
        <v>1</v>
      </c>
      <c r="O892">
        <f>SUMIFS(PAGOS!$D:$D,PAGOS!$A:$A, BASE_CUENTAS!$A892,PAGOS!$B:$B, BASE_CUENTAS!$C892)</f>
        <v>541217</v>
      </c>
      <c r="P892" t="str">
        <f>IF(
VLOOKUP($C892,BASE_CIERRE_MES!$C:$G,5,FALSE)=0,
"Normalización",
IF(
VLOOKUP($C892,BASE_CIERRE_MES!$C:$G,5,FALSE)&lt;$H892,
"Recuperación",
IF(
VLOOKUP($C892,BASE_CIERRE_MES!$C:$G,5,FALSE)=$H892,
"Contención",
"Rodamiento"
)))</f>
        <v>Normalización</v>
      </c>
      <c r="Q892">
        <f t="shared" si="13"/>
        <v>1</v>
      </c>
    </row>
    <row r="893" spans="1:17" x14ac:dyDescent="0.25">
      <c r="A893">
        <v>8552450</v>
      </c>
      <c r="B893" t="s">
        <v>18</v>
      </c>
      <c r="C893">
        <v>21386195</v>
      </c>
      <c r="D893" t="s">
        <v>7</v>
      </c>
      <c r="E893">
        <v>313202</v>
      </c>
      <c r="F893" s="2">
        <v>313202</v>
      </c>
      <c r="G893" s="2">
        <v>39846</v>
      </c>
      <c r="H893">
        <v>30</v>
      </c>
      <c r="I893" s="1">
        <v>42522</v>
      </c>
      <c r="J893" t="s">
        <v>6</v>
      </c>
      <c r="K893">
        <f>COUNTIFS(GESTIONES!$A:$A, BASE_CUENTAS!$A893, GESTIONES!$B:$B, BASE_CUENTAS!$C893)</f>
        <v>3</v>
      </c>
      <c r="L893">
        <f>COUNTIFS(GESTIONES!$A:$A, BASE_CUENTAS!$A893,GESTIONES!$B:$B, BASE_CUENTAS!$C893,GESTIONES!$E:$E, "S")</f>
        <v>0</v>
      </c>
      <c r="M893">
        <f>COUNTIFS(GESTIONES!$A:$A, BASE_CUENTAS!$A893,GESTIONES!$B:$B, BASE_CUENTAS!$C893,GESTIONES!$E:$E, "N")</f>
        <v>3</v>
      </c>
      <c r="N893">
        <f>COUNTIFS(GESTIONES!$A:$A, BASE_CUENTAS!$A893,GESTIONES!$B:$B, BASE_CUENTAS!$C893,GESTIONES!$D:$D, "SMS")</f>
        <v>1</v>
      </c>
      <c r="O893">
        <f>SUMIFS(PAGOS!$D:$D,PAGOS!$A:$A, BASE_CUENTAS!$A893,PAGOS!$B:$B, BASE_CUENTAS!$C893)</f>
        <v>0</v>
      </c>
      <c r="P893" t="str">
        <f>IF(
VLOOKUP($C893,BASE_CIERRE_MES!$C:$G,5,FALSE)=0,
"Normalización",
IF(
VLOOKUP($C893,BASE_CIERRE_MES!$C:$G,5,FALSE)&lt;$H893,
"Recuperación",
IF(
VLOOKUP($C893,BASE_CIERRE_MES!$C:$G,5,FALSE)=$H893,
"Contención",
"Rodamiento"
)))</f>
        <v>Rodamiento</v>
      </c>
      <c r="Q893">
        <f t="shared" si="13"/>
        <v>0</v>
      </c>
    </row>
    <row r="894" spans="1:17" x14ac:dyDescent="0.25">
      <c r="A894">
        <v>8552462</v>
      </c>
      <c r="B894" t="s">
        <v>18</v>
      </c>
      <c r="C894">
        <v>25300456</v>
      </c>
      <c r="D894" t="s">
        <v>7</v>
      </c>
      <c r="E894">
        <v>532127</v>
      </c>
      <c r="F894" s="2">
        <v>532127</v>
      </c>
      <c r="G894" s="2">
        <v>532127</v>
      </c>
      <c r="H894">
        <v>150</v>
      </c>
      <c r="I894" s="1">
        <v>42518</v>
      </c>
      <c r="J894" t="s">
        <v>5</v>
      </c>
      <c r="K894">
        <f>COUNTIFS(GESTIONES!$A:$A, BASE_CUENTAS!$A894, GESTIONES!$B:$B, BASE_CUENTAS!$C894)</f>
        <v>3</v>
      </c>
      <c r="L894">
        <f>COUNTIFS(GESTIONES!$A:$A, BASE_CUENTAS!$A894,GESTIONES!$B:$B, BASE_CUENTAS!$C894,GESTIONES!$E:$E, "S")</f>
        <v>1</v>
      </c>
      <c r="M894">
        <f>COUNTIFS(GESTIONES!$A:$A, BASE_CUENTAS!$A894,GESTIONES!$B:$B, BASE_CUENTAS!$C894,GESTIONES!$E:$E, "N")</f>
        <v>2</v>
      </c>
      <c r="N894">
        <f>COUNTIFS(GESTIONES!$A:$A, BASE_CUENTAS!$A894,GESTIONES!$B:$B, BASE_CUENTAS!$C894,GESTIONES!$D:$D, "SMS")</f>
        <v>2</v>
      </c>
      <c r="O894">
        <f>SUMIFS(PAGOS!$D:$D,PAGOS!$A:$A, BASE_CUENTAS!$A894,PAGOS!$B:$B, BASE_CUENTAS!$C894)</f>
        <v>0</v>
      </c>
      <c r="P894" t="str">
        <f>IF(
VLOOKUP($C894,BASE_CIERRE_MES!$C:$G,5,FALSE)=0,
"Normalización",
IF(
VLOOKUP($C894,BASE_CIERRE_MES!$C:$G,5,FALSE)&lt;$H894,
"Recuperación",
IF(
VLOOKUP($C894,BASE_CIERRE_MES!$C:$G,5,FALSE)=$H894,
"Contención",
"Rodamiento"
)))</f>
        <v>Rodamiento</v>
      </c>
      <c r="Q894">
        <f t="shared" si="13"/>
        <v>0</v>
      </c>
    </row>
    <row r="895" spans="1:17" x14ac:dyDescent="0.25">
      <c r="A895">
        <v>8552479</v>
      </c>
      <c r="B895" t="s">
        <v>18</v>
      </c>
      <c r="C895">
        <v>25963393</v>
      </c>
      <c r="D895" t="s">
        <v>7</v>
      </c>
      <c r="E895">
        <v>1689243</v>
      </c>
      <c r="F895" s="2">
        <v>1689243</v>
      </c>
      <c r="G895" s="2">
        <v>19516</v>
      </c>
      <c r="H895">
        <v>30</v>
      </c>
      <c r="I895" s="1">
        <v>42521</v>
      </c>
      <c r="J895" t="s">
        <v>4</v>
      </c>
      <c r="K895">
        <f>COUNTIFS(GESTIONES!$A:$A, BASE_CUENTAS!$A895, GESTIONES!$B:$B, BASE_CUENTAS!$C895)</f>
        <v>3</v>
      </c>
      <c r="L895">
        <f>COUNTIFS(GESTIONES!$A:$A, BASE_CUENTAS!$A895,GESTIONES!$B:$B, BASE_CUENTAS!$C895,GESTIONES!$E:$E, "S")</f>
        <v>1</v>
      </c>
      <c r="M895">
        <f>COUNTIFS(GESTIONES!$A:$A, BASE_CUENTAS!$A895,GESTIONES!$B:$B, BASE_CUENTAS!$C895,GESTIONES!$E:$E, "N")</f>
        <v>2</v>
      </c>
      <c r="N895">
        <f>COUNTIFS(GESTIONES!$A:$A, BASE_CUENTAS!$A895,GESTIONES!$B:$B, BASE_CUENTAS!$C895,GESTIONES!$D:$D, "SMS")</f>
        <v>0</v>
      </c>
      <c r="O895">
        <f>SUMIFS(PAGOS!$D:$D,PAGOS!$A:$A, BASE_CUENTAS!$A895,PAGOS!$B:$B, BASE_CUENTAS!$C895)</f>
        <v>19516</v>
      </c>
      <c r="P895" t="str">
        <f>IF(
VLOOKUP($C895,BASE_CIERRE_MES!$C:$G,5,FALSE)=0,
"Normalización",
IF(
VLOOKUP($C895,BASE_CIERRE_MES!$C:$G,5,FALSE)&lt;$H895,
"Recuperación",
IF(
VLOOKUP($C895,BASE_CIERRE_MES!$C:$G,5,FALSE)=$H895,
"Contención",
"Rodamiento"
)))</f>
        <v>Normalización</v>
      </c>
      <c r="Q895">
        <f t="shared" si="13"/>
        <v>1.1553103964320112E-2</v>
      </c>
    </row>
    <row r="896" spans="1:17" x14ac:dyDescent="0.25">
      <c r="A896">
        <v>8552611</v>
      </c>
      <c r="B896" t="s">
        <v>17</v>
      </c>
      <c r="C896">
        <v>26725212</v>
      </c>
      <c r="D896" t="s">
        <v>7</v>
      </c>
      <c r="E896">
        <v>3100424</v>
      </c>
      <c r="F896" s="2">
        <v>1526386</v>
      </c>
      <c r="G896" s="2">
        <v>274768</v>
      </c>
      <c r="H896">
        <v>90</v>
      </c>
      <c r="I896" s="1">
        <v>42509</v>
      </c>
      <c r="J896" t="s">
        <v>5</v>
      </c>
      <c r="K896">
        <f>COUNTIFS(GESTIONES!$A:$A, BASE_CUENTAS!$A896, GESTIONES!$B:$B, BASE_CUENTAS!$C896)</f>
        <v>3</v>
      </c>
      <c r="L896">
        <f>COUNTIFS(GESTIONES!$A:$A, BASE_CUENTAS!$A896,GESTIONES!$B:$B, BASE_CUENTAS!$C896,GESTIONES!$E:$E, "S")</f>
        <v>1</v>
      </c>
      <c r="M896">
        <f>COUNTIFS(GESTIONES!$A:$A, BASE_CUENTAS!$A896,GESTIONES!$B:$B, BASE_CUENTAS!$C896,GESTIONES!$E:$E, "N")</f>
        <v>2</v>
      </c>
      <c r="N896">
        <f>COUNTIFS(GESTIONES!$A:$A, BASE_CUENTAS!$A896,GESTIONES!$B:$B, BASE_CUENTAS!$C896,GESTIONES!$D:$D, "SMS")</f>
        <v>0</v>
      </c>
      <c r="O896">
        <f>SUMIFS(PAGOS!$D:$D,PAGOS!$A:$A, BASE_CUENTAS!$A896,PAGOS!$B:$B, BASE_CUENTAS!$C896)</f>
        <v>274768</v>
      </c>
      <c r="P896" t="str">
        <f>IF(
VLOOKUP($C896,BASE_CIERRE_MES!$C:$G,5,FALSE)=0,
"Normalización",
IF(
VLOOKUP($C896,BASE_CIERRE_MES!$C:$G,5,FALSE)&lt;$H896,
"Recuperación",
IF(
VLOOKUP($C896,BASE_CIERRE_MES!$C:$G,5,FALSE)=$H896,
"Contención",
"Rodamiento"
)))</f>
        <v>Normalización</v>
      </c>
      <c r="Q896">
        <f t="shared" si="13"/>
        <v>0.18001213323497464</v>
      </c>
    </row>
    <row r="897" spans="1:17" x14ac:dyDescent="0.25">
      <c r="A897">
        <v>8552611</v>
      </c>
      <c r="B897" t="s">
        <v>17</v>
      </c>
      <c r="C897">
        <v>27290206</v>
      </c>
      <c r="D897" t="s">
        <v>7</v>
      </c>
      <c r="E897">
        <v>3100424</v>
      </c>
      <c r="F897" s="2">
        <v>1574038</v>
      </c>
      <c r="G897" s="2">
        <v>1574038</v>
      </c>
      <c r="H897">
        <v>120</v>
      </c>
      <c r="I897" s="1">
        <v>42509</v>
      </c>
      <c r="J897" t="s">
        <v>5</v>
      </c>
      <c r="K897">
        <f>COUNTIFS(GESTIONES!$A:$A, BASE_CUENTAS!$A897, GESTIONES!$B:$B, BASE_CUENTAS!$C897)</f>
        <v>3</v>
      </c>
      <c r="L897">
        <f>COUNTIFS(GESTIONES!$A:$A, BASE_CUENTAS!$A897,GESTIONES!$B:$B, BASE_CUENTAS!$C897,GESTIONES!$E:$E, "S")</f>
        <v>2</v>
      </c>
      <c r="M897">
        <f>COUNTIFS(GESTIONES!$A:$A, BASE_CUENTAS!$A897,GESTIONES!$B:$B, BASE_CUENTAS!$C897,GESTIONES!$E:$E, "N")</f>
        <v>1</v>
      </c>
      <c r="N897">
        <f>COUNTIFS(GESTIONES!$A:$A, BASE_CUENTAS!$A897,GESTIONES!$B:$B, BASE_CUENTAS!$C897,GESTIONES!$D:$D, "SMS")</f>
        <v>1</v>
      </c>
      <c r="O897">
        <f>SUMIFS(PAGOS!$D:$D,PAGOS!$A:$A, BASE_CUENTAS!$A897,PAGOS!$B:$B, BASE_CUENTAS!$C897)</f>
        <v>524680</v>
      </c>
      <c r="P897" t="str">
        <f>IF(
VLOOKUP($C897,BASE_CIERRE_MES!$C:$G,5,FALSE)=0,
"Normalización",
IF(
VLOOKUP($C897,BASE_CIERRE_MES!$C:$G,5,FALSE)&lt;$H897,
"Recuperación",
IF(
VLOOKUP($C897,BASE_CIERRE_MES!$C:$G,5,FALSE)=$H897,
"Contención",
"Rodamiento"
)))</f>
        <v>Contención</v>
      </c>
      <c r="Q897">
        <f t="shared" si="13"/>
        <v>0.33333375687245159</v>
      </c>
    </row>
    <row r="898" spans="1:17" x14ac:dyDescent="0.25">
      <c r="A898">
        <v>8552858</v>
      </c>
      <c r="B898" t="s">
        <v>17</v>
      </c>
      <c r="C898">
        <v>4734571</v>
      </c>
      <c r="D898" t="s">
        <v>7</v>
      </c>
      <c r="E898">
        <v>3271256</v>
      </c>
      <c r="F898" s="2">
        <v>1068843</v>
      </c>
      <c r="G898" s="2">
        <v>1068843</v>
      </c>
      <c r="H898">
        <v>210</v>
      </c>
      <c r="I898" s="1">
        <v>42447</v>
      </c>
      <c r="J898" t="s">
        <v>5</v>
      </c>
      <c r="K898">
        <f>COUNTIFS(GESTIONES!$A:$A, BASE_CUENTAS!$A898, GESTIONES!$B:$B, BASE_CUENTAS!$C898)</f>
        <v>3</v>
      </c>
      <c r="L898">
        <f>COUNTIFS(GESTIONES!$A:$A, BASE_CUENTAS!$A898,GESTIONES!$B:$B, BASE_CUENTAS!$C898,GESTIONES!$E:$E, "S")</f>
        <v>1</v>
      </c>
      <c r="M898">
        <f>COUNTIFS(GESTIONES!$A:$A, BASE_CUENTAS!$A898,GESTIONES!$B:$B, BASE_CUENTAS!$C898,GESTIONES!$E:$E, "N")</f>
        <v>2</v>
      </c>
      <c r="N898">
        <f>COUNTIFS(GESTIONES!$A:$A, BASE_CUENTAS!$A898,GESTIONES!$B:$B, BASE_CUENTAS!$C898,GESTIONES!$D:$D, "SMS")</f>
        <v>0</v>
      </c>
      <c r="O898">
        <f>SUMIFS(PAGOS!$D:$D,PAGOS!$A:$A, BASE_CUENTAS!$A898,PAGOS!$B:$B, BASE_CUENTAS!$C898)</f>
        <v>0</v>
      </c>
      <c r="P898" t="str">
        <f>IF(
VLOOKUP($C898,BASE_CIERRE_MES!$C:$G,5,FALSE)=0,
"Normalización",
IF(
VLOOKUP($C898,BASE_CIERRE_MES!$C:$G,5,FALSE)&lt;$H898,
"Recuperación",
IF(
VLOOKUP($C898,BASE_CIERRE_MES!$C:$G,5,FALSE)=$H898,
"Contención",
"Rodamiento"
)))</f>
        <v>Rodamiento</v>
      </c>
      <c r="Q898">
        <f t="shared" si="13"/>
        <v>0</v>
      </c>
    </row>
    <row r="899" spans="1:17" x14ac:dyDescent="0.25">
      <c r="A899">
        <v>8552858</v>
      </c>
      <c r="B899" t="s">
        <v>17</v>
      </c>
      <c r="C899">
        <v>21710039</v>
      </c>
      <c r="D899" t="s">
        <v>7</v>
      </c>
      <c r="E899">
        <v>3271256</v>
      </c>
      <c r="F899" s="2">
        <v>1261967</v>
      </c>
      <c r="G899" s="2">
        <v>1261967</v>
      </c>
      <c r="H899">
        <v>150</v>
      </c>
      <c r="I899" s="1">
        <v>42508</v>
      </c>
      <c r="J899" t="s">
        <v>5</v>
      </c>
      <c r="K899">
        <f>COUNTIFS(GESTIONES!$A:$A, BASE_CUENTAS!$A899, GESTIONES!$B:$B, BASE_CUENTAS!$C899)</f>
        <v>3</v>
      </c>
      <c r="L899">
        <f>COUNTIFS(GESTIONES!$A:$A, BASE_CUENTAS!$A899,GESTIONES!$B:$B, BASE_CUENTAS!$C899,GESTIONES!$E:$E, "S")</f>
        <v>0</v>
      </c>
      <c r="M899">
        <f>COUNTIFS(GESTIONES!$A:$A, BASE_CUENTAS!$A899,GESTIONES!$B:$B, BASE_CUENTAS!$C899,GESTIONES!$E:$E, "N")</f>
        <v>3</v>
      </c>
      <c r="N899">
        <f>COUNTIFS(GESTIONES!$A:$A, BASE_CUENTAS!$A899,GESTIONES!$B:$B, BASE_CUENTAS!$C899,GESTIONES!$D:$D, "SMS")</f>
        <v>2</v>
      </c>
      <c r="O899">
        <f>SUMIFS(PAGOS!$D:$D,PAGOS!$A:$A, BASE_CUENTAS!$A899,PAGOS!$B:$B, BASE_CUENTAS!$C899)</f>
        <v>0</v>
      </c>
      <c r="P899" t="str">
        <f>IF(
VLOOKUP($C899,BASE_CIERRE_MES!$C:$G,5,FALSE)=0,
"Normalización",
IF(
VLOOKUP($C899,BASE_CIERRE_MES!$C:$G,5,FALSE)&lt;$H899,
"Recuperación",
IF(
VLOOKUP($C899,BASE_CIERRE_MES!$C:$G,5,FALSE)=$H899,
"Contención",
"Rodamiento"
)))</f>
        <v>Rodamiento</v>
      </c>
      <c r="Q899">
        <f t="shared" ref="Q899:Q962" si="14">IF(F899=0,0,VALUE(O899)/VALUE(F899))</f>
        <v>0</v>
      </c>
    </row>
    <row r="900" spans="1:17" x14ac:dyDescent="0.25">
      <c r="A900">
        <v>8552858</v>
      </c>
      <c r="B900" t="s">
        <v>17</v>
      </c>
      <c r="C900">
        <v>28584622</v>
      </c>
      <c r="D900" t="s">
        <v>7</v>
      </c>
      <c r="E900">
        <v>3271256</v>
      </c>
      <c r="F900" s="2">
        <v>940446</v>
      </c>
      <c r="G900" s="2">
        <v>224451</v>
      </c>
      <c r="H900">
        <v>60</v>
      </c>
      <c r="I900" s="1">
        <v>42524</v>
      </c>
      <c r="J900" t="s">
        <v>5</v>
      </c>
      <c r="K900">
        <f>COUNTIFS(GESTIONES!$A:$A, BASE_CUENTAS!$A900, GESTIONES!$B:$B, BASE_CUENTAS!$C900)</f>
        <v>3</v>
      </c>
      <c r="L900">
        <f>COUNTIFS(GESTIONES!$A:$A, BASE_CUENTAS!$A900,GESTIONES!$B:$B, BASE_CUENTAS!$C900,GESTIONES!$E:$E, "S")</f>
        <v>1</v>
      </c>
      <c r="M900">
        <f>COUNTIFS(GESTIONES!$A:$A, BASE_CUENTAS!$A900,GESTIONES!$B:$B, BASE_CUENTAS!$C900,GESTIONES!$E:$E, "N")</f>
        <v>2</v>
      </c>
      <c r="N900">
        <f>COUNTIFS(GESTIONES!$A:$A, BASE_CUENTAS!$A900,GESTIONES!$B:$B, BASE_CUENTAS!$C900,GESTIONES!$D:$D, "SMS")</f>
        <v>1</v>
      </c>
      <c r="O900">
        <f>SUMIFS(PAGOS!$D:$D,PAGOS!$A:$A, BASE_CUENTAS!$A900,PAGOS!$B:$B, BASE_CUENTAS!$C900)</f>
        <v>112226</v>
      </c>
      <c r="P900" t="str">
        <f>IF(
VLOOKUP($C900,BASE_CIERRE_MES!$C:$G,5,FALSE)=0,
"Normalización",
IF(
VLOOKUP($C900,BASE_CIERRE_MES!$C:$G,5,FALSE)&lt;$H900,
"Recuperación",
IF(
VLOOKUP($C900,BASE_CIERRE_MES!$C:$G,5,FALSE)=$H900,
"Contención",
"Rodamiento"
)))</f>
        <v>Recuperación</v>
      </c>
      <c r="Q900">
        <f t="shared" si="14"/>
        <v>0.11933274212448136</v>
      </c>
    </row>
    <row r="901" spans="1:17" x14ac:dyDescent="0.25">
      <c r="A901">
        <v>8552898</v>
      </c>
      <c r="B901" t="s">
        <v>18</v>
      </c>
      <c r="C901">
        <v>4715262</v>
      </c>
      <c r="D901" t="s">
        <v>7</v>
      </c>
      <c r="E901">
        <v>1501348</v>
      </c>
      <c r="F901" s="2">
        <v>1501348</v>
      </c>
      <c r="G901" s="2">
        <v>186479</v>
      </c>
      <c r="H901">
        <v>30</v>
      </c>
      <c r="I901" s="1">
        <v>42522</v>
      </c>
      <c r="J901" t="s">
        <v>6</v>
      </c>
      <c r="K901">
        <f>COUNTIFS(GESTIONES!$A:$A, BASE_CUENTAS!$A901, GESTIONES!$B:$B, BASE_CUENTAS!$C901)</f>
        <v>3</v>
      </c>
      <c r="L901">
        <f>COUNTIFS(GESTIONES!$A:$A, BASE_CUENTAS!$A901,GESTIONES!$B:$B, BASE_CUENTAS!$C901,GESTIONES!$E:$E, "S")</f>
        <v>1</v>
      </c>
      <c r="M901">
        <f>COUNTIFS(GESTIONES!$A:$A, BASE_CUENTAS!$A901,GESTIONES!$B:$B, BASE_CUENTAS!$C901,GESTIONES!$E:$E, "N")</f>
        <v>2</v>
      </c>
      <c r="N901">
        <f>COUNTIFS(GESTIONES!$A:$A, BASE_CUENTAS!$A901,GESTIONES!$B:$B, BASE_CUENTAS!$C901,GESTIONES!$D:$D, "SMS")</f>
        <v>0</v>
      </c>
      <c r="O901">
        <f>SUMIFS(PAGOS!$D:$D,PAGOS!$A:$A, BASE_CUENTAS!$A901,PAGOS!$B:$B, BASE_CUENTAS!$C901)</f>
        <v>0</v>
      </c>
      <c r="P901" t="str">
        <f>IF(
VLOOKUP($C901,BASE_CIERRE_MES!$C:$G,5,FALSE)=0,
"Normalización",
IF(
VLOOKUP($C901,BASE_CIERRE_MES!$C:$G,5,FALSE)&lt;$H901,
"Recuperación",
IF(
VLOOKUP($C901,BASE_CIERRE_MES!$C:$G,5,FALSE)=$H901,
"Contención",
"Rodamiento"
)))</f>
        <v>Rodamiento</v>
      </c>
      <c r="Q901">
        <f t="shared" si="14"/>
        <v>0</v>
      </c>
    </row>
    <row r="902" spans="1:17" x14ac:dyDescent="0.25">
      <c r="A902">
        <v>8553096</v>
      </c>
      <c r="B902" t="s">
        <v>18</v>
      </c>
      <c r="C902">
        <v>27552740</v>
      </c>
      <c r="D902" t="s">
        <v>7</v>
      </c>
      <c r="E902">
        <v>684165</v>
      </c>
      <c r="F902" s="2">
        <v>684165</v>
      </c>
      <c r="G902" s="2">
        <v>126883</v>
      </c>
      <c r="H902">
        <v>30</v>
      </c>
      <c r="I902" s="1">
        <v>42509</v>
      </c>
      <c r="J902" t="s">
        <v>6</v>
      </c>
      <c r="K902">
        <f>COUNTIFS(GESTIONES!$A:$A, BASE_CUENTAS!$A902, GESTIONES!$B:$B, BASE_CUENTAS!$C902)</f>
        <v>3</v>
      </c>
      <c r="L902">
        <f>COUNTIFS(GESTIONES!$A:$A, BASE_CUENTAS!$A902,GESTIONES!$B:$B, BASE_CUENTAS!$C902,GESTIONES!$E:$E, "S")</f>
        <v>1</v>
      </c>
      <c r="M902">
        <f>COUNTIFS(GESTIONES!$A:$A, BASE_CUENTAS!$A902,GESTIONES!$B:$B, BASE_CUENTAS!$C902,GESTIONES!$E:$E, "N")</f>
        <v>2</v>
      </c>
      <c r="N902">
        <f>COUNTIFS(GESTIONES!$A:$A, BASE_CUENTAS!$A902,GESTIONES!$B:$B, BASE_CUENTAS!$C902,GESTIONES!$D:$D, "SMS")</f>
        <v>1</v>
      </c>
      <c r="O902">
        <f>SUMIFS(PAGOS!$D:$D,PAGOS!$A:$A, BASE_CUENTAS!$A902,PAGOS!$B:$B, BASE_CUENTAS!$C902)</f>
        <v>0</v>
      </c>
      <c r="P902" t="str">
        <f>IF(
VLOOKUP($C902,BASE_CIERRE_MES!$C:$G,5,FALSE)=0,
"Normalización",
IF(
VLOOKUP($C902,BASE_CIERRE_MES!$C:$G,5,FALSE)&lt;$H902,
"Recuperación",
IF(
VLOOKUP($C902,BASE_CIERRE_MES!$C:$G,5,FALSE)=$H902,
"Contención",
"Rodamiento"
)))</f>
        <v>Rodamiento</v>
      </c>
      <c r="Q902">
        <f t="shared" si="14"/>
        <v>0</v>
      </c>
    </row>
    <row r="903" spans="1:17" x14ac:dyDescent="0.25">
      <c r="A903">
        <v>8553189</v>
      </c>
      <c r="B903" t="s">
        <v>17</v>
      </c>
      <c r="C903">
        <v>15321950</v>
      </c>
      <c r="D903" t="s">
        <v>7</v>
      </c>
      <c r="E903">
        <v>6245681</v>
      </c>
      <c r="F903" s="2">
        <v>6245681</v>
      </c>
      <c r="G903" s="2">
        <v>697031</v>
      </c>
      <c r="H903">
        <v>30</v>
      </c>
      <c r="I903" s="1">
        <v>42521</v>
      </c>
      <c r="J903" t="s">
        <v>4</v>
      </c>
      <c r="K903">
        <f>COUNTIFS(GESTIONES!$A:$A, BASE_CUENTAS!$A903, GESTIONES!$B:$B, BASE_CUENTAS!$C903)</f>
        <v>3</v>
      </c>
      <c r="L903">
        <f>COUNTIFS(GESTIONES!$A:$A, BASE_CUENTAS!$A903,GESTIONES!$B:$B, BASE_CUENTAS!$C903,GESTIONES!$E:$E, "S")</f>
        <v>1</v>
      </c>
      <c r="M903">
        <f>COUNTIFS(GESTIONES!$A:$A, BASE_CUENTAS!$A903,GESTIONES!$B:$B, BASE_CUENTAS!$C903,GESTIONES!$E:$E, "N")</f>
        <v>2</v>
      </c>
      <c r="N903">
        <f>COUNTIFS(GESTIONES!$A:$A, BASE_CUENTAS!$A903,GESTIONES!$B:$B, BASE_CUENTAS!$C903,GESTIONES!$D:$D, "SMS")</f>
        <v>0</v>
      </c>
      <c r="O903">
        <f>SUMIFS(PAGOS!$D:$D,PAGOS!$A:$A, BASE_CUENTAS!$A903,PAGOS!$B:$B, BASE_CUENTAS!$C903)</f>
        <v>6245681</v>
      </c>
      <c r="P903" t="str">
        <f>IF(
VLOOKUP($C903,BASE_CIERRE_MES!$C:$G,5,FALSE)=0,
"Normalización",
IF(
VLOOKUP($C903,BASE_CIERRE_MES!$C:$G,5,FALSE)&lt;$H903,
"Recuperación",
IF(
VLOOKUP($C903,BASE_CIERRE_MES!$C:$G,5,FALSE)=$H903,
"Contención",
"Rodamiento"
)))</f>
        <v>Normalización</v>
      </c>
      <c r="Q903">
        <f t="shared" si="14"/>
        <v>1</v>
      </c>
    </row>
    <row r="904" spans="1:17" x14ac:dyDescent="0.25">
      <c r="A904">
        <v>8553292</v>
      </c>
      <c r="B904" t="s">
        <v>18</v>
      </c>
      <c r="C904">
        <v>26038478</v>
      </c>
      <c r="D904" t="s">
        <v>7</v>
      </c>
      <c r="E904">
        <v>512218</v>
      </c>
      <c r="F904" s="2">
        <v>512218</v>
      </c>
      <c r="G904" s="2">
        <v>1605</v>
      </c>
      <c r="H904">
        <v>30</v>
      </c>
      <c r="I904" s="1">
        <v>42522</v>
      </c>
      <c r="J904" t="s">
        <v>6</v>
      </c>
      <c r="K904">
        <f>COUNTIFS(GESTIONES!$A:$A, BASE_CUENTAS!$A904, GESTIONES!$B:$B, BASE_CUENTAS!$C904)</f>
        <v>3</v>
      </c>
      <c r="L904">
        <f>COUNTIFS(GESTIONES!$A:$A, BASE_CUENTAS!$A904,GESTIONES!$B:$B, BASE_CUENTAS!$C904,GESTIONES!$E:$E, "S")</f>
        <v>0</v>
      </c>
      <c r="M904">
        <f>COUNTIFS(GESTIONES!$A:$A, BASE_CUENTAS!$A904,GESTIONES!$B:$B, BASE_CUENTAS!$C904,GESTIONES!$E:$E, "N")</f>
        <v>3</v>
      </c>
      <c r="N904">
        <f>COUNTIFS(GESTIONES!$A:$A, BASE_CUENTAS!$A904,GESTIONES!$B:$B, BASE_CUENTAS!$C904,GESTIONES!$D:$D, "SMS")</f>
        <v>2</v>
      </c>
      <c r="O904">
        <f>SUMIFS(PAGOS!$D:$D,PAGOS!$A:$A, BASE_CUENTAS!$A904,PAGOS!$B:$B, BASE_CUENTAS!$C904)</f>
        <v>803</v>
      </c>
      <c r="P904" t="str">
        <f>IF(
VLOOKUP($C904,BASE_CIERRE_MES!$C:$G,5,FALSE)=0,
"Normalización",
IF(
VLOOKUP($C904,BASE_CIERRE_MES!$C:$G,5,FALSE)&lt;$H904,
"Recuperación",
IF(
VLOOKUP($C904,BASE_CIERRE_MES!$C:$G,5,FALSE)=$H904,
"Contención",
"Rodamiento"
)))</f>
        <v>Recuperación</v>
      </c>
      <c r="Q904">
        <f t="shared" si="14"/>
        <v>1.5676918811912115E-3</v>
      </c>
    </row>
    <row r="905" spans="1:17" x14ac:dyDescent="0.25">
      <c r="A905">
        <v>8553414</v>
      </c>
      <c r="B905" t="s">
        <v>18</v>
      </c>
      <c r="C905">
        <v>16700034</v>
      </c>
      <c r="D905" t="s">
        <v>7</v>
      </c>
      <c r="E905">
        <v>4931152</v>
      </c>
      <c r="F905" s="2">
        <v>2227153</v>
      </c>
      <c r="G905" s="2">
        <v>1426176</v>
      </c>
      <c r="H905">
        <v>240</v>
      </c>
      <c r="I905" s="1">
        <v>42428</v>
      </c>
      <c r="J905" t="s">
        <v>5</v>
      </c>
      <c r="K905">
        <f>COUNTIFS(GESTIONES!$A:$A, BASE_CUENTAS!$A905, GESTIONES!$B:$B, BASE_CUENTAS!$C905)</f>
        <v>3</v>
      </c>
      <c r="L905">
        <f>COUNTIFS(GESTIONES!$A:$A, BASE_CUENTAS!$A905,GESTIONES!$B:$B, BASE_CUENTAS!$C905,GESTIONES!$E:$E, "S")</f>
        <v>1</v>
      </c>
      <c r="M905">
        <f>COUNTIFS(GESTIONES!$A:$A, BASE_CUENTAS!$A905,GESTIONES!$B:$B, BASE_CUENTAS!$C905,GESTIONES!$E:$E, "N")</f>
        <v>2</v>
      </c>
      <c r="N905">
        <f>COUNTIFS(GESTIONES!$A:$A, BASE_CUENTAS!$A905,GESTIONES!$B:$B, BASE_CUENTAS!$C905,GESTIONES!$D:$D, "SMS")</f>
        <v>1</v>
      </c>
      <c r="O905">
        <f>SUMIFS(PAGOS!$D:$D,PAGOS!$A:$A, BASE_CUENTAS!$A905,PAGOS!$B:$B, BASE_CUENTAS!$C905)</f>
        <v>713088</v>
      </c>
      <c r="P905" t="str">
        <f>IF(
VLOOKUP($C905,BASE_CIERRE_MES!$C:$G,5,FALSE)=0,
"Normalización",
IF(
VLOOKUP($C905,BASE_CIERRE_MES!$C:$G,5,FALSE)&lt;$H905,
"Recuperación",
IF(
VLOOKUP($C905,BASE_CIERRE_MES!$C:$G,5,FALSE)=$H905,
"Contención",
"Rodamiento"
)))</f>
        <v>Recuperación</v>
      </c>
      <c r="Q905">
        <f t="shared" si="14"/>
        <v>0.32017917044765221</v>
      </c>
    </row>
    <row r="906" spans="1:17" x14ac:dyDescent="0.25">
      <c r="A906">
        <v>8553666</v>
      </c>
      <c r="B906" t="s">
        <v>18</v>
      </c>
      <c r="C906">
        <v>26377696</v>
      </c>
      <c r="D906" t="s">
        <v>7</v>
      </c>
      <c r="E906">
        <v>2125013</v>
      </c>
      <c r="F906" s="2">
        <v>2125013</v>
      </c>
      <c r="G906" s="2">
        <v>988632</v>
      </c>
      <c r="H906">
        <v>90</v>
      </c>
      <c r="I906" s="1">
        <v>42509</v>
      </c>
      <c r="J906" t="s">
        <v>6</v>
      </c>
      <c r="K906">
        <f>COUNTIFS(GESTIONES!$A:$A, BASE_CUENTAS!$A906, GESTIONES!$B:$B, BASE_CUENTAS!$C906)</f>
        <v>3</v>
      </c>
      <c r="L906">
        <f>COUNTIFS(GESTIONES!$A:$A, BASE_CUENTAS!$A906,GESTIONES!$B:$B, BASE_CUENTAS!$C906,GESTIONES!$E:$E, "S")</f>
        <v>1</v>
      </c>
      <c r="M906">
        <f>COUNTIFS(GESTIONES!$A:$A, BASE_CUENTAS!$A906,GESTIONES!$B:$B, BASE_CUENTAS!$C906,GESTIONES!$E:$E, "N")</f>
        <v>2</v>
      </c>
      <c r="N906">
        <f>COUNTIFS(GESTIONES!$A:$A, BASE_CUENTAS!$A906,GESTIONES!$B:$B, BASE_CUENTAS!$C906,GESTIONES!$D:$D, "SMS")</f>
        <v>0</v>
      </c>
      <c r="O906">
        <f>SUMIFS(PAGOS!$D:$D,PAGOS!$A:$A, BASE_CUENTAS!$A906,PAGOS!$B:$B, BASE_CUENTAS!$C906)</f>
        <v>0</v>
      </c>
      <c r="P906" t="str">
        <f>IF(
VLOOKUP($C906,BASE_CIERRE_MES!$C:$G,5,FALSE)=0,
"Normalización",
IF(
VLOOKUP($C906,BASE_CIERRE_MES!$C:$G,5,FALSE)&lt;$H906,
"Recuperación",
IF(
VLOOKUP($C906,BASE_CIERRE_MES!$C:$G,5,FALSE)=$H906,
"Contención",
"Rodamiento"
)))</f>
        <v>Rodamiento</v>
      </c>
      <c r="Q906">
        <f t="shared" si="14"/>
        <v>0</v>
      </c>
    </row>
    <row r="907" spans="1:17" x14ac:dyDescent="0.25">
      <c r="A907">
        <v>8553693</v>
      </c>
      <c r="B907" t="s">
        <v>16</v>
      </c>
      <c r="C907">
        <v>23663051</v>
      </c>
      <c r="D907" t="s">
        <v>7</v>
      </c>
      <c r="E907">
        <v>24616164</v>
      </c>
      <c r="F907" s="2">
        <v>164408</v>
      </c>
      <c r="G907" s="2">
        <v>164408</v>
      </c>
      <c r="H907">
        <v>90</v>
      </c>
      <c r="I907" s="1">
        <v>42509</v>
      </c>
      <c r="J907" t="s">
        <v>6</v>
      </c>
      <c r="K907">
        <f>COUNTIFS(GESTIONES!$A:$A, BASE_CUENTAS!$A907, GESTIONES!$B:$B, BASE_CUENTAS!$C907)</f>
        <v>3</v>
      </c>
      <c r="L907">
        <f>COUNTIFS(GESTIONES!$A:$A, BASE_CUENTAS!$A907,GESTIONES!$B:$B, BASE_CUENTAS!$C907,GESTIONES!$E:$E, "S")</f>
        <v>1</v>
      </c>
      <c r="M907">
        <f>COUNTIFS(GESTIONES!$A:$A, BASE_CUENTAS!$A907,GESTIONES!$B:$B, BASE_CUENTAS!$C907,GESTIONES!$E:$E, "N")</f>
        <v>2</v>
      </c>
      <c r="N907">
        <f>COUNTIFS(GESTIONES!$A:$A, BASE_CUENTAS!$A907,GESTIONES!$B:$B, BASE_CUENTAS!$C907,GESTIONES!$D:$D, "SMS")</f>
        <v>1</v>
      </c>
      <c r="O907">
        <f>SUMIFS(PAGOS!$D:$D,PAGOS!$A:$A, BASE_CUENTAS!$A907,PAGOS!$B:$B, BASE_CUENTAS!$C907)</f>
        <v>164408</v>
      </c>
      <c r="P907" t="str">
        <f>IF(
VLOOKUP($C907,BASE_CIERRE_MES!$C:$G,5,FALSE)=0,
"Normalización",
IF(
VLOOKUP($C907,BASE_CIERRE_MES!$C:$G,5,FALSE)&lt;$H907,
"Recuperación",
IF(
VLOOKUP($C907,BASE_CIERRE_MES!$C:$G,5,FALSE)=$H907,
"Contención",
"Rodamiento"
)))</f>
        <v>Normalización</v>
      </c>
      <c r="Q907">
        <f t="shared" si="14"/>
        <v>1</v>
      </c>
    </row>
    <row r="908" spans="1:17" x14ac:dyDescent="0.25">
      <c r="A908">
        <v>8553693</v>
      </c>
      <c r="B908" t="s">
        <v>16</v>
      </c>
      <c r="C908">
        <v>23932368</v>
      </c>
      <c r="D908" t="s">
        <v>8</v>
      </c>
      <c r="E908">
        <v>24616164</v>
      </c>
      <c r="F908" s="2">
        <v>24451756</v>
      </c>
      <c r="G908" s="2">
        <v>316433</v>
      </c>
      <c r="H908">
        <v>2</v>
      </c>
      <c r="I908" s="1">
        <v>42529</v>
      </c>
      <c r="J908" t="s">
        <v>6</v>
      </c>
      <c r="K908">
        <f>COUNTIFS(GESTIONES!$A:$A, BASE_CUENTAS!$A908, GESTIONES!$B:$B, BASE_CUENTAS!$C908)</f>
        <v>3</v>
      </c>
      <c r="L908">
        <f>COUNTIFS(GESTIONES!$A:$A, BASE_CUENTAS!$A908,GESTIONES!$B:$B, BASE_CUENTAS!$C908,GESTIONES!$E:$E, "S")</f>
        <v>1</v>
      </c>
      <c r="M908">
        <f>COUNTIFS(GESTIONES!$A:$A, BASE_CUENTAS!$A908,GESTIONES!$B:$B, BASE_CUENTAS!$C908,GESTIONES!$E:$E, "N")</f>
        <v>2</v>
      </c>
      <c r="N908">
        <f>COUNTIFS(GESTIONES!$A:$A, BASE_CUENTAS!$A908,GESTIONES!$B:$B, BASE_CUENTAS!$C908,GESTIONES!$D:$D, "SMS")</f>
        <v>0</v>
      </c>
      <c r="O908">
        <f>SUMIFS(PAGOS!$D:$D,PAGOS!$A:$A, BASE_CUENTAS!$A908,PAGOS!$B:$B, BASE_CUENTAS!$C908)</f>
        <v>0</v>
      </c>
      <c r="P908" t="str">
        <f>IF(
VLOOKUP($C908,BASE_CIERRE_MES!$C:$G,5,FALSE)=0,
"Normalización",
IF(
VLOOKUP($C908,BASE_CIERRE_MES!$C:$G,5,FALSE)&lt;$H908,
"Recuperación",
IF(
VLOOKUP($C908,BASE_CIERRE_MES!$C:$G,5,FALSE)=$H908,
"Contención",
"Rodamiento"
)))</f>
        <v>Rodamiento</v>
      </c>
      <c r="Q908">
        <f t="shared" si="14"/>
        <v>0</v>
      </c>
    </row>
    <row r="909" spans="1:17" x14ac:dyDescent="0.25">
      <c r="A909">
        <v>8553743</v>
      </c>
      <c r="B909" t="s">
        <v>18</v>
      </c>
      <c r="C909">
        <v>20545144</v>
      </c>
      <c r="D909" t="s">
        <v>7</v>
      </c>
      <c r="E909">
        <v>2629154</v>
      </c>
      <c r="F909" s="2">
        <v>1001397</v>
      </c>
      <c r="G909" s="2">
        <v>1001397</v>
      </c>
      <c r="H909">
        <v>180</v>
      </c>
      <c r="I909" s="1">
        <v>42491</v>
      </c>
      <c r="J909" t="s">
        <v>5</v>
      </c>
      <c r="K909">
        <f>COUNTIFS(GESTIONES!$A:$A, BASE_CUENTAS!$A909, GESTIONES!$B:$B, BASE_CUENTAS!$C909)</f>
        <v>3</v>
      </c>
      <c r="L909">
        <f>COUNTIFS(GESTIONES!$A:$A, BASE_CUENTAS!$A909,GESTIONES!$B:$B, BASE_CUENTAS!$C909,GESTIONES!$E:$E, "S")</f>
        <v>0</v>
      </c>
      <c r="M909">
        <f>COUNTIFS(GESTIONES!$A:$A, BASE_CUENTAS!$A909,GESTIONES!$B:$B, BASE_CUENTAS!$C909,GESTIONES!$E:$E, "N")</f>
        <v>3</v>
      </c>
      <c r="N909">
        <f>COUNTIFS(GESTIONES!$A:$A, BASE_CUENTAS!$A909,GESTIONES!$B:$B, BASE_CUENTAS!$C909,GESTIONES!$D:$D, "SMS")</f>
        <v>2</v>
      </c>
      <c r="O909">
        <f>SUMIFS(PAGOS!$D:$D,PAGOS!$A:$A, BASE_CUENTAS!$A909,PAGOS!$B:$B, BASE_CUENTAS!$C909)</f>
        <v>333799</v>
      </c>
      <c r="P909" t="str">
        <f>IF(
VLOOKUP($C909,BASE_CIERRE_MES!$C:$G,5,FALSE)=0,
"Normalización",
IF(
VLOOKUP($C909,BASE_CIERRE_MES!$C:$G,5,FALSE)&lt;$H909,
"Recuperación",
IF(
VLOOKUP($C909,BASE_CIERRE_MES!$C:$G,5,FALSE)=$H909,
"Contención",
"Rodamiento"
)))</f>
        <v>Contención</v>
      </c>
      <c r="Q909">
        <f t="shared" si="14"/>
        <v>0.33333333333333331</v>
      </c>
    </row>
    <row r="910" spans="1:17" x14ac:dyDescent="0.25">
      <c r="A910">
        <v>8553743</v>
      </c>
      <c r="B910" t="s">
        <v>18</v>
      </c>
      <c r="C910">
        <v>21877122</v>
      </c>
      <c r="D910" t="s">
        <v>13</v>
      </c>
      <c r="E910">
        <v>2629154</v>
      </c>
      <c r="F910" s="2">
        <v>1627757</v>
      </c>
      <c r="G910" s="2">
        <v>1632056</v>
      </c>
      <c r="H910">
        <v>310</v>
      </c>
      <c r="I910" s="1">
        <v>42488</v>
      </c>
      <c r="J910" t="s">
        <v>5</v>
      </c>
      <c r="K910">
        <f>COUNTIFS(GESTIONES!$A:$A, BASE_CUENTAS!$A910, GESTIONES!$B:$B, BASE_CUENTAS!$C910)</f>
        <v>3</v>
      </c>
      <c r="L910">
        <f>COUNTIFS(GESTIONES!$A:$A, BASE_CUENTAS!$A910,GESTIONES!$B:$B, BASE_CUENTAS!$C910,GESTIONES!$E:$E, "S")</f>
        <v>1</v>
      </c>
      <c r="M910">
        <f>COUNTIFS(GESTIONES!$A:$A, BASE_CUENTAS!$A910,GESTIONES!$B:$B, BASE_CUENTAS!$C910,GESTIONES!$E:$E, "N")</f>
        <v>2</v>
      </c>
      <c r="N910">
        <f>COUNTIFS(GESTIONES!$A:$A, BASE_CUENTAS!$A910,GESTIONES!$B:$B, BASE_CUENTAS!$C910,GESTIONES!$D:$D, "SMS")</f>
        <v>1</v>
      </c>
      <c r="O910">
        <f>SUMIFS(PAGOS!$D:$D,PAGOS!$A:$A, BASE_CUENTAS!$A910,PAGOS!$B:$B, BASE_CUENTAS!$C910)</f>
        <v>0</v>
      </c>
      <c r="P910" t="str">
        <f>IF(
VLOOKUP($C910,BASE_CIERRE_MES!$C:$G,5,FALSE)=0,
"Normalización",
IF(
VLOOKUP($C910,BASE_CIERRE_MES!$C:$G,5,FALSE)&lt;$H910,
"Recuperación",
IF(
VLOOKUP($C910,BASE_CIERRE_MES!$C:$G,5,FALSE)=$H910,
"Contención",
"Rodamiento"
)))</f>
        <v>Rodamiento</v>
      </c>
      <c r="Q910">
        <f t="shared" si="14"/>
        <v>0</v>
      </c>
    </row>
    <row r="911" spans="1:17" x14ac:dyDescent="0.25">
      <c r="A911">
        <v>8554278</v>
      </c>
      <c r="B911" t="s">
        <v>18</v>
      </c>
      <c r="C911">
        <v>20987702</v>
      </c>
      <c r="D911" t="s">
        <v>7</v>
      </c>
      <c r="E911">
        <v>2039490</v>
      </c>
      <c r="F911" s="2">
        <v>2039490</v>
      </c>
      <c r="G911" s="2">
        <v>261696</v>
      </c>
      <c r="H911">
        <v>30</v>
      </c>
      <c r="I911" s="1">
        <v>42521</v>
      </c>
      <c r="J911" t="s">
        <v>4</v>
      </c>
      <c r="K911">
        <f>COUNTIFS(GESTIONES!$A:$A, BASE_CUENTAS!$A911, GESTIONES!$B:$B, BASE_CUENTAS!$C911)</f>
        <v>3</v>
      </c>
      <c r="L911">
        <f>COUNTIFS(GESTIONES!$A:$A, BASE_CUENTAS!$A911,GESTIONES!$B:$B, BASE_CUENTAS!$C911,GESTIONES!$E:$E, "S")</f>
        <v>1</v>
      </c>
      <c r="M911">
        <f>COUNTIFS(GESTIONES!$A:$A, BASE_CUENTAS!$A911,GESTIONES!$B:$B, BASE_CUENTAS!$C911,GESTIONES!$E:$E, "N")</f>
        <v>2</v>
      </c>
      <c r="N911">
        <f>COUNTIFS(GESTIONES!$A:$A, BASE_CUENTAS!$A911,GESTIONES!$B:$B, BASE_CUENTAS!$C911,GESTIONES!$D:$D, "SMS")</f>
        <v>0</v>
      </c>
      <c r="O911">
        <f>SUMIFS(PAGOS!$D:$D,PAGOS!$A:$A, BASE_CUENTAS!$A911,PAGOS!$B:$B, BASE_CUENTAS!$C911)</f>
        <v>130848</v>
      </c>
      <c r="P911" t="str">
        <f>IF(
VLOOKUP($C911,BASE_CIERRE_MES!$C:$G,5,FALSE)=0,
"Normalización",
IF(
VLOOKUP($C911,BASE_CIERRE_MES!$C:$G,5,FALSE)&lt;$H911,
"Recuperación",
IF(
VLOOKUP($C911,BASE_CIERRE_MES!$C:$G,5,FALSE)=$H911,
"Contención",
"Rodamiento"
)))</f>
        <v>Recuperación</v>
      </c>
      <c r="Q911">
        <f t="shared" si="14"/>
        <v>6.4157215774531873E-2</v>
      </c>
    </row>
    <row r="912" spans="1:17" x14ac:dyDescent="0.25">
      <c r="A912">
        <v>8554397</v>
      </c>
      <c r="B912" t="s">
        <v>18</v>
      </c>
      <c r="C912">
        <v>28146964</v>
      </c>
      <c r="D912" t="s">
        <v>7</v>
      </c>
      <c r="E912">
        <v>705544</v>
      </c>
      <c r="F912" s="2">
        <v>705544</v>
      </c>
      <c r="G912" s="2">
        <v>124443</v>
      </c>
      <c r="H912">
        <v>30</v>
      </c>
      <c r="I912" s="1">
        <v>42521</v>
      </c>
      <c r="J912" t="s">
        <v>4</v>
      </c>
      <c r="K912">
        <f>COUNTIFS(GESTIONES!$A:$A, BASE_CUENTAS!$A912, GESTIONES!$B:$B, BASE_CUENTAS!$C912)</f>
        <v>3</v>
      </c>
      <c r="L912">
        <f>COUNTIFS(GESTIONES!$A:$A, BASE_CUENTAS!$A912,GESTIONES!$B:$B, BASE_CUENTAS!$C912,GESTIONES!$E:$E, "S")</f>
        <v>1</v>
      </c>
      <c r="M912">
        <f>COUNTIFS(GESTIONES!$A:$A, BASE_CUENTAS!$A912,GESTIONES!$B:$B, BASE_CUENTAS!$C912,GESTIONES!$E:$E, "N")</f>
        <v>2</v>
      </c>
      <c r="N912">
        <f>COUNTIFS(GESTIONES!$A:$A, BASE_CUENTAS!$A912,GESTIONES!$B:$B, BASE_CUENTAS!$C912,GESTIONES!$D:$D, "SMS")</f>
        <v>1</v>
      </c>
      <c r="O912">
        <f>SUMIFS(PAGOS!$D:$D,PAGOS!$A:$A, BASE_CUENTAS!$A912,PAGOS!$B:$B, BASE_CUENTAS!$C912)</f>
        <v>0</v>
      </c>
      <c r="P912" t="str">
        <f>IF(
VLOOKUP($C912,BASE_CIERRE_MES!$C:$G,5,FALSE)=0,
"Normalización",
IF(
VLOOKUP($C912,BASE_CIERRE_MES!$C:$G,5,FALSE)&lt;$H912,
"Recuperación",
IF(
VLOOKUP($C912,BASE_CIERRE_MES!$C:$G,5,FALSE)=$H912,
"Contención",
"Rodamiento"
)))</f>
        <v>Rodamiento</v>
      </c>
      <c r="Q912">
        <f t="shared" si="14"/>
        <v>0</v>
      </c>
    </row>
    <row r="913" spans="1:17" x14ac:dyDescent="0.25">
      <c r="A913">
        <v>8554529</v>
      </c>
      <c r="B913" t="s">
        <v>18</v>
      </c>
      <c r="C913">
        <v>27523507</v>
      </c>
      <c r="D913" t="s">
        <v>7</v>
      </c>
      <c r="E913">
        <v>5255044</v>
      </c>
      <c r="F913" s="2">
        <v>5255044</v>
      </c>
      <c r="G913" s="2">
        <v>507792</v>
      </c>
      <c r="H913">
        <v>30</v>
      </c>
      <c r="I913" s="1">
        <v>42509</v>
      </c>
      <c r="J913" t="s">
        <v>6</v>
      </c>
      <c r="K913">
        <f>COUNTIFS(GESTIONES!$A:$A, BASE_CUENTAS!$A913, GESTIONES!$B:$B, BASE_CUENTAS!$C913)</f>
        <v>3</v>
      </c>
      <c r="L913">
        <f>COUNTIFS(GESTIONES!$A:$A, BASE_CUENTAS!$A913,GESTIONES!$B:$B, BASE_CUENTAS!$C913,GESTIONES!$E:$E, "S")</f>
        <v>2</v>
      </c>
      <c r="M913">
        <f>COUNTIFS(GESTIONES!$A:$A, BASE_CUENTAS!$A913,GESTIONES!$B:$B, BASE_CUENTAS!$C913,GESTIONES!$E:$E, "N")</f>
        <v>1</v>
      </c>
      <c r="N913">
        <f>COUNTIFS(GESTIONES!$A:$A, BASE_CUENTAS!$A913,GESTIONES!$B:$B, BASE_CUENTAS!$C913,GESTIONES!$D:$D, "SMS")</f>
        <v>0</v>
      </c>
      <c r="O913">
        <f>SUMIFS(PAGOS!$D:$D,PAGOS!$A:$A, BASE_CUENTAS!$A913,PAGOS!$B:$B, BASE_CUENTAS!$C913)</f>
        <v>5255044</v>
      </c>
      <c r="P913" t="str">
        <f>IF(
VLOOKUP($C913,BASE_CIERRE_MES!$C:$G,5,FALSE)=0,
"Normalización",
IF(
VLOOKUP($C913,BASE_CIERRE_MES!$C:$G,5,FALSE)&lt;$H913,
"Recuperación",
IF(
VLOOKUP($C913,BASE_CIERRE_MES!$C:$G,5,FALSE)=$H913,
"Contención",
"Rodamiento"
)))</f>
        <v>Normalización</v>
      </c>
      <c r="Q913">
        <f t="shared" si="14"/>
        <v>1</v>
      </c>
    </row>
    <row r="914" spans="1:17" x14ac:dyDescent="0.25">
      <c r="A914">
        <v>8554929</v>
      </c>
      <c r="B914" t="s">
        <v>18</v>
      </c>
      <c r="C914">
        <v>26813424</v>
      </c>
      <c r="D914" t="s">
        <v>7</v>
      </c>
      <c r="E914">
        <v>673774</v>
      </c>
      <c r="F914" s="2">
        <v>673774</v>
      </c>
      <c r="G914" s="2">
        <v>29648</v>
      </c>
      <c r="H914">
        <v>30</v>
      </c>
      <c r="I914" s="1">
        <v>42508</v>
      </c>
      <c r="J914" t="s">
        <v>6</v>
      </c>
      <c r="K914">
        <f>COUNTIFS(GESTIONES!$A:$A, BASE_CUENTAS!$A914, GESTIONES!$B:$B, BASE_CUENTAS!$C914)</f>
        <v>3</v>
      </c>
      <c r="L914">
        <f>COUNTIFS(GESTIONES!$A:$A, BASE_CUENTAS!$A914,GESTIONES!$B:$B, BASE_CUENTAS!$C914,GESTIONES!$E:$E, "S")</f>
        <v>1</v>
      </c>
      <c r="M914">
        <f>COUNTIFS(GESTIONES!$A:$A, BASE_CUENTAS!$A914,GESTIONES!$B:$B, BASE_CUENTAS!$C914,GESTIONES!$E:$E, "N")</f>
        <v>2</v>
      </c>
      <c r="N914">
        <f>COUNTIFS(GESTIONES!$A:$A, BASE_CUENTAS!$A914,GESTIONES!$B:$B, BASE_CUENTAS!$C914,GESTIONES!$D:$D, "SMS")</f>
        <v>1</v>
      </c>
      <c r="O914">
        <f>SUMIFS(PAGOS!$D:$D,PAGOS!$A:$A, BASE_CUENTAS!$A914,PAGOS!$B:$B, BASE_CUENTAS!$C914)</f>
        <v>0</v>
      </c>
      <c r="P914" t="str">
        <f>IF(
VLOOKUP($C914,BASE_CIERRE_MES!$C:$G,5,FALSE)=0,
"Normalización",
IF(
VLOOKUP($C914,BASE_CIERRE_MES!$C:$G,5,FALSE)&lt;$H914,
"Recuperación",
IF(
VLOOKUP($C914,BASE_CIERRE_MES!$C:$G,5,FALSE)=$H914,
"Contención",
"Rodamiento"
)))</f>
        <v>Rodamiento</v>
      </c>
      <c r="Q914">
        <f t="shared" si="14"/>
        <v>0</v>
      </c>
    </row>
    <row r="915" spans="1:17" x14ac:dyDescent="0.25">
      <c r="A915">
        <v>8554952</v>
      </c>
      <c r="B915" t="s">
        <v>18</v>
      </c>
      <c r="C915">
        <v>14370932</v>
      </c>
      <c r="D915" t="s">
        <v>7</v>
      </c>
      <c r="E915">
        <v>4960503</v>
      </c>
      <c r="F915" s="2">
        <v>4960503</v>
      </c>
      <c r="G915" s="2">
        <v>4960503</v>
      </c>
      <c r="H915">
        <v>210</v>
      </c>
      <c r="I915" s="1">
        <v>42462</v>
      </c>
      <c r="J915" t="s">
        <v>5</v>
      </c>
      <c r="K915">
        <f>COUNTIFS(GESTIONES!$A:$A, BASE_CUENTAS!$A915, GESTIONES!$B:$B, BASE_CUENTAS!$C915)</f>
        <v>3</v>
      </c>
      <c r="L915">
        <f>COUNTIFS(GESTIONES!$A:$A, BASE_CUENTAS!$A915,GESTIONES!$B:$B, BASE_CUENTAS!$C915,GESTIONES!$E:$E, "S")</f>
        <v>0</v>
      </c>
      <c r="M915">
        <f>COUNTIFS(GESTIONES!$A:$A, BASE_CUENTAS!$A915,GESTIONES!$B:$B, BASE_CUENTAS!$C915,GESTIONES!$E:$E, "N")</f>
        <v>3</v>
      </c>
      <c r="N915">
        <f>COUNTIFS(GESTIONES!$A:$A, BASE_CUENTAS!$A915,GESTIONES!$B:$B, BASE_CUENTAS!$C915,GESTIONES!$D:$D, "SMS")</f>
        <v>1</v>
      </c>
      <c r="O915">
        <f>SUMIFS(PAGOS!$D:$D,PAGOS!$A:$A, BASE_CUENTAS!$A915,PAGOS!$B:$B, BASE_CUENTAS!$C915)</f>
        <v>0</v>
      </c>
      <c r="P915" t="str">
        <f>IF(
VLOOKUP($C915,BASE_CIERRE_MES!$C:$G,5,FALSE)=0,
"Normalización",
IF(
VLOOKUP($C915,BASE_CIERRE_MES!$C:$G,5,FALSE)&lt;$H915,
"Recuperación",
IF(
VLOOKUP($C915,BASE_CIERRE_MES!$C:$G,5,FALSE)=$H915,
"Contención",
"Rodamiento"
)))</f>
        <v>Rodamiento</v>
      </c>
      <c r="Q915">
        <f t="shared" si="14"/>
        <v>0</v>
      </c>
    </row>
    <row r="916" spans="1:17" x14ac:dyDescent="0.25">
      <c r="A916">
        <v>8555181</v>
      </c>
      <c r="B916" t="s">
        <v>16</v>
      </c>
      <c r="C916">
        <v>28267368</v>
      </c>
      <c r="D916" t="s">
        <v>7</v>
      </c>
      <c r="E916">
        <v>37338014</v>
      </c>
      <c r="F916" s="2">
        <v>5513966</v>
      </c>
      <c r="G916" s="2">
        <v>296881</v>
      </c>
      <c r="H916">
        <v>30</v>
      </c>
      <c r="I916" s="1">
        <v>42522</v>
      </c>
      <c r="J916" t="s">
        <v>6</v>
      </c>
      <c r="K916">
        <f>COUNTIFS(GESTIONES!$A:$A, BASE_CUENTAS!$A916, GESTIONES!$B:$B, BASE_CUENTAS!$C916)</f>
        <v>3</v>
      </c>
      <c r="L916">
        <f>COUNTIFS(GESTIONES!$A:$A, BASE_CUENTAS!$A916,GESTIONES!$B:$B, BASE_CUENTAS!$C916,GESTIONES!$E:$E, "S")</f>
        <v>1</v>
      </c>
      <c r="M916">
        <f>COUNTIFS(GESTIONES!$A:$A, BASE_CUENTAS!$A916,GESTIONES!$B:$B, BASE_CUENTAS!$C916,GESTIONES!$E:$E, "N")</f>
        <v>2</v>
      </c>
      <c r="N916">
        <f>COUNTIFS(GESTIONES!$A:$A, BASE_CUENTAS!$A916,GESTIONES!$B:$B, BASE_CUENTAS!$C916,GESTIONES!$D:$D, "SMS")</f>
        <v>1</v>
      </c>
      <c r="O916">
        <f>SUMIFS(PAGOS!$D:$D,PAGOS!$A:$A, BASE_CUENTAS!$A916,PAGOS!$B:$B, BASE_CUENTAS!$C916)</f>
        <v>296881</v>
      </c>
      <c r="P916" t="str">
        <f>IF(
VLOOKUP($C916,BASE_CIERRE_MES!$C:$G,5,FALSE)=0,
"Normalización",
IF(
VLOOKUP($C916,BASE_CIERRE_MES!$C:$G,5,FALSE)&lt;$H916,
"Recuperación",
IF(
VLOOKUP($C916,BASE_CIERRE_MES!$C:$G,5,FALSE)=$H916,
"Contención",
"Rodamiento"
)))</f>
        <v>Normalización</v>
      </c>
      <c r="Q916">
        <f t="shared" si="14"/>
        <v>5.3841645015584062E-2</v>
      </c>
    </row>
    <row r="917" spans="1:17" x14ac:dyDescent="0.25">
      <c r="A917">
        <v>8555188</v>
      </c>
      <c r="B917" t="s">
        <v>18</v>
      </c>
      <c r="C917">
        <v>23486645</v>
      </c>
      <c r="D917" t="s">
        <v>7</v>
      </c>
      <c r="E917">
        <v>745020</v>
      </c>
      <c r="F917" s="2">
        <v>372510</v>
      </c>
      <c r="G917" s="2">
        <v>200401</v>
      </c>
      <c r="H917">
        <v>60</v>
      </c>
      <c r="I917" s="1">
        <v>42524</v>
      </c>
      <c r="J917" t="s">
        <v>6</v>
      </c>
      <c r="K917">
        <f>COUNTIFS(GESTIONES!$A:$A, BASE_CUENTAS!$A917, GESTIONES!$B:$B, BASE_CUENTAS!$C917)</f>
        <v>3</v>
      </c>
      <c r="L917">
        <f>COUNTIFS(GESTIONES!$A:$A, BASE_CUENTAS!$A917,GESTIONES!$B:$B, BASE_CUENTAS!$C917,GESTIONES!$E:$E, "S")</f>
        <v>1</v>
      </c>
      <c r="M917">
        <f>COUNTIFS(GESTIONES!$A:$A, BASE_CUENTAS!$A917,GESTIONES!$B:$B, BASE_CUENTAS!$C917,GESTIONES!$E:$E, "N")</f>
        <v>2</v>
      </c>
      <c r="N917">
        <f>COUNTIFS(GESTIONES!$A:$A, BASE_CUENTAS!$A917,GESTIONES!$B:$B, BASE_CUENTAS!$C917,GESTIONES!$D:$D, "SMS")</f>
        <v>1</v>
      </c>
      <c r="O917">
        <f>SUMIFS(PAGOS!$D:$D,PAGOS!$A:$A, BASE_CUENTAS!$A917,PAGOS!$B:$B, BASE_CUENTAS!$C917)</f>
        <v>0</v>
      </c>
      <c r="P917" t="str">
        <f>IF(
VLOOKUP($C917,BASE_CIERRE_MES!$C:$G,5,FALSE)=0,
"Normalización",
IF(
VLOOKUP($C917,BASE_CIERRE_MES!$C:$G,5,FALSE)&lt;$H917,
"Recuperación",
IF(
VLOOKUP($C917,BASE_CIERRE_MES!$C:$G,5,FALSE)=$H917,
"Contención",
"Rodamiento"
)))</f>
        <v>Rodamiento</v>
      </c>
      <c r="Q917">
        <f t="shared" si="14"/>
        <v>0</v>
      </c>
    </row>
    <row r="918" spans="1:17" x14ac:dyDescent="0.25">
      <c r="A918">
        <v>8555305</v>
      </c>
      <c r="B918" t="s">
        <v>18</v>
      </c>
      <c r="C918">
        <v>21346506</v>
      </c>
      <c r="D918" t="s">
        <v>7</v>
      </c>
      <c r="E918">
        <v>2757854</v>
      </c>
      <c r="F918" s="2">
        <v>1481429</v>
      </c>
      <c r="G918" s="2">
        <v>1481076</v>
      </c>
      <c r="H918">
        <v>360</v>
      </c>
      <c r="I918" s="1">
        <v>42487</v>
      </c>
      <c r="J918" t="s">
        <v>5</v>
      </c>
      <c r="K918">
        <f>COUNTIFS(GESTIONES!$A:$A, BASE_CUENTAS!$A918, GESTIONES!$B:$B, BASE_CUENTAS!$C918)</f>
        <v>3</v>
      </c>
      <c r="L918">
        <f>COUNTIFS(GESTIONES!$A:$A, BASE_CUENTAS!$A918,GESTIONES!$B:$B, BASE_CUENTAS!$C918,GESTIONES!$E:$E, "S")</f>
        <v>1</v>
      </c>
      <c r="M918">
        <f>COUNTIFS(GESTIONES!$A:$A, BASE_CUENTAS!$A918,GESTIONES!$B:$B, BASE_CUENTAS!$C918,GESTIONES!$E:$E, "N")</f>
        <v>2</v>
      </c>
      <c r="N918">
        <f>COUNTIFS(GESTIONES!$A:$A, BASE_CUENTAS!$A918,GESTIONES!$B:$B, BASE_CUENTAS!$C918,GESTIONES!$D:$D, "SMS")</f>
        <v>0</v>
      </c>
      <c r="O918">
        <f>SUMIFS(PAGOS!$D:$D,PAGOS!$A:$A, BASE_CUENTAS!$A918,PAGOS!$B:$B, BASE_CUENTAS!$C918)</f>
        <v>740538</v>
      </c>
      <c r="P918" t="str">
        <f>IF(
VLOOKUP($C918,BASE_CIERRE_MES!$C:$G,5,FALSE)=0,
"Normalización",
IF(
VLOOKUP($C918,BASE_CIERRE_MES!$C:$G,5,FALSE)&lt;$H918,
"Recuperación",
IF(
VLOOKUP($C918,BASE_CIERRE_MES!$C:$G,5,FALSE)=$H918,
"Contención",
"Rodamiento"
)))</f>
        <v>Recuperación</v>
      </c>
      <c r="Q918">
        <f t="shared" si="14"/>
        <v>0.49988085827940454</v>
      </c>
    </row>
    <row r="919" spans="1:17" x14ac:dyDescent="0.25">
      <c r="A919">
        <v>8555315</v>
      </c>
      <c r="B919" t="s">
        <v>17</v>
      </c>
      <c r="C919">
        <v>26673640</v>
      </c>
      <c r="D919" t="s">
        <v>7</v>
      </c>
      <c r="E919">
        <v>19765410</v>
      </c>
      <c r="F919" s="2">
        <v>10430877</v>
      </c>
      <c r="G919" s="2">
        <v>7806</v>
      </c>
      <c r="H919">
        <v>30</v>
      </c>
      <c r="I919" s="1">
        <v>42521</v>
      </c>
      <c r="J919" t="s">
        <v>4</v>
      </c>
      <c r="K919">
        <f>COUNTIFS(GESTIONES!$A:$A, BASE_CUENTAS!$A919, GESTIONES!$B:$B, BASE_CUENTAS!$C919)</f>
        <v>3</v>
      </c>
      <c r="L919">
        <f>COUNTIFS(GESTIONES!$A:$A, BASE_CUENTAS!$A919,GESTIONES!$B:$B, BASE_CUENTAS!$C919,GESTIONES!$E:$E, "S")</f>
        <v>1</v>
      </c>
      <c r="M919">
        <f>COUNTIFS(GESTIONES!$A:$A, BASE_CUENTAS!$A919,GESTIONES!$B:$B, BASE_CUENTAS!$C919,GESTIONES!$E:$E, "N")</f>
        <v>2</v>
      </c>
      <c r="N919">
        <f>COUNTIFS(GESTIONES!$A:$A, BASE_CUENTAS!$A919,GESTIONES!$B:$B, BASE_CUENTAS!$C919,GESTIONES!$D:$D, "SMS")</f>
        <v>1</v>
      </c>
      <c r="O919">
        <f>SUMIFS(PAGOS!$D:$D,PAGOS!$A:$A, BASE_CUENTAS!$A919,PAGOS!$B:$B, BASE_CUENTAS!$C919)</f>
        <v>0</v>
      </c>
      <c r="P919" t="str">
        <f>IF(
VLOOKUP($C919,BASE_CIERRE_MES!$C:$G,5,FALSE)=0,
"Normalización",
IF(
VLOOKUP($C919,BASE_CIERRE_MES!$C:$G,5,FALSE)&lt;$H919,
"Recuperación",
IF(
VLOOKUP($C919,BASE_CIERRE_MES!$C:$G,5,FALSE)=$H919,
"Contención",
"Rodamiento"
)))</f>
        <v>Rodamiento</v>
      </c>
      <c r="Q919">
        <f t="shared" si="14"/>
        <v>0</v>
      </c>
    </row>
    <row r="920" spans="1:17" x14ac:dyDescent="0.25">
      <c r="A920">
        <v>8555342</v>
      </c>
      <c r="B920" t="s">
        <v>18</v>
      </c>
      <c r="C920">
        <v>25416050</v>
      </c>
      <c r="D920" t="s">
        <v>7</v>
      </c>
      <c r="E920">
        <v>1054348</v>
      </c>
      <c r="F920" s="2">
        <v>1054348</v>
      </c>
      <c r="G920" s="2">
        <v>164685</v>
      </c>
      <c r="H920">
        <v>30</v>
      </c>
      <c r="I920" s="1">
        <v>42521</v>
      </c>
      <c r="J920" t="s">
        <v>4</v>
      </c>
      <c r="K920">
        <f>COUNTIFS(GESTIONES!$A:$A, BASE_CUENTAS!$A920, GESTIONES!$B:$B, BASE_CUENTAS!$C920)</f>
        <v>3</v>
      </c>
      <c r="L920">
        <f>COUNTIFS(GESTIONES!$A:$A, BASE_CUENTAS!$A920,GESTIONES!$B:$B, BASE_CUENTAS!$C920,GESTIONES!$E:$E, "S")</f>
        <v>0</v>
      </c>
      <c r="M920">
        <f>COUNTIFS(GESTIONES!$A:$A, BASE_CUENTAS!$A920,GESTIONES!$B:$B, BASE_CUENTAS!$C920,GESTIONES!$E:$E, "N")</f>
        <v>3</v>
      </c>
      <c r="N920">
        <f>COUNTIFS(GESTIONES!$A:$A, BASE_CUENTAS!$A920,GESTIONES!$B:$B, BASE_CUENTAS!$C920,GESTIONES!$D:$D, "SMS")</f>
        <v>1</v>
      </c>
      <c r="O920">
        <f>SUMIFS(PAGOS!$D:$D,PAGOS!$A:$A, BASE_CUENTAS!$A920,PAGOS!$B:$B, BASE_CUENTAS!$C920)</f>
        <v>0</v>
      </c>
      <c r="P920" t="str">
        <f>IF(
VLOOKUP($C920,BASE_CIERRE_MES!$C:$G,5,FALSE)=0,
"Normalización",
IF(
VLOOKUP($C920,BASE_CIERRE_MES!$C:$G,5,FALSE)&lt;$H920,
"Recuperación",
IF(
VLOOKUP($C920,BASE_CIERRE_MES!$C:$G,5,FALSE)=$H920,
"Contención",
"Rodamiento"
)))</f>
        <v>Rodamiento</v>
      </c>
      <c r="Q920">
        <f t="shared" si="14"/>
        <v>0</v>
      </c>
    </row>
    <row r="921" spans="1:17" x14ac:dyDescent="0.25">
      <c r="A921">
        <v>8555675</v>
      </c>
      <c r="B921" t="s">
        <v>17</v>
      </c>
      <c r="C921">
        <v>14868002</v>
      </c>
      <c r="D921" t="s">
        <v>7</v>
      </c>
      <c r="E921">
        <v>4582694</v>
      </c>
      <c r="F921" s="2">
        <v>2292174</v>
      </c>
      <c r="G921" s="2">
        <v>250661</v>
      </c>
      <c r="H921">
        <v>30</v>
      </c>
      <c r="I921" s="1">
        <v>42521</v>
      </c>
      <c r="J921" t="s">
        <v>4</v>
      </c>
      <c r="K921">
        <f>COUNTIFS(GESTIONES!$A:$A, BASE_CUENTAS!$A921, GESTIONES!$B:$B, BASE_CUENTAS!$C921)</f>
        <v>3</v>
      </c>
      <c r="L921">
        <f>COUNTIFS(GESTIONES!$A:$A, BASE_CUENTAS!$A921,GESTIONES!$B:$B, BASE_CUENTAS!$C921,GESTIONES!$E:$E, "S")</f>
        <v>1</v>
      </c>
      <c r="M921">
        <f>COUNTIFS(GESTIONES!$A:$A, BASE_CUENTAS!$A921,GESTIONES!$B:$B, BASE_CUENTAS!$C921,GESTIONES!$E:$E, "N")</f>
        <v>2</v>
      </c>
      <c r="N921">
        <f>COUNTIFS(GESTIONES!$A:$A, BASE_CUENTAS!$A921,GESTIONES!$B:$B, BASE_CUENTAS!$C921,GESTIONES!$D:$D, "SMS")</f>
        <v>1</v>
      </c>
      <c r="O921">
        <f>SUMIFS(PAGOS!$D:$D,PAGOS!$A:$A, BASE_CUENTAS!$A921,PAGOS!$B:$B, BASE_CUENTAS!$C921)</f>
        <v>83553</v>
      </c>
      <c r="P921" t="str">
        <f>IF(
VLOOKUP($C921,BASE_CIERRE_MES!$C:$G,5,FALSE)=0,
"Normalización",
IF(
VLOOKUP($C921,BASE_CIERRE_MES!$C:$G,5,FALSE)&lt;$H921,
"Recuperación",
IF(
VLOOKUP($C921,BASE_CIERRE_MES!$C:$G,5,FALSE)=$H921,
"Contención",
"Rodamiento"
)))</f>
        <v>Contención</v>
      </c>
      <c r="Q921">
        <f t="shared" si="14"/>
        <v>3.6451421227184325E-2</v>
      </c>
    </row>
    <row r="922" spans="1:17" x14ac:dyDescent="0.25">
      <c r="A922">
        <v>8555675</v>
      </c>
      <c r="B922" t="s">
        <v>17</v>
      </c>
      <c r="C922">
        <v>28583654</v>
      </c>
      <c r="D922" t="s">
        <v>7</v>
      </c>
      <c r="E922">
        <v>4582694</v>
      </c>
      <c r="F922" s="2">
        <v>2290520</v>
      </c>
      <c r="G922" s="2">
        <v>249006</v>
      </c>
      <c r="H922">
        <v>30</v>
      </c>
      <c r="I922" s="1">
        <v>42523</v>
      </c>
      <c r="J922" t="s">
        <v>4</v>
      </c>
      <c r="K922">
        <f>COUNTIFS(GESTIONES!$A:$A, BASE_CUENTAS!$A922, GESTIONES!$B:$B, BASE_CUENTAS!$C922)</f>
        <v>3</v>
      </c>
      <c r="L922">
        <f>COUNTIFS(GESTIONES!$A:$A, BASE_CUENTAS!$A922,GESTIONES!$B:$B, BASE_CUENTAS!$C922,GESTIONES!$E:$E, "S")</f>
        <v>1</v>
      </c>
      <c r="M922">
        <f>COUNTIFS(GESTIONES!$A:$A, BASE_CUENTAS!$A922,GESTIONES!$B:$B, BASE_CUENTAS!$C922,GESTIONES!$E:$E, "N")</f>
        <v>2</v>
      </c>
      <c r="N922">
        <f>COUNTIFS(GESTIONES!$A:$A, BASE_CUENTAS!$A922,GESTIONES!$B:$B, BASE_CUENTAS!$C922,GESTIONES!$D:$D, "SMS")</f>
        <v>1</v>
      </c>
      <c r="O922">
        <f>SUMIFS(PAGOS!$D:$D,PAGOS!$A:$A, BASE_CUENTAS!$A922,PAGOS!$B:$B, BASE_CUENTAS!$C922)</f>
        <v>0</v>
      </c>
      <c r="P922" t="str">
        <f>IF(
VLOOKUP($C922,BASE_CIERRE_MES!$C:$G,5,FALSE)=0,
"Normalización",
IF(
VLOOKUP($C922,BASE_CIERRE_MES!$C:$G,5,FALSE)&lt;$H922,
"Recuperación",
IF(
VLOOKUP($C922,BASE_CIERRE_MES!$C:$G,5,FALSE)=$H922,
"Contención",
"Rodamiento"
)))</f>
        <v>Rodamiento</v>
      </c>
      <c r="Q922">
        <f t="shared" si="14"/>
        <v>0</v>
      </c>
    </row>
    <row r="923" spans="1:17" x14ac:dyDescent="0.25">
      <c r="A923">
        <v>8555736</v>
      </c>
      <c r="B923" t="s">
        <v>18</v>
      </c>
      <c r="C923">
        <v>25460723</v>
      </c>
      <c r="D923" t="s">
        <v>7</v>
      </c>
      <c r="E923">
        <v>3903938</v>
      </c>
      <c r="F923" s="2">
        <v>1324346</v>
      </c>
      <c r="G923" s="2">
        <v>538022</v>
      </c>
      <c r="H923">
        <v>60</v>
      </c>
      <c r="I923" s="1">
        <v>42524</v>
      </c>
      <c r="J923" t="s">
        <v>6</v>
      </c>
      <c r="K923">
        <f>COUNTIFS(GESTIONES!$A:$A, BASE_CUENTAS!$A923, GESTIONES!$B:$B, BASE_CUENTAS!$C923)</f>
        <v>3</v>
      </c>
      <c r="L923">
        <f>COUNTIFS(GESTIONES!$A:$A, BASE_CUENTAS!$A923,GESTIONES!$B:$B, BASE_CUENTAS!$C923,GESTIONES!$E:$E, "S")</f>
        <v>1</v>
      </c>
      <c r="M923">
        <f>COUNTIFS(GESTIONES!$A:$A, BASE_CUENTAS!$A923,GESTIONES!$B:$B, BASE_CUENTAS!$C923,GESTIONES!$E:$E, "N")</f>
        <v>2</v>
      </c>
      <c r="N923">
        <f>COUNTIFS(GESTIONES!$A:$A, BASE_CUENTAS!$A923,GESTIONES!$B:$B, BASE_CUENTAS!$C923,GESTIONES!$D:$D, "SMS")</f>
        <v>0</v>
      </c>
      <c r="O923">
        <f>SUMIFS(PAGOS!$D:$D,PAGOS!$A:$A, BASE_CUENTAS!$A923,PAGOS!$B:$B, BASE_CUENTAS!$C923)</f>
        <v>0</v>
      </c>
      <c r="P923" t="str">
        <f>IF(
VLOOKUP($C923,BASE_CIERRE_MES!$C:$G,5,FALSE)=0,
"Normalización",
IF(
VLOOKUP($C923,BASE_CIERRE_MES!$C:$G,5,FALSE)&lt;$H923,
"Recuperación",
IF(
VLOOKUP($C923,BASE_CIERRE_MES!$C:$G,5,FALSE)=$H923,
"Contención",
"Rodamiento"
)))</f>
        <v>Rodamiento</v>
      </c>
      <c r="Q923">
        <f t="shared" si="14"/>
        <v>0</v>
      </c>
    </row>
    <row r="924" spans="1:17" x14ac:dyDescent="0.25">
      <c r="A924">
        <v>8555791</v>
      </c>
      <c r="B924" t="s">
        <v>18</v>
      </c>
      <c r="C924">
        <v>25874889</v>
      </c>
      <c r="D924" t="s">
        <v>7</v>
      </c>
      <c r="E924">
        <v>3270392</v>
      </c>
      <c r="F924" s="2">
        <v>1857085</v>
      </c>
      <c r="G924" s="2">
        <v>290917</v>
      </c>
      <c r="H924">
        <v>90</v>
      </c>
      <c r="I924" s="1">
        <v>42508</v>
      </c>
      <c r="J924" t="s">
        <v>6</v>
      </c>
      <c r="K924">
        <f>COUNTIFS(GESTIONES!$A:$A, BASE_CUENTAS!$A924, GESTIONES!$B:$B, BASE_CUENTAS!$C924)</f>
        <v>3</v>
      </c>
      <c r="L924">
        <f>COUNTIFS(GESTIONES!$A:$A, BASE_CUENTAS!$A924,GESTIONES!$B:$B, BASE_CUENTAS!$C924,GESTIONES!$E:$E, "S")</f>
        <v>1</v>
      </c>
      <c r="M924">
        <f>COUNTIFS(GESTIONES!$A:$A, BASE_CUENTAS!$A924,GESTIONES!$B:$B, BASE_CUENTAS!$C924,GESTIONES!$E:$E, "N")</f>
        <v>2</v>
      </c>
      <c r="N924">
        <f>COUNTIFS(GESTIONES!$A:$A, BASE_CUENTAS!$A924,GESTIONES!$B:$B, BASE_CUENTAS!$C924,GESTIONES!$D:$D, "SMS")</f>
        <v>1</v>
      </c>
      <c r="O924">
        <f>SUMIFS(PAGOS!$D:$D,PAGOS!$A:$A, BASE_CUENTAS!$A924,PAGOS!$B:$B, BASE_CUENTAS!$C924)</f>
        <v>145458</v>
      </c>
      <c r="P924" t="str">
        <f>IF(
VLOOKUP($C924,BASE_CIERRE_MES!$C:$G,5,FALSE)=0,
"Normalización",
IF(
VLOOKUP($C924,BASE_CIERRE_MES!$C:$G,5,FALSE)&lt;$H924,
"Recuperación",
IF(
VLOOKUP($C924,BASE_CIERRE_MES!$C:$G,5,FALSE)=$H924,
"Contención",
"Rodamiento"
)))</f>
        <v>Recuperación</v>
      </c>
      <c r="Q924">
        <f t="shared" si="14"/>
        <v>7.8325978617026143E-2</v>
      </c>
    </row>
    <row r="925" spans="1:17" x14ac:dyDescent="0.25">
      <c r="A925">
        <v>8555825</v>
      </c>
      <c r="B925" t="s">
        <v>18</v>
      </c>
      <c r="C925">
        <v>23416027</v>
      </c>
      <c r="D925" t="s">
        <v>7</v>
      </c>
      <c r="E925">
        <v>190146</v>
      </c>
      <c r="F925" s="2">
        <v>190146</v>
      </c>
      <c r="G925" s="2">
        <v>8041</v>
      </c>
      <c r="H925">
        <v>30</v>
      </c>
      <c r="I925" s="1">
        <v>42508</v>
      </c>
      <c r="J925" t="s">
        <v>6</v>
      </c>
      <c r="K925">
        <f>COUNTIFS(GESTIONES!$A:$A, BASE_CUENTAS!$A925, GESTIONES!$B:$B, BASE_CUENTAS!$C925)</f>
        <v>3</v>
      </c>
      <c r="L925">
        <f>COUNTIFS(GESTIONES!$A:$A, BASE_CUENTAS!$A925,GESTIONES!$B:$B, BASE_CUENTAS!$C925,GESTIONES!$E:$E, "S")</f>
        <v>0</v>
      </c>
      <c r="M925">
        <f>COUNTIFS(GESTIONES!$A:$A, BASE_CUENTAS!$A925,GESTIONES!$B:$B, BASE_CUENTAS!$C925,GESTIONES!$E:$E, "N")</f>
        <v>3</v>
      </c>
      <c r="N925">
        <f>COUNTIFS(GESTIONES!$A:$A, BASE_CUENTAS!$A925,GESTIONES!$B:$B, BASE_CUENTAS!$C925,GESTIONES!$D:$D, "SMS")</f>
        <v>1</v>
      </c>
      <c r="O925">
        <f>SUMIFS(PAGOS!$D:$D,PAGOS!$A:$A, BASE_CUENTAS!$A925,PAGOS!$B:$B, BASE_CUENTAS!$C925)</f>
        <v>8041</v>
      </c>
      <c r="P925" t="str">
        <f>IF(
VLOOKUP($C925,BASE_CIERRE_MES!$C:$G,5,FALSE)=0,
"Normalización",
IF(
VLOOKUP($C925,BASE_CIERRE_MES!$C:$G,5,FALSE)&lt;$H925,
"Recuperación",
IF(
VLOOKUP($C925,BASE_CIERRE_MES!$C:$G,5,FALSE)=$H925,
"Contención",
"Rodamiento"
)))</f>
        <v>Normalización</v>
      </c>
      <c r="Q925">
        <f t="shared" si="14"/>
        <v>4.228855721393035E-2</v>
      </c>
    </row>
    <row r="926" spans="1:17" x14ac:dyDescent="0.25">
      <c r="A926">
        <v>8555868</v>
      </c>
      <c r="B926" t="s">
        <v>18</v>
      </c>
      <c r="C926">
        <v>10788626</v>
      </c>
      <c r="D926" t="s">
        <v>7</v>
      </c>
      <c r="E926">
        <v>561005</v>
      </c>
      <c r="F926" s="2">
        <v>561005</v>
      </c>
      <c r="G926" s="2">
        <v>7806</v>
      </c>
      <c r="H926">
        <v>30</v>
      </c>
      <c r="I926" s="1">
        <v>42521</v>
      </c>
      <c r="J926" t="s">
        <v>4</v>
      </c>
      <c r="K926">
        <f>COUNTIFS(GESTIONES!$A:$A, BASE_CUENTAS!$A926, GESTIONES!$B:$B, BASE_CUENTAS!$C926)</f>
        <v>3</v>
      </c>
      <c r="L926">
        <f>COUNTIFS(GESTIONES!$A:$A, BASE_CUENTAS!$A926,GESTIONES!$B:$B, BASE_CUENTAS!$C926,GESTIONES!$E:$E, "S")</f>
        <v>1</v>
      </c>
      <c r="M926">
        <f>COUNTIFS(GESTIONES!$A:$A, BASE_CUENTAS!$A926,GESTIONES!$B:$B, BASE_CUENTAS!$C926,GESTIONES!$E:$E, "N")</f>
        <v>2</v>
      </c>
      <c r="N926">
        <f>COUNTIFS(GESTIONES!$A:$A, BASE_CUENTAS!$A926,GESTIONES!$B:$B, BASE_CUENTAS!$C926,GESTIONES!$D:$D, "SMS")</f>
        <v>1</v>
      </c>
      <c r="O926">
        <f>SUMIFS(PAGOS!$D:$D,PAGOS!$A:$A, BASE_CUENTAS!$A926,PAGOS!$B:$B, BASE_CUENTAS!$C926)</f>
        <v>7806</v>
      </c>
      <c r="P926" t="str">
        <f>IF(
VLOOKUP($C926,BASE_CIERRE_MES!$C:$G,5,FALSE)=0,
"Normalización",
IF(
VLOOKUP($C926,BASE_CIERRE_MES!$C:$G,5,FALSE)&lt;$H926,
"Recuperación",
IF(
VLOOKUP($C926,BASE_CIERRE_MES!$C:$G,5,FALSE)=$H926,
"Contención",
"Rodamiento"
)))</f>
        <v>Normalización</v>
      </c>
      <c r="Q926">
        <f t="shared" si="14"/>
        <v>1.3914314489175676E-2</v>
      </c>
    </row>
    <row r="927" spans="1:17" x14ac:dyDescent="0.25">
      <c r="A927">
        <v>8556030</v>
      </c>
      <c r="B927" t="s">
        <v>16</v>
      </c>
      <c r="C927">
        <v>19681511</v>
      </c>
      <c r="D927" t="s">
        <v>9</v>
      </c>
      <c r="E927">
        <v>24438272</v>
      </c>
      <c r="F927" s="2">
        <v>9974138</v>
      </c>
      <c r="G927" s="2">
        <v>2287209</v>
      </c>
      <c r="H927">
        <v>77</v>
      </c>
      <c r="I927" s="1">
        <v>42511</v>
      </c>
      <c r="J927" t="s">
        <v>6</v>
      </c>
      <c r="K927">
        <f>COUNTIFS(GESTIONES!$A:$A, BASE_CUENTAS!$A927, GESTIONES!$B:$B, BASE_CUENTAS!$C927)</f>
        <v>3</v>
      </c>
      <c r="L927">
        <f>COUNTIFS(GESTIONES!$A:$A, BASE_CUENTAS!$A927,GESTIONES!$B:$B, BASE_CUENTAS!$C927,GESTIONES!$E:$E, "S")</f>
        <v>1</v>
      </c>
      <c r="M927">
        <f>COUNTIFS(GESTIONES!$A:$A, BASE_CUENTAS!$A927,GESTIONES!$B:$B, BASE_CUENTAS!$C927,GESTIONES!$E:$E, "N")</f>
        <v>2</v>
      </c>
      <c r="N927">
        <f>COUNTIFS(GESTIONES!$A:$A, BASE_CUENTAS!$A927,GESTIONES!$B:$B, BASE_CUENTAS!$C927,GESTIONES!$D:$D, "SMS")</f>
        <v>1</v>
      </c>
      <c r="O927">
        <f>SUMIFS(PAGOS!$D:$D,PAGOS!$A:$A, BASE_CUENTAS!$A927,PAGOS!$B:$B, BASE_CUENTAS!$C927)</f>
        <v>0</v>
      </c>
      <c r="P927" t="str">
        <f>IF(
VLOOKUP($C927,BASE_CIERRE_MES!$C:$G,5,FALSE)=0,
"Normalización",
IF(
VLOOKUP($C927,BASE_CIERRE_MES!$C:$G,5,FALSE)&lt;$H927,
"Recuperación",
IF(
VLOOKUP($C927,BASE_CIERRE_MES!$C:$G,5,FALSE)=$H927,
"Contención",
"Rodamiento"
)))</f>
        <v>Rodamiento</v>
      </c>
      <c r="Q927">
        <f t="shared" si="14"/>
        <v>0</v>
      </c>
    </row>
    <row r="928" spans="1:17" x14ac:dyDescent="0.25">
      <c r="A928">
        <v>8556030</v>
      </c>
      <c r="B928" t="s">
        <v>16</v>
      </c>
      <c r="C928">
        <v>24292654</v>
      </c>
      <c r="D928" t="s">
        <v>7</v>
      </c>
      <c r="E928">
        <v>24438272</v>
      </c>
      <c r="F928" s="2">
        <v>7600362</v>
      </c>
      <c r="G928" s="2">
        <v>1646381</v>
      </c>
      <c r="H928">
        <v>60</v>
      </c>
      <c r="I928" s="1">
        <v>42511</v>
      </c>
      <c r="J928" t="s">
        <v>6</v>
      </c>
      <c r="K928">
        <f>COUNTIFS(GESTIONES!$A:$A, BASE_CUENTAS!$A928, GESTIONES!$B:$B, BASE_CUENTAS!$C928)</f>
        <v>3</v>
      </c>
      <c r="L928">
        <f>COUNTIFS(GESTIONES!$A:$A, BASE_CUENTAS!$A928,GESTIONES!$B:$B, BASE_CUENTAS!$C928,GESTIONES!$E:$E, "S")</f>
        <v>1</v>
      </c>
      <c r="M928">
        <f>COUNTIFS(GESTIONES!$A:$A, BASE_CUENTAS!$A928,GESTIONES!$B:$B, BASE_CUENTAS!$C928,GESTIONES!$E:$E, "N")</f>
        <v>2</v>
      </c>
      <c r="N928">
        <f>COUNTIFS(GESTIONES!$A:$A, BASE_CUENTAS!$A928,GESTIONES!$B:$B, BASE_CUENTAS!$C928,GESTIONES!$D:$D, "SMS")</f>
        <v>0</v>
      </c>
      <c r="O928">
        <f>SUMIFS(PAGOS!$D:$D,PAGOS!$A:$A, BASE_CUENTAS!$A928,PAGOS!$B:$B, BASE_CUENTAS!$C928)</f>
        <v>823190</v>
      </c>
      <c r="P928" t="str">
        <f>IF(
VLOOKUP($C928,BASE_CIERRE_MES!$C:$G,5,FALSE)=0,
"Normalización",
IF(
VLOOKUP($C928,BASE_CIERRE_MES!$C:$G,5,FALSE)&lt;$H928,
"Recuperación",
IF(
VLOOKUP($C928,BASE_CIERRE_MES!$C:$G,5,FALSE)=$H928,
"Contención",
"Rodamiento"
)))</f>
        <v>Recuperación</v>
      </c>
      <c r="Q928">
        <f t="shared" si="14"/>
        <v>0.10830931474053472</v>
      </c>
    </row>
    <row r="929" spans="1:17" x14ac:dyDescent="0.25">
      <c r="A929">
        <v>8556030</v>
      </c>
      <c r="B929" t="s">
        <v>16</v>
      </c>
      <c r="C929">
        <v>26488898</v>
      </c>
      <c r="D929" t="s">
        <v>9</v>
      </c>
      <c r="E929">
        <v>24438272</v>
      </c>
      <c r="F929" s="2">
        <v>6863771</v>
      </c>
      <c r="G929" s="2">
        <v>578837</v>
      </c>
      <c r="H929">
        <v>16</v>
      </c>
      <c r="I929" s="1">
        <v>42514</v>
      </c>
      <c r="J929" t="s">
        <v>6</v>
      </c>
      <c r="K929">
        <f>COUNTIFS(GESTIONES!$A:$A, BASE_CUENTAS!$A929, GESTIONES!$B:$B, BASE_CUENTAS!$C929)</f>
        <v>3</v>
      </c>
      <c r="L929">
        <f>COUNTIFS(GESTIONES!$A:$A, BASE_CUENTAS!$A929,GESTIONES!$B:$B, BASE_CUENTAS!$C929,GESTIONES!$E:$E, "S")</f>
        <v>2</v>
      </c>
      <c r="M929">
        <f>COUNTIFS(GESTIONES!$A:$A, BASE_CUENTAS!$A929,GESTIONES!$B:$B, BASE_CUENTAS!$C929,GESTIONES!$E:$E, "N")</f>
        <v>1</v>
      </c>
      <c r="N929">
        <f>COUNTIFS(GESTIONES!$A:$A, BASE_CUENTAS!$A929,GESTIONES!$B:$B, BASE_CUENTAS!$C929,GESTIONES!$D:$D, "SMS")</f>
        <v>1</v>
      </c>
      <c r="O929">
        <f>SUMIFS(PAGOS!$D:$D,PAGOS!$A:$A, BASE_CUENTAS!$A929,PAGOS!$B:$B, BASE_CUENTAS!$C929)</f>
        <v>0</v>
      </c>
      <c r="P929" t="str">
        <f>IF(
VLOOKUP($C929,BASE_CIERRE_MES!$C:$G,5,FALSE)=0,
"Normalización",
IF(
VLOOKUP($C929,BASE_CIERRE_MES!$C:$G,5,FALSE)&lt;$H929,
"Recuperación",
IF(
VLOOKUP($C929,BASE_CIERRE_MES!$C:$G,5,FALSE)=$H929,
"Contención",
"Rodamiento"
)))</f>
        <v>Rodamiento</v>
      </c>
      <c r="Q929">
        <f t="shared" si="14"/>
        <v>0</v>
      </c>
    </row>
    <row r="930" spans="1:17" x14ac:dyDescent="0.25">
      <c r="A930">
        <v>8556391</v>
      </c>
      <c r="B930" t="s">
        <v>17</v>
      </c>
      <c r="C930">
        <v>23249256</v>
      </c>
      <c r="D930" t="s">
        <v>7</v>
      </c>
      <c r="E930">
        <v>3742981</v>
      </c>
      <c r="F930" s="2">
        <v>1900905</v>
      </c>
      <c r="G930" s="2">
        <v>610552</v>
      </c>
      <c r="H930">
        <v>60</v>
      </c>
      <c r="I930" s="1">
        <v>42491</v>
      </c>
      <c r="J930" t="s">
        <v>6</v>
      </c>
      <c r="K930">
        <f>COUNTIFS(GESTIONES!$A:$A, BASE_CUENTAS!$A930, GESTIONES!$B:$B, BASE_CUENTAS!$C930)</f>
        <v>3</v>
      </c>
      <c r="L930">
        <f>COUNTIFS(GESTIONES!$A:$A, BASE_CUENTAS!$A930,GESTIONES!$B:$B, BASE_CUENTAS!$C930,GESTIONES!$E:$E, "S")</f>
        <v>1</v>
      </c>
      <c r="M930">
        <f>COUNTIFS(GESTIONES!$A:$A, BASE_CUENTAS!$A930,GESTIONES!$B:$B, BASE_CUENTAS!$C930,GESTIONES!$E:$E, "N")</f>
        <v>2</v>
      </c>
      <c r="N930">
        <f>COUNTIFS(GESTIONES!$A:$A, BASE_CUENTAS!$A930,GESTIONES!$B:$B, BASE_CUENTAS!$C930,GESTIONES!$D:$D, "SMS")</f>
        <v>0</v>
      </c>
      <c r="O930">
        <f>SUMIFS(PAGOS!$D:$D,PAGOS!$A:$A, BASE_CUENTAS!$A930,PAGOS!$B:$B, BASE_CUENTAS!$C930)</f>
        <v>0</v>
      </c>
      <c r="P930" t="str">
        <f>IF(
VLOOKUP($C930,BASE_CIERRE_MES!$C:$G,5,FALSE)=0,
"Normalización",
IF(
VLOOKUP($C930,BASE_CIERRE_MES!$C:$G,5,FALSE)&lt;$H930,
"Recuperación",
IF(
VLOOKUP($C930,BASE_CIERRE_MES!$C:$G,5,FALSE)=$H930,
"Contención",
"Rodamiento"
)))</f>
        <v>Rodamiento</v>
      </c>
      <c r="Q930">
        <f t="shared" si="14"/>
        <v>0</v>
      </c>
    </row>
    <row r="931" spans="1:17" x14ac:dyDescent="0.25">
      <c r="A931">
        <v>8556391</v>
      </c>
      <c r="B931" t="s">
        <v>17</v>
      </c>
      <c r="C931">
        <v>28582736</v>
      </c>
      <c r="D931" t="s">
        <v>7</v>
      </c>
      <c r="E931">
        <v>3742981</v>
      </c>
      <c r="F931" s="2">
        <v>1842076</v>
      </c>
      <c r="G931" s="2">
        <v>259560</v>
      </c>
      <c r="H931">
        <v>30</v>
      </c>
      <c r="I931" s="1">
        <v>42523</v>
      </c>
      <c r="J931" t="s">
        <v>6</v>
      </c>
      <c r="K931">
        <f>COUNTIFS(GESTIONES!$A:$A, BASE_CUENTAS!$A931, GESTIONES!$B:$B, BASE_CUENTAS!$C931)</f>
        <v>3</v>
      </c>
      <c r="L931">
        <f>COUNTIFS(GESTIONES!$A:$A, BASE_CUENTAS!$A931,GESTIONES!$B:$B, BASE_CUENTAS!$C931,GESTIONES!$E:$E, "S")</f>
        <v>0</v>
      </c>
      <c r="M931">
        <f>COUNTIFS(GESTIONES!$A:$A, BASE_CUENTAS!$A931,GESTIONES!$B:$B, BASE_CUENTAS!$C931,GESTIONES!$E:$E, "N")</f>
        <v>3</v>
      </c>
      <c r="N931">
        <f>COUNTIFS(GESTIONES!$A:$A, BASE_CUENTAS!$A931,GESTIONES!$B:$B, BASE_CUENTAS!$C931,GESTIONES!$D:$D, "SMS")</f>
        <v>1</v>
      </c>
      <c r="O931">
        <f>SUMIFS(PAGOS!$D:$D,PAGOS!$A:$A, BASE_CUENTAS!$A931,PAGOS!$B:$B, BASE_CUENTAS!$C931)</f>
        <v>259560</v>
      </c>
      <c r="P931" t="str">
        <f>IF(
VLOOKUP($C931,BASE_CIERRE_MES!$C:$G,5,FALSE)=0,
"Normalización",
IF(
VLOOKUP($C931,BASE_CIERRE_MES!$C:$G,5,FALSE)&lt;$H931,
"Recuperación",
IF(
VLOOKUP($C931,BASE_CIERRE_MES!$C:$G,5,FALSE)=$H931,
"Contención",
"Rodamiento"
)))</f>
        <v>Normalización</v>
      </c>
      <c r="Q931">
        <f t="shared" si="14"/>
        <v>0.14090623839624425</v>
      </c>
    </row>
    <row r="932" spans="1:17" x14ac:dyDescent="0.25">
      <c r="A932">
        <v>8556426</v>
      </c>
      <c r="B932" t="s">
        <v>18</v>
      </c>
      <c r="C932">
        <v>1709105</v>
      </c>
      <c r="D932" t="s">
        <v>7</v>
      </c>
      <c r="E932">
        <v>2634634</v>
      </c>
      <c r="F932" s="2">
        <v>2634634</v>
      </c>
      <c r="G932" s="2">
        <v>33527</v>
      </c>
      <c r="H932">
        <v>30</v>
      </c>
      <c r="I932" s="1">
        <v>42521</v>
      </c>
      <c r="J932" t="s">
        <v>5</v>
      </c>
      <c r="K932">
        <f>COUNTIFS(GESTIONES!$A:$A, BASE_CUENTAS!$A932, GESTIONES!$B:$B, BASE_CUENTAS!$C932)</f>
        <v>3</v>
      </c>
      <c r="L932">
        <f>COUNTIFS(GESTIONES!$A:$A, BASE_CUENTAS!$A932,GESTIONES!$B:$B, BASE_CUENTAS!$C932,GESTIONES!$E:$E, "S")</f>
        <v>1</v>
      </c>
      <c r="M932">
        <f>COUNTIFS(GESTIONES!$A:$A, BASE_CUENTAS!$A932,GESTIONES!$B:$B, BASE_CUENTAS!$C932,GESTIONES!$E:$E, "N")</f>
        <v>2</v>
      </c>
      <c r="N932">
        <f>COUNTIFS(GESTIONES!$A:$A, BASE_CUENTAS!$A932,GESTIONES!$B:$B, BASE_CUENTAS!$C932,GESTIONES!$D:$D, "SMS")</f>
        <v>2</v>
      </c>
      <c r="O932">
        <f>SUMIFS(PAGOS!$D:$D,PAGOS!$A:$A, BASE_CUENTAS!$A932,PAGOS!$B:$B, BASE_CUENTAS!$C932)</f>
        <v>0</v>
      </c>
      <c r="P932" t="str">
        <f>IF(
VLOOKUP($C932,BASE_CIERRE_MES!$C:$G,5,FALSE)=0,
"Normalización",
IF(
VLOOKUP($C932,BASE_CIERRE_MES!$C:$G,5,FALSE)&lt;$H932,
"Recuperación",
IF(
VLOOKUP($C932,BASE_CIERRE_MES!$C:$G,5,FALSE)=$H932,
"Contención",
"Rodamiento"
)))</f>
        <v>Rodamiento</v>
      </c>
      <c r="Q932">
        <f t="shared" si="14"/>
        <v>0</v>
      </c>
    </row>
    <row r="933" spans="1:17" x14ac:dyDescent="0.25">
      <c r="A933">
        <v>8556428</v>
      </c>
      <c r="B933" t="s">
        <v>18</v>
      </c>
      <c r="C933">
        <v>2953804</v>
      </c>
      <c r="D933" t="s">
        <v>7</v>
      </c>
      <c r="E933">
        <v>669576</v>
      </c>
      <c r="F933" s="2">
        <v>669576</v>
      </c>
      <c r="G933" s="2">
        <v>110091</v>
      </c>
      <c r="H933">
        <v>30</v>
      </c>
      <c r="I933" s="1">
        <v>42508</v>
      </c>
      <c r="J933" t="s">
        <v>6</v>
      </c>
      <c r="K933">
        <f>COUNTIFS(GESTIONES!$A:$A, BASE_CUENTAS!$A933, GESTIONES!$B:$B, BASE_CUENTAS!$C933)</f>
        <v>3</v>
      </c>
      <c r="L933">
        <f>COUNTIFS(GESTIONES!$A:$A, BASE_CUENTAS!$A933,GESTIONES!$B:$B, BASE_CUENTAS!$C933,GESTIONES!$E:$E, "S")</f>
        <v>1</v>
      </c>
      <c r="M933">
        <f>COUNTIFS(GESTIONES!$A:$A, BASE_CUENTAS!$A933,GESTIONES!$B:$B, BASE_CUENTAS!$C933,GESTIONES!$E:$E, "N")</f>
        <v>2</v>
      </c>
      <c r="N933">
        <f>COUNTIFS(GESTIONES!$A:$A, BASE_CUENTAS!$A933,GESTIONES!$B:$B, BASE_CUENTAS!$C933,GESTIONES!$D:$D, "SMS")</f>
        <v>0</v>
      </c>
      <c r="O933">
        <f>SUMIFS(PAGOS!$D:$D,PAGOS!$A:$A, BASE_CUENTAS!$A933,PAGOS!$B:$B, BASE_CUENTAS!$C933)</f>
        <v>0</v>
      </c>
      <c r="P933" t="str">
        <f>IF(
VLOOKUP($C933,BASE_CIERRE_MES!$C:$G,5,FALSE)=0,
"Normalización",
IF(
VLOOKUP($C933,BASE_CIERRE_MES!$C:$G,5,FALSE)&lt;$H933,
"Recuperación",
IF(
VLOOKUP($C933,BASE_CIERRE_MES!$C:$G,5,FALSE)=$H933,
"Contención",
"Rodamiento"
)))</f>
        <v>Rodamiento</v>
      </c>
      <c r="Q933">
        <f t="shared" si="14"/>
        <v>0</v>
      </c>
    </row>
    <row r="934" spans="1:17" x14ac:dyDescent="0.25">
      <c r="A934">
        <v>8556457</v>
      </c>
      <c r="B934" t="s">
        <v>17</v>
      </c>
      <c r="C934">
        <v>27019597</v>
      </c>
      <c r="D934" t="s">
        <v>7</v>
      </c>
      <c r="E934">
        <v>5140997</v>
      </c>
      <c r="F934" s="2">
        <v>2623329</v>
      </c>
      <c r="G934" s="2">
        <v>397173</v>
      </c>
      <c r="H934">
        <v>30</v>
      </c>
      <c r="I934" s="1">
        <v>42508</v>
      </c>
      <c r="J934" t="s">
        <v>6</v>
      </c>
      <c r="K934">
        <f>COUNTIFS(GESTIONES!$A:$A, BASE_CUENTAS!$A934, GESTIONES!$B:$B, BASE_CUENTAS!$C934)</f>
        <v>3</v>
      </c>
      <c r="L934">
        <f>COUNTIFS(GESTIONES!$A:$A, BASE_CUENTAS!$A934,GESTIONES!$B:$B, BASE_CUENTAS!$C934,GESTIONES!$E:$E, "S")</f>
        <v>1</v>
      </c>
      <c r="M934">
        <f>COUNTIFS(GESTIONES!$A:$A, BASE_CUENTAS!$A934,GESTIONES!$B:$B, BASE_CUENTAS!$C934,GESTIONES!$E:$E, "N")</f>
        <v>2</v>
      </c>
      <c r="N934">
        <f>COUNTIFS(GESTIONES!$A:$A, BASE_CUENTAS!$A934,GESTIONES!$B:$B, BASE_CUENTAS!$C934,GESTIONES!$D:$D, "SMS")</f>
        <v>1</v>
      </c>
      <c r="O934">
        <f>SUMIFS(PAGOS!$D:$D,PAGOS!$A:$A, BASE_CUENTAS!$A934,PAGOS!$B:$B, BASE_CUENTAS!$C934)</f>
        <v>0</v>
      </c>
      <c r="P934" t="str">
        <f>IF(
VLOOKUP($C934,BASE_CIERRE_MES!$C:$G,5,FALSE)=0,
"Normalización",
IF(
VLOOKUP($C934,BASE_CIERRE_MES!$C:$G,5,FALSE)&lt;$H934,
"Recuperación",
IF(
VLOOKUP($C934,BASE_CIERRE_MES!$C:$G,5,FALSE)=$H934,
"Contención",
"Rodamiento"
)))</f>
        <v>Rodamiento</v>
      </c>
      <c r="Q934">
        <f t="shared" si="14"/>
        <v>0</v>
      </c>
    </row>
    <row r="935" spans="1:17" x14ac:dyDescent="0.25">
      <c r="A935">
        <v>8556457</v>
      </c>
      <c r="B935" t="s">
        <v>17</v>
      </c>
      <c r="C935">
        <v>27021386</v>
      </c>
      <c r="D935" t="s">
        <v>7</v>
      </c>
      <c r="E935">
        <v>5140997</v>
      </c>
      <c r="F935" s="2">
        <v>2517668</v>
      </c>
      <c r="G935" s="2">
        <v>156498</v>
      </c>
      <c r="H935">
        <v>30</v>
      </c>
      <c r="I935" s="1">
        <v>42509</v>
      </c>
      <c r="J935" t="s">
        <v>6</v>
      </c>
      <c r="K935">
        <f>COUNTIFS(GESTIONES!$A:$A, BASE_CUENTAS!$A935, GESTIONES!$B:$B, BASE_CUENTAS!$C935)</f>
        <v>3</v>
      </c>
      <c r="L935">
        <f>COUNTIFS(GESTIONES!$A:$A, BASE_CUENTAS!$A935,GESTIONES!$B:$B, BASE_CUENTAS!$C935,GESTIONES!$E:$E, "S")</f>
        <v>1</v>
      </c>
      <c r="M935">
        <f>COUNTIFS(GESTIONES!$A:$A, BASE_CUENTAS!$A935,GESTIONES!$B:$B, BASE_CUENTAS!$C935,GESTIONES!$E:$E, "N")</f>
        <v>2</v>
      </c>
      <c r="N935">
        <f>COUNTIFS(GESTIONES!$A:$A, BASE_CUENTAS!$A935,GESTIONES!$B:$B, BASE_CUENTAS!$C935,GESTIONES!$D:$D, "SMS")</f>
        <v>0</v>
      </c>
      <c r="O935">
        <f>SUMIFS(PAGOS!$D:$D,PAGOS!$A:$A, BASE_CUENTAS!$A935,PAGOS!$B:$B, BASE_CUENTAS!$C935)</f>
        <v>78249</v>
      </c>
      <c r="P935" t="str">
        <f>IF(
VLOOKUP($C935,BASE_CIERRE_MES!$C:$G,5,FALSE)=0,
"Normalización",
IF(
VLOOKUP($C935,BASE_CIERRE_MES!$C:$G,5,FALSE)&lt;$H935,
"Recuperación",
IF(
VLOOKUP($C935,BASE_CIERRE_MES!$C:$G,5,FALSE)=$H935,
"Contención",
"Rodamiento"
)))</f>
        <v>Recuperación</v>
      </c>
      <c r="Q935">
        <f t="shared" si="14"/>
        <v>3.107995176488719E-2</v>
      </c>
    </row>
    <row r="936" spans="1:17" x14ac:dyDescent="0.25">
      <c r="A936">
        <v>8556636</v>
      </c>
      <c r="B936" t="s">
        <v>18</v>
      </c>
      <c r="C936">
        <v>20095662</v>
      </c>
      <c r="D936" t="s">
        <v>7</v>
      </c>
      <c r="E936">
        <v>2190923</v>
      </c>
      <c r="F936" s="2">
        <v>2120110</v>
      </c>
      <c r="G936" s="2">
        <v>163849</v>
      </c>
      <c r="H936">
        <v>30</v>
      </c>
      <c r="I936" s="1">
        <v>42521</v>
      </c>
      <c r="J936" t="s">
        <v>4</v>
      </c>
      <c r="K936">
        <f>COUNTIFS(GESTIONES!$A:$A, BASE_CUENTAS!$A936, GESTIONES!$B:$B, BASE_CUENTAS!$C936)</f>
        <v>3</v>
      </c>
      <c r="L936">
        <f>COUNTIFS(GESTIONES!$A:$A, BASE_CUENTAS!$A936,GESTIONES!$B:$B, BASE_CUENTAS!$C936,GESTIONES!$E:$E, "S")</f>
        <v>0</v>
      </c>
      <c r="M936">
        <f>COUNTIFS(GESTIONES!$A:$A, BASE_CUENTAS!$A936,GESTIONES!$B:$B, BASE_CUENTAS!$C936,GESTIONES!$E:$E, "N")</f>
        <v>3</v>
      </c>
      <c r="N936">
        <f>COUNTIFS(GESTIONES!$A:$A, BASE_CUENTAS!$A936,GESTIONES!$B:$B, BASE_CUENTAS!$C936,GESTIONES!$D:$D, "SMS")</f>
        <v>1</v>
      </c>
      <c r="O936">
        <f>SUMIFS(PAGOS!$D:$D,PAGOS!$A:$A, BASE_CUENTAS!$A936,PAGOS!$B:$B, BASE_CUENTAS!$C936)</f>
        <v>0</v>
      </c>
      <c r="P936" t="str">
        <f>IF(
VLOOKUP($C936,BASE_CIERRE_MES!$C:$G,5,FALSE)=0,
"Normalización",
IF(
VLOOKUP($C936,BASE_CIERRE_MES!$C:$G,5,FALSE)&lt;$H936,
"Recuperación",
IF(
VLOOKUP($C936,BASE_CIERRE_MES!$C:$G,5,FALSE)=$H936,
"Contención",
"Rodamiento"
)))</f>
        <v>Rodamiento</v>
      </c>
      <c r="Q936">
        <f t="shared" si="14"/>
        <v>0</v>
      </c>
    </row>
    <row r="937" spans="1:17" x14ac:dyDescent="0.25">
      <c r="A937">
        <v>8556668</v>
      </c>
      <c r="B937" t="s">
        <v>18</v>
      </c>
      <c r="C937">
        <v>23262163</v>
      </c>
      <c r="D937" t="s">
        <v>7</v>
      </c>
      <c r="E937">
        <v>484484</v>
      </c>
      <c r="F937" s="2">
        <v>484484</v>
      </c>
      <c r="G937" s="2">
        <v>78256</v>
      </c>
      <c r="H937">
        <v>30</v>
      </c>
      <c r="I937" s="1">
        <v>42521</v>
      </c>
      <c r="J937" t="s">
        <v>4</v>
      </c>
      <c r="K937">
        <f>COUNTIFS(GESTIONES!$A:$A, BASE_CUENTAS!$A937, GESTIONES!$B:$B, BASE_CUENTAS!$C937)</f>
        <v>3</v>
      </c>
      <c r="L937">
        <f>COUNTIFS(GESTIONES!$A:$A, BASE_CUENTAS!$A937,GESTIONES!$B:$B, BASE_CUENTAS!$C937,GESTIONES!$E:$E, "S")</f>
        <v>1</v>
      </c>
      <c r="M937">
        <f>COUNTIFS(GESTIONES!$A:$A, BASE_CUENTAS!$A937,GESTIONES!$B:$B, BASE_CUENTAS!$C937,GESTIONES!$E:$E, "N")</f>
        <v>2</v>
      </c>
      <c r="N937">
        <f>COUNTIFS(GESTIONES!$A:$A, BASE_CUENTAS!$A937,GESTIONES!$B:$B, BASE_CUENTAS!$C937,GESTIONES!$D:$D, "SMS")</f>
        <v>2</v>
      </c>
      <c r="O937">
        <f>SUMIFS(PAGOS!$D:$D,PAGOS!$A:$A, BASE_CUENTAS!$A937,PAGOS!$B:$B, BASE_CUENTAS!$C937)</f>
        <v>78256</v>
      </c>
      <c r="P937" t="str">
        <f>IF(
VLOOKUP($C937,BASE_CIERRE_MES!$C:$G,5,FALSE)=0,
"Normalización",
IF(
VLOOKUP($C937,BASE_CIERRE_MES!$C:$G,5,FALSE)&lt;$H937,
"Recuperación",
IF(
VLOOKUP($C937,BASE_CIERRE_MES!$C:$G,5,FALSE)=$H937,
"Contención",
"Rodamiento"
)))</f>
        <v>Normalización</v>
      </c>
      <c r="Q937">
        <f t="shared" si="14"/>
        <v>0.1615244259872359</v>
      </c>
    </row>
    <row r="938" spans="1:17" x14ac:dyDescent="0.25">
      <c r="A938">
        <v>8556848</v>
      </c>
      <c r="B938" t="s">
        <v>18</v>
      </c>
      <c r="C938">
        <v>27485416</v>
      </c>
      <c r="D938" t="s">
        <v>7</v>
      </c>
      <c r="E938">
        <v>2740026</v>
      </c>
      <c r="F938" s="2">
        <v>2740026</v>
      </c>
      <c r="G938" s="2">
        <v>79598</v>
      </c>
      <c r="H938">
        <v>30</v>
      </c>
      <c r="I938" s="1">
        <v>42509</v>
      </c>
      <c r="J938" t="s">
        <v>6</v>
      </c>
      <c r="K938">
        <f>COUNTIFS(GESTIONES!$A:$A, BASE_CUENTAS!$A938, GESTIONES!$B:$B, BASE_CUENTAS!$C938)</f>
        <v>3</v>
      </c>
      <c r="L938">
        <f>COUNTIFS(GESTIONES!$A:$A, BASE_CUENTAS!$A938,GESTIONES!$B:$B, BASE_CUENTAS!$C938,GESTIONES!$E:$E, "S")</f>
        <v>1</v>
      </c>
      <c r="M938">
        <f>COUNTIFS(GESTIONES!$A:$A, BASE_CUENTAS!$A938,GESTIONES!$B:$B, BASE_CUENTAS!$C938,GESTIONES!$E:$E, "N")</f>
        <v>2</v>
      </c>
      <c r="N938">
        <f>COUNTIFS(GESTIONES!$A:$A, BASE_CUENTAS!$A938,GESTIONES!$B:$B, BASE_CUENTAS!$C938,GESTIONES!$D:$D, "SMS")</f>
        <v>0</v>
      </c>
      <c r="O938">
        <f>SUMIFS(PAGOS!$D:$D,PAGOS!$A:$A, BASE_CUENTAS!$A938,PAGOS!$B:$B, BASE_CUENTAS!$C938)</f>
        <v>0</v>
      </c>
      <c r="P938" t="str">
        <f>IF(
VLOOKUP($C938,BASE_CIERRE_MES!$C:$G,5,FALSE)=0,
"Normalización",
IF(
VLOOKUP($C938,BASE_CIERRE_MES!$C:$G,5,FALSE)&lt;$H938,
"Recuperación",
IF(
VLOOKUP($C938,BASE_CIERRE_MES!$C:$G,5,FALSE)=$H938,
"Contención",
"Rodamiento"
)))</f>
        <v>Rodamiento</v>
      </c>
      <c r="Q938">
        <f t="shared" si="14"/>
        <v>0</v>
      </c>
    </row>
    <row r="939" spans="1:17" x14ac:dyDescent="0.25">
      <c r="A939">
        <v>8556862</v>
      </c>
      <c r="B939" t="s">
        <v>18</v>
      </c>
      <c r="C939">
        <v>21386184</v>
      </c>
      <c r="D939" t="s">
        <v>7</v>
      </c>
      <c r="E939">
        <v>2412441</v>
      </c>
      <c r="F939" s="2">
        <v>633420</v>
      </c>
      <c r="G939" s="2">
        <v>201902</v>
      </c>
      <c r="H939">
        <v>60</v>
      </c>
      <c r="I939" s="1">
        <v>42490</v>
      </c>
      <c r="J939" t="s">
        <v>6</v>
      </c>
      <c r="K939">
        <f>COUNTIFS(GESTIONES!$A:$A, BASE_CUENTAS!$A939, GESTIONES!$B:$B, BASE_CUENTAS!$C939)</f>
        <v>3</v>
      </c>
      <c r="L939">
        <f>COUNTIFS(GESTIONES!$A:$A, BASE_CUENTAS!$A939,GESTIONES!$B:$B, BASE_CUENTAS!$C939,GESTIONES!$E:$E, "S")</f>
        <v>1</v>
      </c>
      <c r="M939">
        <f>COUNTIFS(GESTIONES!$A:$A, BASE_CUENTAS!$A939,GESTIONES!$B:$B, BASE_CUENTAS!$C939,GESTIONES!$E:$E, "N")</f>
        <v>2</v>
      </c>
      <c r="N939">
        <f>COUNTIFS(GESTIONES!$A:$A, BASE_CUENTAS!$A939,GESTIONES!$B:$B, BASE_CUENTAS!$C939,GESTIONES!$D:$D, "SMS")</f>
        <v>1</v>
      </c>
      <c r="O939">
        <f>SUMIFS(PAGOS!$D:$D,PAGOS!$A:$A, BASE_CUENTAS!$A939,PAGOS!$B:$B, BASE_CUENTAS!$C939)</f>
        <v>0</v>
      </c>
      <c r="P939" t="str">
        <f>IF(
VLOOKUP($C939,BASE_CIERRE_MES!$C:$G,5,FALSE)=0,
"Normalización",
IF(
VLOOKUP($C939,BASE_CIERRE_MES!$C:$G,5,FALSE)&lt;$H939,
"Recuperación",
IF(
VLOOKUP($C939,BASE_CIERRE_MES!$C:$G,5,FALSE)=$H939,
"Contención",
"Rodamiento"
)))</f>
        <v>Rodamiento</v>
      </c>
      <c r="Q939">
        <f t="shared" si="14"/>
        <v>0</v>
      </c>
    </row>
    <row r="940" spans="1:17" x14ac:dyDescent="0.25">
      <c r="A940">
        <v>8556874</v>
      </c>
      <c r="B940" t="s">
        <v>18</v>
      </c>
      <c r="C940">
        <v>22431746</v>
      </c>
      <c r="D940" t="s">
        <v>7</v>
      </c>
      <c r="E940">
        <v>4793058</v>
      </c>
      <c r="F940" s="2">
        <v>1463036</v>
      </c>
      <c r="G940" s="2">
        <v>7706</v>
      </c>
      <c r="H940">
        <v>30</v>
      </c>
      <c r="I940" s="1">
        <v>42521</v>
      </c>
      <c r="J940" t="s">
        <v>4</v>
      </c>
      <c r="K940">
        <f>COUNTIFS(GESTIONES!$A:$A, BASE_CUENTAS!$A940, GESTIONES!$B:$B, BASE_CUENTAS!$C940)</f>
        <v>3</v>
      </c>
      <c r="L940">
        <f>COUNTIFS(GESTIONES!$A:$A, BASE_CUENTAS!$A940,GESTIONES!$B:$B, BASE_CUENTAS!$C940,GESTIONES!$E:$E, "S")</f>
        <v>1</v>
      </c>
      <c r="M940">
        <f>COUNTIFS(GESTIONES!$A:$A, BASE_CUENTAS!$A940,GESTIONES!$B:$B, BASE_CUENTAS!$C940,GESTIONES!$E:$E, "N")</f>
        <v>2</v>
      </c>
      <c r="N940">
        <f>COUNTIFS(GESTIONES!$A:$A, BASE_CUENTAS!$A940,GESTIONES!$B:$B, BASE_CUENTAS!$C940,GESTIONES!$D:$D, "SMS")</f>
        <v>0</v>
      </c>
      <c r="O940">
        <f>SUMIFS(PAGOS!$D:$D,PAGOS!$A:$A, BASE_CUENTAS!$A940,PAGOS!$B:$B, BASE_CUENTAS!$C940)</f>
        <v>3853</v>
      </c>
      <c r="P940" t="str">
        <f>IF(
VLOOKUP($C940,BASE_CIERRE_MES!$C:$G,5,FALSE)=0,
"Normalización",
IF(
VLOOKUP($C940,BASE_CIERRE_MES!$C:$G,5,FALSE)&lt;$H940,
"Recuperación",
IF(
VLOOKUP($C940,BASE_CIERRE_MES!$C:$G,5,FALSE)=$H940,
"Contención",
"Rodamiento"
)))</f>
        <v>Recuperación</v>
      </c>
      <c r="Q940">
        <f t="shared" si="14"/>
        <v>2.6335647243130038E-3</v>
      </c>
    </row>
    <row r="941" spans="1:17" x14ac:dyDescent="0.25">
      <c r="A941">
        <v>8556971</v>
      </c>
      <c r="B941" t="s">
        <v>18</v>
      </c>
      <c r="C941">
        <v>23736047</v>
      </c>
      <c r="D941" t="s">
        <v>7</v>
      </c>
      <c r="E941">
        <v>1042103</v>
      </c>
      <c r="F941" s="2">
        <v>456247</v>
      </c>
      <c r="G941" s="2">
        <v>44920</v>
      </c>
      <c r="H941">
        <v>30</v>
      </c>
      <c r="I941" s="1">
        <v>42521</v>
      </c>
      <c r="J941" t="s">
        <v>4</v>
      </c>
      <c r="K941">
        <f>COUNTIFS(GESTIONES!$A:$A, BASE_CUENTAS!$A941, GESTIONES!$B:$B, BASE_CUENTAS!$C941)</f>
        <v>3</v>
      </c>
      <c r="L941">
        <f>COUNTIFS(GESTIONES!$A:$A, BASE_CUENTAS!$A941,GESTIONES!$B:$B, BASE_CUENTAS!$C941,GESTIONES!$E:$E, "S")</f>
        <v>0</v>
      </c>
      <c r="M941">
        <f>COUNTIFS(GESTIONES!$A:$A, BASE_CUENTAS!$A941,GESTIONES!$B:$B, BASE_CUENTAS!$C941,GESTIONES!$E:$E, "N")</f>
        <v>3</v>
      </c>
      <c r="N941">
        <f>COUNTIFS(GESTIONES!$A:$A, BASE_CUENTAS!$A941,GESTIONES!$B:$B, BASE_CUENTAS!$C941,GESTIONES!$D:$D, "SMS")</f>
        <v>1</v>
      </c>
      <c r="O941">
        <f>SUMIFS(PAGOS!$D:$D,PAGOS!$A:$A, BASE_CUENTAS!$A941,PAGOS!$B:$B, BASE_CUENTAS!$C941)</f>
        <v>0</v>
      </c>
      <c r="P941" t="str">
        <f>IF(
VLOOKUP($C941,BASE_CIERRE_MES!$C:$G,5,FALSE)=0,
"Normalización",
IF(
VLOOKUP($C941,BASE_CIERRE_MES!$C:$G,5,FALSE)&lt;$H941,
"Recuperación",
IF(
VLOOKUP($C941,BASE_CIERRE_MES!$C:$G,5,FALSE)=$H941,
"Contención",
"Rodamiento"
)))</f>
        <v>Rodamiento</v>
      </c>
      <c r="Q941">
        <f t="shared" si="14"/>
        <v>0</v>
      </c>
    </row>
    <row r="942" spans="1:17" x14ac:dyDescent="0.25">
      <c r="A942">
        <v>8557015</v>
      </c>
      <c r="B942" t="s">
        <v>18</v>
      </c>
      <c r="C942">
        <v>27004164</v>
      </c>
      <c r="D942" t="s">
        <v>7</v>
      </c>
      <c r="E942">
        <v>904862</v>
      </c>
      <c r="F942" s="2">
        <v>904862</v>
      </c>
      <c r="G942" s="2">
        <v>904862</v>
      </c>
      <c r="H942">
        <v>120</v>
      </c>
      <c r="I942" s="1">
        <v>42508</v>
      </c>
      <c r="J942" t="s">
        <v>5</v>
      </c>
      <c r="K942">
        <f>COUNTIFS(GESTIONES!$A:$A, BASE_CUENTAS!$A942, GESTIONES!$B:$B, BASE_CUENTAS!$C942)</f>
        <v>3</v>
      </c>
      <c r="L942">
        <f>COUNTIFS(GESTIONES!$A:$A, BASE_CUENTAS!$A942,GESTIONES!$B:$B, BASE_CUENTAS!$C942,GESTIONES!$E:$E, "S")</f>
        <v>1</v>
      </c>
      <c r="M942">
        <f>COUNTIFS(GESTIONES!$A:$A, BASE_CUENTAS!$A942,GESTIONES!$B:$B, BASE_CUENTAS!$C942,GESTIONES!$E:$E, "N")</f>
        <v>2</v>
      </c>
      <c r="N942">
        <f>COUNTIFS(GESTIONES!$A:$A, BASE_CUENTAS!$A942,GESTIONES!$B:$B, BASE_CUENTAS!$C942,GESTIONES!$D:$D, "SMS")</f>
        <v>2</v>
      </c>
      <c r="O942">
        <f>SUMIFS(PAGOS!$D:$D,PAGOS!$A:$A, BASE_CUENTAS!$A942,PAGOS!$B:$B, BASE_CUENTAS!$C942)</f>
        <v>904862</v>
      </c>
      <c r="P942" t="str">
        <f>IF(
VLOOKUP($C942,BASE_CIERRE_MES!$C:$G,5,FALSE)=0,
"Normalización",
IF(
VLOOKUP($C942,BASE_CIERRE_MES!$C:$G,5,FALSE)&lt;$H942,
"Recuperación",
IF(
VLOOKUP($C942,BASE_CIERRE_MES!$C:$G,5,FALSE)=$H942,
"Contención",
"Rodamiento"
)))</f>
        <v>Normalización</v>
      </c>
      <c r="Q942">
        <f t="shared" si="14"/>
        <v>1</v>
      </c>
    </row>
    <row r="943" spans="1:17" x14ac:dyDescent="0.25">
      <c r="A943">
        <v>8557036</v>
      </c>
      <c r="B943" t="s">
        <v>18</v>
      </c>
      <c r="C943">
        <v>26395640</v>
      </c>
      <c r="D943" t="s">
        <v>7</v>
      </c>
      <c r="E943">
        <v>1465149</v>
      </c>
      <c r="F943" s="2">
        <v>1465149</v>
      </c>
      <c r="G943" s="2">
        <v>130713</v>
      </c>
      <c r="H943">
        <v>30</v>
      </c>
      <c r="I943" s="1">
        <v>42509</v>
      </c>
      <c r="J943" t="s">
        <v>6</v>
      </c>
      <c r="K943">
        <f>COUNTIFS(GESTIONES!$A:$A, BASE_CUENTAS!$A943, GESTIONES!$B:$B, BASE_CUENTAS!$C943)</f>
        <v>3</v>
      </c>
      <c r="L943">
        <f>COUNTIFS(GESTIONES!$A:$A, BASE_CUENTAS!$A943,GESTIONES!$B:$B, BASE_CUENTAS!$C943,GESTIONES!$E:$E, "S")</f>
        <v>1</v>
      </c>
      <c r="M943">
        <f>COUNTIFS(GESTIONES!$A:$A, BASE_CUENTAS!$A943,GESTIONES!$B:$B, BASE_CUENTAS!$C943,GESTIONES!$E:$E, "N")</f>
        <v>2</v>
      </c>
      <c r="N943">
        <f>COUNTIFS(GESTIONES!$A:$A, BASE_CUENTAS!$A943,GESTIONES!$B:$B, BASE_CUENTAS!$C943,GESTIONES!$D:$D, "SMS")</f>
        <v>0</v>
      </c>
      <c r="O943">
        <f>SUMIFS(PAGOS!$D:$D,PAGOS!$A:$A, BASE_CUENTAS!$A943,PAGOS!$B:$B, BASE_CUENTAS!$C943)</f>
        <v>0</v>
      </c>
      <c r="P943" t="str">
        <f>IF(
VLOOKUP($C943,BASE_CIERRE_MES!$C:$G,5,FALSE)=0,
"Normalización",
IF(
VLOOKUP($C943,BASE_CIERRE_MES!$C:$G,5,FALSE)&lt;$H943,
"Recuperación",
IF(
VLOOKUP($C943,BASE_CIERRE_MES!$C:$G,5,FALSE)=$H943,
"Contención",
"Rodamiento"
)))</f>
        <v>Rodamiento</v>
      </c>
      <c r="Q943">
        <f t="shared" si="14"/>
        <v>0</v>
      </c>
    </row>
    <row r="944" spans="1:17" x14ac:dyDescent="0.25">
      <c r="A944">
        <v>8557297</v>
      </c>
      <c r="B944" t="s">
        <v>17</v>
      </c>
      <c r="C944">
        <v>25845100</v>
      </c>
      <c r="D944" t="s">
        <v>7</v>
      </c>
      <c r="E944">
        <v>4451292</v>
      </c>
      <c r="F944" s="2">
        <v>3105633</v>
      </c>
      <c r="G944" s="2">
        <v>440616</v>
      </c>
      <c r="H944">
        <v>30</v>
      </c>
      <c r="I944" s="1">
        <v>42508</v>
      </c>
      <c r="J944" t="s">
        <v>6</v>
      </c>
      <c r="K944">
        <f>COUNTIFS(GESTIONES!$A:$A, BASE_CUENTAS!$A944, GESTIONES!$B:$B, BASE_CUENTAS!$C944)</f>
        <v>3</v>
      </c>
      <c r="L944">
        <f>COUNTIFS(GESTIONES!$A:$A, BASE_CUENTAS!$A944,GESTIONES!$B:$B, BASE_CUENTAS!$C944,GESTIONES!$E:$E, "S")</f>
        <v>1</v>
      </c>
      <c r="M944">
        <f>COUNTIFS(GESTIONES!$A:$A, BASE_CUENTAS!$A944,GESTIONES!$B:$B, BASE_CUENTAS!$C944,GESTIONES!$E:$E, "N")</f>
        <v>2</v>
      </c>
      <c r="N944">
        <f>COUNTIFS(GESTIONES!$A:$A, BASE_CUENTAS!$A944,GESTIONES!$B:$B, BASE_CUENTAS!$C944,GESTIONES!$D:$D, "SMS")</f>
        <v>1</v>
      </c>
      <c r="O944">
        <f>SUMIFS(PAGOS!$D:$D,PAGOS!$A:$A, BASE_CUENTAS!$A944,PAGOS!$B:$B, BASE_CUENTAS!$C944)</f>
        <v>146872</v>
      </c>
      <c r="P944" t="str">
        <f>IF(
VLOOKUP($C944,BASE_CIERRE_MES!$C:$G,5,FALSE)=0,
"Normalización",
IF(
VLOOKUP($C944,BASE_CIERRE_MES!$C:$G,5,FALSE)&lt;$H944,
"Recuperación",
IF(
VLOOKUP($C944,BASE_CIERRE_MES!$C:$G,5,FALSE)=$H944,
"Contención",
"Rodamiento"
)))</f>
        <v>Contención</v>
      </c>
      <c r="Q944">
        <f t="shared" si="14"/>
        <v>4.7292130139008695E-2</v>
      </c>
    </row>
    <row r="945" spans="1:17" x14ac:dyDescent="0.25">
      <c r="A945">
        <v>8557297</v>
      </c>
      <c r="B945" t="s">
        <v>17</v>
      </c>
      <c r="C945">
        <v>25846718</v>
      </c>
      <c r="D945" t="s">
        <v>7</v>
      </c>
      <c r="E945">
        <v>4451292</v>
      </c>
      <c r="F945" s="2">
        <v>1345660</v>
      </c>
      <c r="G945" s="2">
        <v>220535</v>
      </c>
      <c r="H945">
        <v>30</v>
      </c>
      <c r="I945" s="1">
        <v>42509</v>
      </c>
      <c r="J945" t="s">
        <v>6</v>
      </c>
      <c r="K945">
        <f>COUNTIFS(GESTIONES!$A:$A, BASE_CUENTAS!$A945, GESTIONES!$B:$B, BASE_CUENTAS!$C945)</f>
        <v>3</v>
      </c>
      <c r="L945">
        <f>COUNTIFS(GESTIONES!$A:$A, BASE_CUENTAS!$A945,GESTIONES!$B:$B, BASE_CUENTAS!$C945,GESTIONES!$E:$E, "S")</f>
        <v>2</v>
      </c>
      <c r="M945">
        <f>COUNTIFS(GESTIONES!$A:$A, BASE_CUENTAS!$A945,GESTIONES!$B:$B, BASE_CUENTAS!$C945,GESTIONES!$E:$E, "N")</f>
        <v>1</v>
      </c>
      <c r="N945">
        <f>COUNTIFS(GESTIONES!$A:$A, BASE_CUENTAS!$A945,GESTIONES!$B:$B, BASE_CUENTAS!$C945,GESTIONES!$D:$D, "SMS")</f>
        <v>0</v>
      </c>
      <c r="O945">
        <f>SUMIFS(PAGOS!$D:$D,PAGOS!$A:$A, BASE_CUENTAS!$A945,PAGOS!$B:$B, BASE_CUENTAS!$C945)</f>
        <v>0</v>
      </c>
      <c r="P945" t="str">
        <f>IF(
VLOOKUP($C945,BASE_CIERRE_MES!$C:$G,5,FALSE)=0,
"Normalización",
IF(
VLOOKUP($C945,BASE_CIERRE_MES!$C:$G,5,FALSE)&lt;$H945,
"Recuperación",
IF(
VLOOKUP($C945,BASE_CIERRE_MES!$C:$G,5,FALSE)=$H945,
"Contención",
"Rodamiento"
)))</f>
        <v>Rodamiento</v>
      </c>
      <c r="Q945">
        <f t="shared" si="14"/>
        <v>0</v>
      </c>
    </row>
    <row r="946" spans="1:17" x14ac:dyDescent="0.25">
      <c r="A946">
        <v>8557743</v>
      </c>
      <c r="B946" t="s">
        <v>17</v>
      </c>
      <c r="C946">
        <v>23790214</v>
      </c>
      <c r="D946" t="s">
        <v>9</v>
      </c>
      <c r="E946">
        <v>4096875</v>
      </c>
      <c r="F946" s="2">
        <v>2441202</v>
      </c>
      <c r="G946" s="2">
        <v>356785</v>
      </c>
      <c r="H946">
        <v>90</v>
      </c>
      <c r="I946" s="1">
        <v>42497</v>
      </c>
      <c r="J946" t="s">
        <v>6</v>
      </c>
      <c r="K946">
        <f>COUNTIFS(GESTIONES!$A:$A, BASE_CUENTAS!$A946, GESTIONES!$B:$B, BASE_CUENTAS!$C946)</f>
        <v>3</v>
      </c>
      <c r="L946">
        <f>COUNTIFS(GESTIONES!$A:$A, BASE_CUENTAS!$A946,GESTIONES!$B:$B, BASE_CUENTAS!$C946,GESTIONES!$E:$E, "S")</f>
        <v>1</v>
      </c>
      <c r="M946">
        <f>COUNTIFS(GESTIONES!$A:$A, BASE_CUENTAS!$A946,GESTIONES!$B:$B, BASE_CUENTAS!$C946,GESTIONES!$E:$E, "N")</f>
        <v>2</v>
      </c>
      <c r="N946">
        <f>COUNTIFS(GESTIONES!$A:$A, BASE_CUENTAS!$A946,GESTIONES!$B:$B, BASE_CUENTAS!$C946,GESTIONES!$D:$D, "SMS")</f>
        <v>0</v>
      </c>
      <c r="O946">
        <f>SUMIFS(PAGOS!$D:$D,PAGOS!$A:$A, BASE_CUENTAS!$A946,PAGOS!$B:$B, BASE_CUENTAS!$C946)</f>
        <v>0</v>
      </c>
      <c r="P946" t="str">
        <f>IF(
VLOOKUP($C946,BASE_CIERRE_MES!$C:$G,5,FALSE)=0,
"Normalización",
IF(
VLOOKUP($C946,BASE_CIERRE_MES!$C:$G,5,FALSE)&lt;$H946,
"Recuperación",
IF(
VLOOKUP($C946,BASE_CIERRE_MES!$C:$G,5,FALSE)=$H946,
"Contención",
"Rodamiento"
)))</f>
        <v>Rodamiento</v>
      </c>
      <c r="Q946">
        <f t="shared" si="14"/>
        <v>0</v>
      </c>
    </row>
    <row r="947" spans="1:17" x14ac:dyDescent="0.25">
      <c r="A947">
        <v>8557743</v>
      </c>
      <c r="B947" t="s">
        <v>17</v>
      </c>
      <c r="C947">
        <v>25042402</v>
      </c>
      <c r="D947" t="s">
        <v>7</v>
      </c>
      <c r="E947">
        <v>4096875</v>
      </c>
      <c r="F947" s="2">
        <v>1655673</v>
      </c>
      <c r="G947" s="2">
        <v>1655673</v>
      </c>
      <c r="H947">
        <v>360</v>
      </c>
      <c r="I947" s="1">
        <v>42443</v>
      </c>
      <c r="J947" t="s">
        <v>6</v>
      </c>
      <c r="K947">
        <f>COUNTIFS(GESTIONES!$A:$A, BASE_CUENTAS!$A947, GESTIONES!$B:$B, BASE_CUENTAS!$C947)</f>
        <v>3</v>
      </c>
      <c r="L947">
        <f>COUNTIFS(GESTIONES!$A:$A, BASE_CUENTAS!$A947,GESTIONES!$B:$B, BASE_CUENTAS!$C947,GESTIONES!$E:$E, "S")</f>
        <v>0</v>
      </c>
      <c r="M947">
        <f>COUNTIFS(GESTIONES!$A:$A, BASE_CUENTAS!$A947,GESTIONES!$B:$B, BASE_CUENTAS!$C947,GESTIONES!$E:$E, "N")</f>
        <v>3</v>
      </c>
      <c r="N947">
        <f>COUNTIFS(GESTIONES!$A:$A, BASE_CUENTAS!$A947,GESTIONES!$B:$B, BASE_CUENTAS!$C947,GESTIONES!$D:$D, "SMS")</f>
        <v>2</v>
      </c>
      <c r="O947">
        <f>SUMIFS(PAGOS!$D:$D,PAGOS!$A:$A, BASE_CUENTAS!$A947,PAGOS!$B:$B, BASE_CUENTAS!$C947)</f>
        <v>827836</v>
      </c>
      <c r="P947" t="str">
        <f>IF(
VLOOKUP($C947,BASE_CIERRE_MES!$C:$G,5,FALSE)=0,
"Normalización",
IF(
VLOOKUP($C947,BASE_CIERRE_MES!$C:$G,5,FALSE)&lt;$H947,
"Recuperación",
IF(
VLOOKUP($C947,BASE_CIERRE_MES!$C:$G,5,FALSE)=$H947,
"Contención",
"Rodamiento"
)))</f>
        <v>Recuperación</v>
      </c>
      <c r="Q947">
        <f t="shared" si="14"/>
        <v>0.49999969800800037</v>
      </c>
    </row>
    <row r="948" spans="1:17" x14ac:dyDescent="0.25">
      <c r="A948">
        <v>8557752</v>
      </c>
      <c r="B948" t="s">
        <v>18</v>
      </c>
      <c r="C948">
        <v>22994170</v>
      </c>
      <c r="D948" t="s">
        <v>7</v>
      </c>
      <c r="E948">
        <v>3186964</v>
      </c>
      <c r="F948" s="2">
        <v>694509</v>
      </c>
      <c r="G948" s="2">
        <v>76741</v>
      </c>
      <c r="H948">
        <v>30</v>
      </c>
      <c r="I948" s="1">
        <v>42508</v>
      </c>
      <c r="J948" t="s">
        <v>6</v>
      </c>
      <c r="K948">
        <f>COUNTIFS(GESTIONES!$A:$A, BASE_CUENTAS!$A948, GESTIONES!$B:$B, BASE_CUENTAS!$C948)</f>
        <v>3</v>
      </c>
      <c r="L948">
        <f>COUNTIFS(GESTIONES!$A:$A, BASE_CUENTAS!$A948,GESTIONES!$B:$B, BASE_CUENTAS!$C948,GESTIONES!$E:$E, "S")</f>
        <v>1</v>
      </c>
      <c r="M948">
        <f>COUNTIFS(GESTIONES!$A:$A, BASE_CUENTAS!$A948,GESTIONES!$B:$B, BASE_CUENTAS!$C948,GESTIONES!$E:$E, "N")</f>
        <v>2</v>
      </c>
      <c r="N948">
        <f>COUNTIFS(GESTIONES!$A:$A, BASE_CUENTAS!$A948,GESTIONES!$B:$B, BASE_CUENTAS!$C948,GESTIONES!$D:$D, "SMS")</f>
        <v>1</v>
      </c>
      <c r="O948">
        <f>SUMIFS(PAGOS!$D:$D,PAGOS!$A:$A, BASE_CUENTAS!$A948,PAGOS!$B:$B, BASE_CUENTAS!$C948)</f>
        <v>0</v>
      </c>
      <c r="P948" t="str">
        <f>IF(
VLOOKUP($C948,BASE_CIERRE_MES!$C:$G,5,FALSE)=0,
"Normalización",
IF(
VLOOKUP($C948,BASE_CIERRE_MES!$C:$G,5,FALSE)&lt;$H948,
"Recuperación",
IF(
VLOOKUP($C948,BASE_CIERRE_MES!$C:$G,5,FALSE)=$H948,
"Contención",
"Rodamiento"
)))</f>
        <v>Rodamiento</v>
      </c>
      <c r="Q948">
        <f t="shared" si="14"/>
        <v>0</v>
      </c>
    </row>
    <row r="949" spans="1:17" x14ac:dyDescent="0.25">
      <c r="A949">
        <v>8557907</v>
      </c>
      <c r="B949" t="s">
        <v>18</v>
      </c>
      <c r="C949">
        <v>16361629</v>
      </c>
      <c r="D949" t="s">
        <v>7</v>
      </c>
      <c r="E949">
        <v>1381756</v>
      </c>
      <c r="F949" s="2">
        <v>142033</v>
      </c>
      <c r="G949" s="2">
        <v>34585</v>
      </c>
      <c r="H949">
        <v>30</v>
      </c>
      <c r="I949" s="1">
        <v>42518</v>
      </c>
      <c r="J949" t="s">
        <v>6</v>
      </c>
      <c r="K949">
        <f>COUNTIFS(GESTIONES!$A:$A, BASE_CUENTAS!$A949, GESTIONES!$B:$B, BASE_CUENTAS!$C949)</f>
        <v>3</v>
      </c>
      <c r="L949">
        <f>COUNTIFS(GESTIONES!$A:$A, BASE_CUENTAS!$A949,GESTIONES!$B:$B, BASE_CUENTAS!$C949,GESTIONES!$E:$E, "S")</f>
        <v>1</v>
      </c>
      <c r="M949">
        <f>COUNTIFS(GESTIONES!$A:$A, BASE_CUENTAS!$A949,GESTIONES!$B:$B, BASE_CUENTAS!$C949,GESTIONES!$E:$E, "N")</f>
        <v>2</v>
      </c>
      <c r="N949">
        <f>COUNTIFS(GESTIONES!$A:$A, BASE_CUENTAS!$A949,GESTIONES!$B:$B, BASE_CUENTAS!$C949,GESTIONES!$D:$D, "SMS")</f>
        <v>1</v>
      </c>
      <c r="O949">
        <f>SUMIFS(PAGOS!$D:$D,PAGOS!$A:$A, BASE_CUENTAS!$A949,PAGOS!$B:$B, BASE_CUENTAS!$C949)</f>
        <v>0</v>
      </c>
      <c r="P949" t="str">
        <f>IF(
VLOOKUP($C949,BASE_CIERRE_MES!$C:$G,5,FALSE)=0,
"Normalización",
IF(
VLOOKUP($C949,BASE_CIERRE_MES!$C:$G,5,FALSE)&lt;$H949,
"Recuperación",
IF(
VLOOKUP($C949,BASE_CIERRE_MES!$C:$G,5,FALSE)=$H949,
"Contención",
"Rodamiento"
)))</f>
        <v>Rodamiento</v>
      </c>
      <c r="Q949">
        <f t="shared" si="14"/>
        <v>0</v>
      </c>
    </row>
    <row r="950" spans="1:17" x14ac:dyDescent="0.25">
      <c r="A950">
        <v>8557907</v>
      </c>
      <c r="B950" t="s">
        <v>18</v>
      </c>
      <c r="C950">
        <v>16362152</v>
      </c>
      <c r="D950" t="s">
        <v>7</v>
      </c>
      <c r="E950">
        <v>1381756</v>
      </c>
      <c r="F950" s="2">
        <v>920197</v>
      </c>
      <c r="G950" s="2">
        <v>86491</v>
      </c>
      <c r="H950">
        <v>30</v>
      </c>
      <c r="I950" s="1">
        <v>42509</v>
      </c>
      <c r="J950" t="s">
        <v>6</v>
      </c>
      <c r="K950">
        <f>COUNTIFS(GESTIONES!$A:$A, BASE_CUENTAS!$A950, GESTIONES!$B:$B, BASE_CUENTAS!$C950)</f>
        <v>3</v>
      </c>
      <c r="L950">
        <f>COUNTIFS(GESTIONES!$A:$A, BASE_CUENTAS!$A950,GESTIONES!$B:$B, BASE_CUENTAS!$C950,GESTIONES!$E:$E, "S")</f>
        <v>1</v>
      </c>
      <c r="M950">
        <f>COUNTIFS(GESTIONES!$A:$A, BASE_CUENTAS!$A950,GESTIONES!$B:$B, BASE_CUENTAS!$C950,GESTIONES!$E:$E, "N")</f>
        <v>2</v>
      </c>
      <c r="N950">
        <f>COUNTIFS(GESTIONES!$A:$A, BASE_CUENTAS!$A950,GESTIONES!$B:$B, BASE_CUENTAS!$C950,GESTIONES!$D:$D, "SMS")</f>
        <v>0</v>
      </c>
      <c r="O950">
        <f>SUMIFS(PAGOS!$D:$D,PAGOS!$A:$A, BASE_CUENTAS!$A950,PAGOS!$B:$B, BASE_CUENTAS!$C950)</f>
        <v>28831</v>
      </c>
      <c r="P950" t="str">
        <f>IF(
VLOOKUP($C950,BASE_CIERRE_MES!$C:$G,5,FALSE)=0,
"Normalización",
IF(
VLOOKUP($C950,BASE_CIERRE_MES!$C:$G,5,FALSE)&lt;$H950,
"Recuperación",
IF(
VLOOKUP($C950,BASE_CIERRE_MES!$C:$G,5,FALSE)=$H950,
"Contención",
"Rodamiento"
)))</f>
        <v>Contención</v>
      </c>
      <c r="Q950">
        <f t="shared" si="14"/>
        <v>3.1331334485985067E-2</v>
      </c>
    </row>
    <row r="951" spans="1:17" x14ac:dyDescent="0.25">
      <c r="A951">
        <v>8557907</v>
      </c>
      <c r="B951" t="s">
        <v>18</v>
      </c>
      <c r="C951">
        <v>16363686</v>
      </c>
      <c r="D951" t="s">
        <v>7</v>
      </c>
      <c r="E951">
        <v>1381756</v>
      </c>
      <c r="F951" s="2">
        <v>319525</v>
      </c>
      <c r="G951" s="2">
        <v>10954</v>
      </c>
      <c r="H951">
        <v>30</v>
      </c>
      <c r="I951" s="1">
        <v>42508</v>
      </c>
      <c r="J951" t="s">
        <v>6</v>
      </c>
      <c r="K951">
        <f>COUNTIFS(GESTIONES!$A:$A, BASE_CUENTAS!$A951, GESTIONES!$B:$B, BASE_CUENTAS!$C951)</f>
        <v>3</v>
      </c>
      <c r="L951">
        <f>COUNTIFS(GESTIONES!$A:$A, BASE_CUENTAS!$A951,GESTIONES!$B:$B, BASE_CUENTAS!$C951,GESTIONES!$E:$E, "S")</f>
        <v>1</v>
      </c>
      <c r="M951">
        <f>COUNTIFS(GESTIONES!$A:$A, BASE_CUENTAS!$A951,GESTIONES!$B:$B, BASE_CUENTAS!$C951,GESTIONES!$E:$E, "N")</f>
        <v>2</v>
      </c>
      <c r="N951">
        <f>COUNTIFS(GESTIONES!$A:$A, BASE_CUENTAS!$A951,GESTIONES!$B:$B, BASE_CUENTAS!$C951,GESTIONES!$D:$D, "SMS")</f>
        <v>0</v>
      </c>
      <c r="O951">
        <f>SUMIFS(PAGOS!$D:$D,PAGOS!$A:$A, BASE_CUENTAS!$A951,PAGOS!$B:$B, BASE_CUENTAS!$C951)</f>
        <v>0</v>
      </c>
      <c r="P951" t="str">
        <f>IF(
VLOOKUP($C951,BASE_CIERRE_MES!$C:$G,5,FALSE)=0,
"Normalización",
IF(
VLOOKUP($C951,BASE_CIERRE_MES!$C:$G,5,FALSE)&lt;$H951,
"Recuperación",
IF(
VLOOKUP($C951,BASE_CIERRE_MES!$C:$G,5,FALSE)=$H951,
"Contención",
"Rodamiento"
)))</f>
        <v>Rodamiento</v>
      </c>
      <c r="Q951">
        <f t="shared" si="14"/>
        <v>0</v>
      </c>
    </row>
    <row r="952" spans="1:17" x14ac:dyDescent="0.25">
      <c r="A952">
        <v>8557916</v>
      </c>
      <c r="B952" t="s">
        <v>18</v>
      </c>
      <c r="C952">
        <v>26218300</v>
      </c>
      <c r="D952" t="s">
        <v>7</v>
      </c>
      <c r="E952">
        <v>458930</v>
      </c>
      <c r="F952" s="2">
        <v>458930</v>
      </c>
      <c r="G952" s="2">
        <v>108934</v>
      </c>
      <c r="H952">
        <v>30</v>
      </c>
      <c r="I952" s="1">
        <v>42521</v>
      </c>
      <c r="J952" t="s">
        <v>4</v>
      </c>
      <c r="K952">
        <f>COUNTIFS(GESTIONES!$A:$A, BASE_CUENTAS!$A952, GESTIONES!$B:$B, BASE_CUENTAS!$C952)</f>
        <v>3</v>
      </c>
      <c r="L952">
        <f>COUNTIFS(GESTIONES!$A:$A, BASE_CUENTAS!$A952,GESTIONES!$B:$B, BASE_CUENTAS!$C952,GESTIONES!$E:$E, "S")</f>
        <v>0</v>
      </c>
      <c r="M952">
        <f>COUNTIFS(GESTIONES!$A:$A, BASE_CUENTAS!$A952,GESTIONES!$B:$B, BASE_CUENTAS!$C952,GESTIONES!$E:$E, "N")</f>
        <v>3</v>
      </c>
      <c r="N952">
        <f>COUNTIFS(GESTIONES!$A:$A, BASE_CUENTAS!$A952,GESTIONES!$B:$B, BASE_CUENTAS!$C952,GESTIONES!$D:$D, "SMS")</f>
        <v>2</v>
      </c>
      <c r="O952">
        <f>SUMIFS(PAGOS!$D:$D,PAGOS!$A:$A, BASE_CUENTAS!$A952,PAGOS!$B:$B, BASE_CUENTAS!$C952)</f>
        <v>0</v>
      </c>
      <c r="P952" t="str">
        <f>IF(
VLOOKUP($C952,BASE_CIERRE_MES!$C:$G,5,FALSE)=0,
"Normalización",
IF(
VLOOKUP($C952,BASE_CIERRE_MES!$C:$G,5,FALSE)&lt;$H952,
"Recuperación",
IF(
VLOOKUP($C952,BASE_CIERRE_MES!$C:$G,5,FALSE)=$H952,
"Contención",
"Rodamiento"
)))</f>
        <v>Rodamiento</v>
      </c>
      <c r="Q952">
        <f t="shared" si="14"/>
        <v>0</v>
      </c>
    </row>
    <row r="953" spans="1:17" x14ac:dyDescent="0.25">
      <c r="A953">
        <v>8557950</v>
      </c>
      <c r="B953" t="s">
        <v>18</v>
      </c>
      <c r="C953">
        <v>20970930</v>
      </c>
      <c r="D953" t="s">
        <v>7</v>
      </c>
      <c r="E953">
        <v>2044550</v>
      </c>
      <c r="F953" s="2">
        <v>126022</v>
      </c>
      <c r="G953" s="2">
        <v>31426</v>
      </c>
      <c r="H953">
        <v>60</v>
      </c>
      <c r="I953" s="1">
        <v>42491</v>
      </c>
      <c r="J953" t="s">
        <v>6</v>
      </c>
      <c r="K953">
        <f>COUNTIFS(GESTIONES!$A:$A, BASE_CUENTAS!$A953, GESTIONES!$B:$B, BASE_CUENTAS!$C953)</f>
        <v>3</v>
      </c>
      <c r="L953">
        <f>COUNTIFS(GESTIONES!$A:$A, BASE_CUENTAS!$A953,GESTIONES!$B:$B, BASE_CUENTAS!$C953,GESTIONES!$E:$E, "S")</f>
        <v>1</v>
      </c>
      <c r="M953">
        <f>COUNTIFS(GESTIONES!$A:$A, BASE_CUENTAS!$A953,GESTIONES!$B:$B, BASE_CUENTAS!$C953,GESTIONES!$E:$E, "N")</f>
        <v>2</v>
      </c>
      <c r="N953">
        <f>COUNTIFS(GESTIONES!$A:$A, BASE_CUENTAS!$A953,GESTIONES!$B:$B, BASE_CUENTAS!$C953,GESTIONES!$D:$D, "SMS")</f>
        <v>1</v>
      </c>
      <c r="O953">
        <f>SUMIFS(PAGOS!$D:$D,PAGOS!$A:$A, BASE_CUENTAS!$A953,PAGOS!$B:$B, BASE_CUENTAS!$C953)</f>
        <v>0</v>
      </c>
      <c r="P953" t="str">
        <f>IF(
VLOOKUP($C953,BASE_CIERRE_MES!$C:$G,5,FALSE)=0,
"Normalización",
IF(
VLOOKUP($C953,BASE_CIERRE_MES!$C:$G,5,FALSE)&lt;$H953,
"Recuperación",
IF(
VLOOKUP($C953,BASE_CIERRE_MES!$C:$G,5,FALSE)=$H953,
"Contención",
"Rodamiento"
)))</f>
        <v>Rodamiento</v>
      </c>
      <c r="Q953">
        <f t="shared" si="14"/>
        <v>0</v>
      </c>
    </row>
    <row r="954" spans="1:17" x14ac:dyDescent="0.25">
      <c r="A954">
        <v>8558072</v>
      </c>
      <c r="B954" t="s">
        <v>18</v>
      </c>
      <c r="C954">
        <v>4392423</v>
      </c>
      <c r="D954" t="s">
        <v>7</v>
      </c>
      <c r="E954">
        <v>2632657</v>
      </c>
      <c r="F954" s="2">
        <v>1802173</v>
      </c>
      <c r="G954" s="2">
        <v>36158</v>
      </c>
      <c r="H954">
        <v>30</v>
      </c>
      <c r="I954" s="1">
        <v>42521</v>
      </c>
      <c r="J954" t="s">
        <v>4</v>
      </c>
      <c r="K954">
        <f>COUNTIFS(GESTIONES!$A:$A, BASE_CUENTAS!$A954, GESTIONES!$B:$B, BASE_CUENTAS!$C954)</f>
        <v>3</v>
      </c>
      <c r="L954">
        <f>COUNTIFS(GESTIONES!$A:$A, BASE_CUENTAS!$A954,GESTIONES!$B:$B, BASE_CUENTAS!$C954,GESTIONES!$E:$E, "S")</f>
        <v>1</v>
      </c>
      <c r="M954">
        <f>COUNTIFS(GESTIONES!$A:$A, BASE_CUENTAS!$A954,GESTIONES!$B:$B, BASE_CUENTAS!$C954,GESTIONES!$E:$E, "N")</f>
        <v>2</v>
      </c>
      <c r="N954">
        <f>COUNTIFS(GESTIONES!$A:$A, BASE_CUENTAS!$A954,GESTIONES!$B:$B, BASE_CUENTAS!$C954,GESTIONES!$D:$D, "SMS")</f>
        <v>1</v>
      </c>
      <c r="O954">
        <f>SUMIFS(PAGOS!$D:$D,PAGOS!$A:$A, BASE_CUENTAS!$A954,PAGOS!$B:$B, BASE_CUENTAS!$C954)</f>
        <v>36158</v>
      </c>
      <c r="P954" t="str">
        <f>IF(
VLOOKUP($C954,BASE_CIERRE_MES!$C:$G,5,FALSE)=0,
"Normalización",
IF(
VLOOKUP($C954,BASE_CIERRE_MES!$C:$G,5,FALSE)&lt;$H954,
"Recuperación",
IF(
VLOOKUP($C954,BASE_CIERRE_MES!$C:$G,5,FALSE)=$H954,
"Contención",
"Rodamiento"
)))</f>
        <v>Normalización</v>
      </c>
      <c r="Q954">
        <f t="shared" si="14"/>
        <v>2.0063556606385737E-2</v>
      </c>
    </row>
    <row r="955" spans="1:17" x14ac:dyDescent="0.25">
      <c r="A955">
        <v>8558124</v>
      </c>
      <c r="B955" t="s">
        <v>18</v>
      </c>
      <c r="C955">
        <v>26976651</v>
      </c>
      <c r="D955" t="s">
        <v>7</v>
      </c>
      <c r="E955">
        <v>917344</v>
      </c>
      <c r="F955" s="2">
        <v>917344</v>
      </c>
      <c r="G955" s="2">
        <v>528039</v>
      </c>
      <c r="H955">
        <v>30</v>
      </c>
      <c r="I955" s="1">
        <v>42521</v>
      </c>
      <c r="J955" t="s">
        <v>4</v>
      </c>
      <c r="K955">
        <f>COUNTIFS(GESTIONES!$A:$A, BASE_CUENTAS!$A955, GESTIONES!$B:$B, BASE_CUENTAS!$C955)</f>
        <v>3</v>
      </c>
      <c r="L955">
        <f>COUNTIFS(GESTIONES!$A:$A, BASE_CUENTAS!$A955,GESTIONES!$B:$B, BASE_CUENTAS!$C955,GESTIONES!$E:$E, "S")</f>
        <v>1</v>
      </c>
      <c r="M955">
        <f>COUNTIFS(GESTIONES!$A:$A, BASE_CUENTAS!$A955,GESTIONES!$B:$B, BASE_CUENTAS!$C955,GESTIONES!$E:$E, "N")</f>
        <v>2</v>
      </c>
      <c r="N955">
        <f>COUNTIFS(GESTIONES!$A:$A, BASE_CUENTAS!$A955,GESTIONES!$B:$B, BASE_CUENTAS!$C955,GESTIONES!$D:$D, "SMS")</f>
        <v>0</v>
      </c>
      <c r="O955">
        <f>SUMIFS(PAGOS!$D:$D,PAGOS!$A:$A, BASE_CUENTAS!$A955,PAGOS!$B:$B, BASE_CUENTAS!$C955)</f>
        <v>917344</v>
      </c>
      <c r="P955" t="str">
        <f>IF(
VLOOKUP($C955,BASE_CIERRE_MES!$C:$G,5,FALSE)=0,
"Normalización",
IF(
VLOOKUP($C955,BASE_CIERRE_MES!$C:$G,5,FALSE)&lt;$H955,
"Recuperación",
IF(
VLOOKUP($C955,BASE_CIERRE_MES!$C:$G,5,FALSE)=$H955,
"Contención",
"Rodamiento"
)))</f>
        <v>Normalización</v>
      </c>
      <c r="Q955">
        <f t="shared" si="14"/>
        <v>1</v>
      </c>
    </row>
    <row r="956" spans="1:17" x14ac:dyDescent="0.25">
      <c r="A956">
        <v>8558363</v>
      </c>
      <c r="B956" t="s">
        <v>18</v>
      </c>
      <c r="C956">
        <v>21516779</v>
      </c>
      <c r="D956" t="s">
        <v>7</v>
      </c>
      <c r="E956">
        <v>931250</v>
      </c>
      <c r="F956" s="2">
        <v>23946</v>
      </c>
      <c r="G956" s="2">
        <v>22970</v>
      </c>
      <c r="H956">
        <v>60</v>
      </c>
      <c r="I956" s="1">
        <v>42480</v>
      </c>
      <c r="J956" t="s">
        <v>6</v>
      </c>
      <c r="K956">
        <f>COUNTIFS(GESTIONES!$A:$A, BASE_CUENTAS!$A956, GESTIONES!$B:$B, BASE_CUENTAS!$C956)</f>
        <v>3</v>
      </c>
      <c r="L956">
        <f>COUNTIFS(GESTIONES!$A:$A, BASE_CUENTAS!$A956,GESTIONES!$B:$B, BASE_CUENTAS!$C956,GESTIONES!$E:$E, "S")</f>
        <v>1</v>
      </c>
      <c r="M956">
        <f>COUNTIFS(GESTIONES!$A:$A, BASE_CUENTAS!$A956,GESTIONES!$B:$B, BASE_CUENTAS!$C956,GESTIONES!$E:$E, "N")</f>
        <v>2</v>
      </c>
      <c r="N956">
        <f>COUNTIFS(GESTIONES!$A:$A, BASE_CUENTAS!$A956,GESTIONES!$B:$B, BASE_CUENTAS!$C956,GESTIONES!$D:$D, "SMS")</f>
        <v>0</v>
      </c>
      <c r="O956">
        <f>SUMIFS(PAGOS!$D:$D,PAGOS!$A:$A, BASE_CUENTAS!$A956,PAGOS!$B:$B, BASE_CUENTAS!$C956)</f>
        <v>0</v>
      </c>
      <c r="P956" t="str">
        <f>IF(
VLOOKUP($C956,BASE_CIERRE_MES!$C:$G,5,FALSE)=0,
"Normalización",
IF(
VLOOKUP($C956,BASE_CIERRE_MES!$C:$G,5,FALSE)&lt;$H956,
"Recuperación",
IF(
VLOOKUP($C956,BASE_CIERRE_MES!$C:$G,5,FALSE)=$H956,
"Contención",
"Rodamiento"
)))</f>
        <v>Rodamiento</v>
      </c>
      <c r="Q956">
        <f t="shared" si="14"/>
        <v>0</v>
      </c>
    </row>
    <row r="957" spans="1:17" x14ac:dyDescent="0.25">
      <c r="A957">
        <v>8558454</v>
      </c>
      <c r="B957" t="s">
        <v>18</v>
      </c>
      <c r="C957">
        <v>20952780</v>
      </c>
      <c r="D957" t="s">
        <v>7</v>
      </c>
      <c r="E957">
        <v>1720116</v>
      </c>
      <c r="F957" s="2">
        <v>1720116</v>
      </c>
      <c r="G957" s="2">
        <v>49175</v>
      </c>
      <c r="H957">
        <v>30</v>
      </c>
      <c r="I957" s="1">
        <v>42522</v>
      </c>
      <c r="J957" t="s">
        <v>6</v>
      </c>
      <c r="K957">
        <f>COUNTIFS(GESTIONES!$A:$A, BASE_CUENTAS!$A957, GESTIONES!$B:$B, BASE_CUENTAS!$C957)</f>
        <v>3</v>
      </c>
      <c r="L957">
        <f>COUNTIFS(GESTIONES!$A:$A, BASE_CUENTAS!$A957,GESTIONES!$B:$B, BASE_CUENTAS!$C957,GESTIONES!$E:$E, "S")</f>
        <v>0</v>
      </c>
      <c r="M957">
        <f>COUNTIFS(GESTIONES!$A:$A, BASE_CUENTAS!$A957,GESTIONES!$B:$B, BASE_CUENTAS!$C957,GESTIONES!$E:$E, "N")</f>
        <v>3</v>
      </c>
      <c r="N957">
        <f>COUNTIFS(GESTIONES!$A:$A, BASE_CUENTAS!$A957,GESTIONES!$B:$B, BASE_CUENTAS!$C957,GESTIONES!$D:$D, "SMS")</f>
        <v>2</v>
      </c>
      <c r="O957">
        <f>SUMIFS(PAGOS!$D:$D,PAGOS!$A:$A, BASE_CUENTAS!$A957,PAGOS!$B:$B, BASE_CUENTAS!$C957)</f>
        <v>0</v>
      </c>
      <c r="P957" t="str">
        <f>IF(
VLOOKUP($C957,BASE_CIERRE_MES!$C:$G,5,FALSE)=0,
"Normalización",
IF(
VLOOKUP($C957,BASE_CIERRE_MES!$C:$G,5,FALSE)&lt;$H957,
"Recuperación",
IF(
VLOOKUP($C957,BASE_CIERRE_MES!$C:$G,5,FALSE)=$H957,
"Contención",
"Rodamiento"
)))</f>
        <v>Rodamiento</v>
      </c>
      <c r="Q957">
        <f t="shared" si="14"/>
        <v>0</v>
      </c>
    </row>
    <row r="958" spans="1:17" x14ac:dyDescent="0.25">
      <c r="A958">
        <v>8558498</v>
      </c>
      <c r="B958" t="s">
        <v>18</v>
      </c>
      <c r="C958">
        <v>23317795</v>
      </c>
      <c r="D958" t="s">
        <v>7</v>
      </c>
      <c r="E958">
        <v>1289853</v>
      </c>
      <c r="F958" s="2">
        <v>1289853</v>
      </c>
      <c r="G958" s="2">
        <v>284489</v>
      </c>
      <c r="H958">
        <v>90</v>
      </c>
      <c r="I958" s="1">
        <v>42508</v>
      </c>
      <c r="J958" t="s">
        <v>6</v>
      </c>
      <c r="K958">
        <f>COUNTIFS(GESTIONES!$A:$A, BASE_CUENTAS!$A958, GESTIONES!$B:$B, BASE_CUENTAS!$C958)</f>
        <v>3</v>
      </c>
      <c r="L958">
        <f>COUNTIFS(GESTIONES!$A:$A, BASE_CUENTAS!$A958,GESTIONES!$B:$B, BASE_CUENTAS!$C958,GESTIONES!$E:$E, "S")</f>
        <v>1</v>
      </c>
      <c r="M958">
        <f>COUNTIFS(GESTIONES!$A:$A, BASE_CUENTAS!$A958,GESTIONES!$B:$B, BASE_CUENTAS!$C958,GESTIONES!$E:$E, "N")</f>
        <v>2</v>
      </c>
      <c r="N958">
        <f>COUNTIFS(GESTIONES!$A:$A, BASE_CUENTAS!$A958,GESTIONES!$B:$B, BASE_CUENTAS!$C958,GESTIONES!$D:$D, "SMS")</f>
        <v>1</v>
      </c>
      <c r="O958">
        <f>SUMIFS(PAGOS!$D:$D,PAGOS!$A:$A, BASE_CUENTAS!$A958,PAGOS!$B:$B, BASE_CUENTAS!$C958)</f>
        <v>284489</v>
      </c>
      <c r="P958" t="str">
        <f>IF(
VLOOKUP($C958,BASE_CIERRE_MES!$C:$G,5,FALSE)=0,
"Normalización",
IF(
VLOOKUP($C958,BASE_CIERRE_MES!$C:$G,5,FALSE)&lt;$H958,
"Recuperación",
IF(
VLOOKUP($C958,BASE_CIERRE_MES!$C:$G,5,FALSE)=$H958,
"Contención",
"Rodamiento"
)))</f>
        <v>Normalización</v>
      </c>
      <c r="Q958">
        <f t="shared" si="14"/>
        <v>0.22055924202215291</v>
      </c>
    </row>
    <row r="959" spans="1:17" x14ac:dyDescent="0.25">
      <c r="A959">
        <v>8558545</v>
      </c>
      <c r="B959" t="s">
        <v>16</v>
      </c>
      <c r="C959">
        <v>23658040</v>
      </c>
      <c r="D959" t="s">
        <v>7</v>
      </c>
      <c r="E959">
        <v>15969422</v>
      </c>
      <c r="F959" s="2">
        <v>1066840</v>
      </c>
      <c r="G959" s="2">
        <v>538676</v>
      </c>
      <c r="H959">
        <v>90</v>
      </c>
      <c r="I959" s="1">
        <v>42524</v>
      </c>
      <c r="J959" t="s">
        <v>6</v>
      </c>
      <c r="K959">
        <f>COUNTIFS(GESTIONES!$A:$A, BASE_CUENTAS!$A959, GESTIONES!$B:$B, BASE_CUENTAS!$C959)</f>
        <v>3</v>
      </c>
      <c r="L959">
        <f>COUNTIFS(GESTIONES!$A:$A, BASE_CUENTAS!$A959,GESTIONES!$B:$B, BASE_CUENTAS!$C959,GESTIONES!$E:$E, "S")</f>
        <v>1</v>
      </c>
      <c r="M959">
        <f>COUNTIFS(GESTIONES!$A:$A, BASE_CUENTAS!$A959,GESTIONES!$B:$B, BASE_CUENTAS!$C959,GESTIONES!$E:$E, "N")</f>
        <v>2</v>
      </c>
      <c r="N959">
        <f>COUNTIFS(GESTIONES!$A:$A, BASE_CUENTAS!$A959,GESTIONES!$B:$B, BASE_CUENTAS!$C959,GESTIONES!$D:$D, "SMS")</f>
        <v>1</v>
      </c>
      <c r="O959">
        <f>SUMIFS(PAGOS!$D:$D,PAGOS!$A:$A, BASE_CUENTAS!$A959,PAGOS!$B:$B, BASE_CUENTAS!$C959)</f>
        <v>538676</v>
      </c>
      <c r="P959" t="str">
        <f>IF(
VLOOKUP($C959,BASE_CIERRE_MES!$C:$G,5,FALSE)=0,
"Normalización",
IF(
VLOOKUP($C959,BASE_CIERRE_MES!$C:$G,5,FALSE)&lt;$H959,
"Recuperación",
IF(
VLOOKUP($C959,BASE_CIERRE_MES!$C:$G,5,FALSE)=$H959,
"Contención",
"Rodamiento"
)))</f>
        <v>Normalización</v>
      </c>
      <c r="Q959">
        <f t="shared" si="14"/>
        <v>0.5049266994113456</v>
      </c>
    </row>
    <row r="960" spans="1:17" x14ac:dyDescent="0.25">
      <c r="A960">
        <v>8558545</v>
      </c>
      <c r="B960" t="s">
        <v>16</v>
      </c>
      <c r="C960">
        <v>23658178</v>
      </c>
      <c r="D960" t="s">
        <v>7</v>
      </c>
      <c r="E960">
        <v>15969422</v>
      </c>
      <c r="F960" s="2">
        <v>2182093</v>
      </c>
      <c r="G960" s="2">
        <v>531379</v>
      </c>
      <c r="H960">
        <v>90</v>
      </c>
      <c r="I960" s="1">
        <v>42519</v>
      </c>
      <c r="J960" t="s">
        <v>6</v>
      </c>
      <c r="K960">
        <f>COUNTIFS(GESTIONES!$A:$A, BASE_CUENTAS!$A960, GESTIONES!$B:$B, BASE_CUENTAS!$C960)</f>
        <v>3</v>
      </c>
      <c r="L960">
        <f>COUNTIFS(GESTIONES!$A:$A, BASE_CUENTAS!$A960,GESTIONES!$B:$B, BASE_CUENTAS!$C960,GESTIONES!$E:$E, "S")</f>
        <v>1</v>
      </c>
      <c r="M960">
        <f>COUNTIFS(GESTIONES!$A:$A, BASE_CUENTAS!$A960,GESTIONES!$B:$B, BASE_CUENTAS!$C960,GESTIONES!$E:$E, "N")</f>
        <v>2</v>
      </c>
      <c r="N960">
        <f>COUNTIFS(GESTIONES!$A:$A, BASE_CUENTAS!$A960,GESTIONES!$B:$B, BASE_CUENTAS!$C960,GESTIONES!$D:$D, "SMS")</f>
        <v>0</v>
      </c>
      <c r="O960">
        <f>SUMIFS(PAGOS!$D:$D,PAGOS!$A:$A, BASE_CUENTAS!$A960,PAGOS!$B:$B, BASE_CUENTAS!$C960)</f>
        <v>0</v>
      </c>
      <c r="P960" t="str">
        <f>IF(
VLOOKUP($C960,BASE_CIERRE_MES!$C:$G,5,FALSE)=0,
"Normalización",
IF(
VLOOKUP($C960,BASE_CIERRE_MES!$C:$G,5,FALSE)&lt;$H960,
"Recuperación",
IF(
VLOOKUP($C960,BASE_CIERRE_MES!$C:$G,5,FALSE)=$H960,
"Contención",
"Rodamiento"
)))</f>
        <v>Rodamiento</v>
      </c>
      <c r="Q960">
        <f t="shared" si="14"/>
        <v>0</v>
      </c>
    </row>
    <row r="961" spans="1:17" x14ac:dyDescent="0.25">
      <c r="A961">
        <v>8558545</v>
      </c>
      <c r="B961" t="s">
        <v>16</v>
      </c>
      <c r="C961">
        <v>26572022</v>
      </c>
      <c r="D961" t="s">
        <v>14</v>
      </c>
      <c r="E961">
        <v>15969422</v>
      </c>
      <c r="F961" s="2">
        <v>11653650</v>
      </c>
      <c r="G961" s="2">
        <v>1212100</v>
      </c>
      <c r="H961">
        <v>32</v>
      </c>
      <c r="I961" s="1">
        <v>42519</v>
      </c>
      <c r="J961" t="s">
        <v>6</v>
      </c>
      <c r="K961">
        <f>COUNTIFS(GESTIONES!$A:$A, BASE_CUENTAS!$A961, GESTIONES!$B:$B, BASE_CUENTAS!$C961)</f>
        <v>3</v>
      </c>
      <c r="L961">
        <f>COUNTIFS(GESTIONES!$A:$A, BASE_CUENTAS!$A961,GESTIONES!$B:$B, BASE_CUENTAS!$C961,GESTIONES!$E:$E, "S")</f>
        <v>2</v>
      </c>
      <c r="M961">
        <f>COUNTIFS(GESTIONES!$A:$A, BASE_CUENTAS!$A961,GESTIONES!$B:$B, BASE_CUENTAS!$C961,GESTIONES!$E:$E, "N")</f>
        <v>1</v>
      </c>
      <c r="N961">
        <f>COUNTIFS(GESTIONES!$A:$A, BASE_CUENTAS!$A961,GESTIONES!$B:$B, BASE_CUENTAS!$C961,GESTIONES!$D:$D, "SMS")</f>
        <v>0</v>
      </c>
      <c r="O961">
        <f>SUMIFS(PAGOS!$D:$D,PAGOS!$A:$A, BASE_CUENTAS!$A961,PAGOS!$B:$B, BASE_CUENTAS!$C961)</f>
        <v>1212100</v>
      </c>
      <c r="P961" t="str">
        <f>IF(
VLOOKUP($C961,BASE_CIERRE_MES!$C:$G,5,FALSE)=0,
"Normalización",
IF(
VLOOKUP($C961,BASE_CIERRE_MES!$C:$G,5,FALSE)&lt;$H961,
"Recuperación",
IF(
VLOOKUP($C961,BASE_CIERRE_MES!$C:$G,5,FALSE)=$H961,
"Contención",
"Rodamiento"
)))</f>
        <v>Normalización</v>
      </c>
      <c r="Q961">
        <f t="shared" si="14"/>
        <v>0.1040103315270323</v>
      </c>
    </row>
    <row r="962" spans="1:17" x14ac:dyDescent="0.25">
      <c r="A962">
        <v>8558545</v>
      </c>
      <c r="B962" t="s">
        <v>16</v>
      </c>
      <c r="C962">
        <v>28583662</v>
      </c>
      <c r="D962" t="s">
        <v>7</v>
      </c>
      <c r="E962">
        <v>15969422</v>
      </c>
      <c r="F962" s="2">
        <v>1066840</v>
      </c>
      <c r="G962" s="2">
        <v>538676</v>
      </c>
      <c r="H962">
        <v>90</v>
      </c>
      <c r="I962" s="1">
        <v>42523</v>
      </c>
      <c r="J962" t="s">
        <v>6</v>
      </c>
      <c r="K962">
        <f>COUNTIFS(GESTIONES!$A:$A, BASE_CUENTAS!$A962, GESTIONES!$B:$B, BASE_CUENTAS!$C962)</f>
        <v>3</v>
      </c>
      <c r="L962">
        <f>COUNTIFS(GESTIONES!$A:$A, BASE_CUENTAS!$A962,GESTIONES!$B:$B, BASE_CUENTAS!$C962,GESTIONES!$E:$E, "S")</f>
        <v>1</v>
      </c>
      <c r="M962">
        <f>COUNTIFS(GESTIONES!$A:$A, BASE_CUENTAS!$A962,GESTIONES!$B:$B, BASE_CUENTAS!$C962,GESTIONES!$E:$E, "N")</f>
        <v>2</v>
      </c>
      <c r="N962">
        <f>COUNTIFS(GESTIONES!$A:$A, BASE_CUENTAS!$A962,GESTIONES!$B:$B, BASE_CUENTAS!$C962,GESTIONES!$D:$D, "SMS")</f>
        <v>1</v>
      </c>
      <c r="O962">
        <f>SUMIFS(PAGOS!$D:$D,PAGOS!$A:$A, BASE_CUENTAS!$A962,PAGOS!$B:$B, BASE_CUENTAS!$C962)</f>
        <v>1066840</v>
      </c>
      <c r="P962" t="str">
        <f>IF(
VLOOKUP($C962,BASE_CIERRE_MES!$C:$G,5,FALSE)=0,
"Normalización",
IF(
VLOOKUP($C962,BASE_CIERRE_MES!$C:$G,5,FALSE)&lt;$H962,
"Recuperación",
IF(
VLOOKUP($C962,BASE_CIERRE_MES!$C:$G,5,FALSE)=$H962,
"Contención",
"Rodamiento"
)))</f>
        <v>Normalización</v>
      </c>
      <c r="Q962">
        <f t="shared" si="14"/>
        <v>1</v>
      </c>
    </row>
    <row r="963" spans="1:17" x14ac:dyDescent="0.25">
      <c r="A963">
        <v>8558638</v>
      </c>
      <c r="B963" t="s">
        <v>17</v>
      </c>
      <c r="C963">
        <v>25961154</v>
      </c>
      <c r="D963" t="s">
        <v>7</v>
      </c>
      <c r="E963">
        <v>3687302</v>
      </c>
      <c r="F963" s="2">
        <v>360719</v>
      </c>
      <c r="G963" s="2">
        <v>75854</v>
      </c>
      <c r="H963">
        <v>30</v>
      </c>
      <c r="I963" s="1">
        <v>42508</v>
      </c>
      <c r="J963" t="s">
        <v>6</v>
      </c>
      <c r="K963">
        <f>COUNTIFS(GESTIONES!$A:$A, BASE_CUENTAS!$A963, GESTIONES!$B:$B, BASE_CUENTAS!$C963)</f>
        <v>3</v>
      </c>
      <c r="L963">
        <f>COUNTIFS(GESTIONES!$A:$A, BASE_CUENTAS!$A963,GESTIONES!$B:$B, BASE_CUENTAS!$C963,GESTIONES!$E:$E, "S")</f>
        <v>0</v>
      </c>
      <c r="M963">
        <f>COUNTIFS(GESTIONES!$A:$A, BASE_CUENTAS!$A963,GESTIONES!$B:$B, BASE_CUENTAS!$C963,GESTIONES!$E:$E, "N")</f>
        <v>3</v>
      </c>
      <c r="N963">
        <f>COUNTIFS(GESTIONES!$A:$A, BASE_CUENTAS!$A963,GESTIONES!$B:$B, BASE_CUENTAS!$C963,GESTIONES!$D:$D, "SMS")</f>
        <v>1</v>
      </c>
      <c r="O963">
        <f>SUMIFS(PAGOS!$D:$D,PAGOS!$A:$A, BASE_CUENTAS!$A963,PAGOS!$B:$B, BASE_CUENTAS!$C963)</f>
        <v>360719</v>
      </c>
      <c r="P963" t="str">
        <f>IF(
VLOOKUP($C963,BASE_CIERRE_MES!$C:$G,5,FALSE)=0,
"Normalización",
IF(
VLOOKUP($C963,BASE_CIERRE_MES!$C:$G,5,FALSE)&lt;$H963,
"Recuperación",
IF(
VLOOKUP($C963,BASE_CIERRE_MES!$C:$G,5,FALSE)=$H963,
"Contención",
"Rodamiento"
)))</f>
        <v>Normalización</v>
      </c>
      <c r="Q963">
        <f t="shared" ref="Q963:Q971" si="15">IF(F963=0,0,VALUE(O963)/VALUE(F963))</f>
        <v>1</v>
      </c>
    </row>
    <row r="964" spans="1:17" x14ac:dyDescent="0.25">
      <c r="A964">
        <v>8558638</v>
      </c>
      <c r="B964" t="s">
        <v>17</v>
      </c>
      <c r="C964">
        <v>25962746</v>
      </c>
      <c r="D964" t="s">
        <v>7</v>
      </c>
      <c r="E964">
        <v>3687302</v>
      </c>
      <c r="F964" s="2">
        <v>124370</v>
      </c>
      <c r="G964" s="2">
        <v>21760</v>
      </c>
      <c r="H964">
        <v>30</v>
      </c>
      <c r="I964" s="1">
        <v>42509</v>
      </c>
      <c r="J964" t="s">
        <v>6</v>
      </c>
      <c r="K964">
        <f>COUNTIFS(GESTIONES!$A:$A, BASE_CUENTAS!$A964, GESTIONES!$B:$B, BASE_CUENTAS!$C964)</f>
        <v>3</v>
      </c>
      <c r="L964">
        <f>COUNTIFS(GESTIONES!$A:$A, BASE_CUENTAS!$A964,GESTIONES!$B:$B, BASE_CUENTAS!$C964,GESTIONES!$E:$E, "S")</f>
        <v>1</v>
      </c>
      <c r="M964">
        <f>COUNTIFS(GESTIONES!$A:$A, BASE_CUENTAS!$A964,GESTIONES!$B:$B, BASE_CUENTAS!$C964,GESTIONES!$E:$E, "N")</f>
        <v>2</v>
      </c>
      <c r="N964">
        <f>COUNTIFS(GESTIONES!$A:$A, BASE_CUENTAS!$A964,GESTIONES!$B:$B, BASE_CUENTAS!$C964,GESTIONES!$D:$D, "SMS")</f>
        <v>2</v>
      </c>
      <c r="O964">
        <f>SUMIFS(PAGOS!$D:$D,PAGOS!$A:$A, BASE_CUENTAS!$A964,PAGOS!$B:$B, BASE_CUENTAS!$C964)</f>
        <v>21760</v>
      </c>
      <c r="P964" t="str">
        <f>IF(
VLOOKUP($C964,BASE_CIERRE_MES!$C:$G,5,FALSE)=0,
"Normalización",
IF(
VLOOKUP($C964,BASE_CIERRE_MES!$C:$G,5,FALSE)&lt;$H964,
"Recuperación",
IF(
VLOOKUP($C964,BASE_CIERRE_MES!$C:$G,5,FALSE)=$H964,
"Contención",
"Rodamiento"
)))</f>
        <v>Normalización</v>
      </c>
      <c r="Q964">
        <f t="shared" si="15"/>
        <v>0.17496180750984963</v>
      </c>
    </row>
    <row r="965" spans="1:17" x14ac:dyDescent="0.25">
      <c r="A965">
        <v>8558638</v>
      </c>
      <c r="B965" t="s">
        <v>17</v>
      </c>
      <c r="C965">
        <v>25963644</v>
      </c>
      <c r="D965" t="s">
        <v>7</v>
      </c>
      <c r="E965">
        <v>3687302</v>
      </c>
      <c r="F965" s="2">
        <v>1086116</v>
      </c>
      <c r="G965" s="2">
        <v>140128</v>
      </c>
      <c r="H965">
        <v>30</v>
      </c>
      <c r="I965" s="1">
        <v>42508</v>
      </c>
      <c r="J965" t="s">
        <v>6</v>
      </c>
      <c r="K965">
        <f>COUNTIFS(GESTIONES!$A:$A, BASE_CUENTAS!$A965, GESTIONES!$B:$B, BASE_CUENTAS!$C965)</f>
        <v>3</v>
      </c>
      <c r="L965">
        <f>COUNTIFS(GESTIONES!$A:$A, BASE_CUENTAS!$A965,GESTIONES!$B:$B, BASE_CUENTAS!$C965,GESTIONES!$E:$E, "S")</f>
        <v>1</v>
      </c>
      <c r="M965">
        <f>COUNTIFS(GESTIONES!$A:$A, BASE_CUENTAS!$A965,GESTIONES!$B:$B, BASE_CUENTAS!$C965,GESTIONES!$E:$E, "N")</f>
        <v>2</v>
      </c>
      <c r="N965">
        <f>COUNTIFS(GESTIONES!$A:$A, BASE_CUENTAS!$A965,GESTIONES!$B:$B, BASE_CUENTAS!$C965,GESTIONES!$D:$D, "SMS")</f>
        <v>0</v>
      </c>
      <c r="O965">
        <f>SUMIFS(PAGOS!$D:$D,PAGOS!$A:$A, BASE_CUENTAS!$A965,PAGOS!$B:$B, BASE_CUENTAS!$C965)</f>
        <v>70064</v>
      </c>
      <c r="P965" t="str">
        <f>IF(
VLOOKUP($C965,BASE_CIERRE_MES!$C:$G,5,FALSE)=0,
"Normalización",
IF(
VLOOKUP($C965,BASE_CIERRE_MES!$C:$G,5,FALSE)&lt;$H965,
"Recuperación",
IF(
VLOOKUP($C965,BASE_CIERRE_MES!$C:$G,5,FALSE)=$H965,
"Contención",
"Rodamiento"
)))</f>
        <v>Recuperación</v>
      </c>
      <c r="Q965">
        <f t="shared" si="15"/>
        <v>6.4508763336512856E-2</v>
      </c>
    </row>
    <row r="966" spans="1:17" x14ac:dyDescent="0.25">
      <c r="A966">
        <v>8558664</v>
      </c>
      <c r="B966" t="s">
        <v>17</v>
      </c>
      <c r="C966">
        <v>16084697</v>
      </c>
      <c r="D966" t="s">
        <v>7</v>
      </c>
      <c r="E966">
        <v>4779140</v>
      </c>
      <c r="F966" s="2">
        <v>910114</v>
      </c>
      <c r="G966" s="2">
        <v>121857</v>
      </c>
      <c r="H966">
        <v>30</v>
      </c>
      <c r="I966" s="1">
        <v>42508</v>
      </c>
      <c r="J966" t="s">
        <v>6</v>
      </c>
      <c r="K966">
        <f>COUNTIFS(GESTIONES!$A:$A, BASE_CUENTAS!$A966, GESTIONES!$B:$B, BASE_CUENTAS!$C966)</f>
        <v>3</v>
      </c>
      <c r="L966">
        <f>COUNTIFS(GESTIONES!$A:$A, BASE_CUENTAS!$A966,GESTIONES!$B:$B, BASE_CUENTAS!$C966,GESTIONES!$E:$E, "S")</f>
        <v>1</v>
      </c>
      <c r="M966">
        <f>COUNTIFS(GESTIONES!$A:$A, BASE_CUENTAS!$A966,GESTIONES!$B:$B, BASE_CUENTAS!$C966,GESTIONES!$E:$E, "N")</f>
        <v>2</v>
      </c>
      <c r="N966">
        <f>COUNTIFS(GESTIONES!$A:$A, BASE_CUENTAS!$A966,GESTIONES!$B:$B, BASE_CUENTAS!$C966,GESTIONES!$D:$D, "SMS")</f>
        <v>0</v>
      </c>
      <c r="O966">
        <f>SUMIFS(PAGOS!$D:$D,PAGOS!$A:$A, BASE_CUENTAS!$A966,PAGOS!$B:$B, BASE_CUENTAS!$C966)</f>
        <v>0</v>
      </c>
      <c r="P966" t="str">
        <f>IF(
VLOOKUP($C966,BASE_CIERRE_MES!$C:$G,5,FALSE)=0,
"Normalización",
IF(
VLOOKUP($C966,BASE_CIERRE_MES!$C:$G,5,FALSE)&lt;$H966,
"Recuperación",
IF(
VLOOKUP($C966,BASE_CIERRE_MES!$C:$G,5,FALSE)=$H966,
"Contención",
"Rodamiento"
)))</f>
        <v>Rodamiento</v>
      </c>
      <c r="Q966">
        <f t="shared" si="15"/>
        <v>0</v>
      </c>
    </row>
    <row r="967" spans="1:17" x14ac:dyDescent="0.25">
      <c r="A967">
        <v>8558664</v>
      </c>
      <c r="B967" t="s">
        <v>17</v>
      </c>
      <c r="C967">
        <v>20541812</v>
      </c>
      <c r="D967" t="s">
        <v>7</v>
      </c>
      <c r="E967">
        <v>4779140</v>
      </c>
      <c r="F967" s="2">
        <v>1722950</v>
      </c>
      <c r="G967" s="2">
        <v>226652</v>
      </c>
      <c r="H967">
        <v>30</v>
      </c>
      <c r="I967" s="1">
        <v>42508</v>
      </c>
      <c r="J967" t="s">
        <v>6</v>
      </c>
      <c r="K967">
        <f>COUNTIFS(GESTIONES!$A:$A, BASE_CUENTAS!$A967, GESTIONES!$B:$B, BASE_CUENTAS!$C967)</f>
        <v>3</v>
      </c>
      <c r="L967">
        <f>COUNTIFS(GESTIONES!$A:$A, BASE_CUENTAS!$A967,GESTIONES!$B:$B, BASE_CUENTAS!$C967,GESTIONES!$E:$E, "S")</f>
        <v>1</v>
      </c>
      <c r="M967">
        <f>COUNTIFS(GESTIONES!$A:$A, BASE_CUENTAS!$A967,GESTIONES!$B:$B, BASE_CUENTAS!$C967,GESTIONES!$E:$E, "N")</f>
        <v>2</v>
      </c>
      <c r="N967">
        <f>COUNTIFS(GESTIONES!$A:$A, BASE_CUENTAS!$A967,GESTIONES!$B:$B, BASE_CUENTAS!$C967,GESTIONES!$D:$D, "SMS")</f>
        <v>1</v>
      </c>
      <c r="O967">
        <f>SUMIFS(PAGOS!$D:$D,PAGOS!$A:$A, BASE_CUENTAS!$A967,PAGOS!$B:$B, BASE_CUENTAS!$C967)</f>
        <v>0</v>
      </c>
      <c r="P967" t="str">
        <f>IF(
VLOOKUP($C967,BASE_CIERRE_MES!$C:$G,5,FALSE)=0,
"Normalización",
IF(
VLOOKUP($C967,BASE_CIERRE_MES!$C:$G,5,FALSE)&lt;$H967,
"Recuperación",
IF(
VLOOKUP($C967,BASE_CIERRE_MES!$C:$G,5,FALSE)=$H967,
"Contención",
"Rodamiento"
)))</f>
        <v>Rodamiento</v>
      </c>
      <c r="Q967">
        <f t="shared" si="15"/>
        <v>0</v>
      </c>
    </row>
    <row r="968" spans="1:17" x14ac:dyDescent="0.25">
      <c r="A968">
        <v>8558900</v>
      </c>
      <c r="B968" t="s">
        <v>18</v>
      </c>
      <c r="C968">
        <v>25301860</v>
      </c>
      <c r="D968" t="s">
        <v>7</v>
      </c>
      <c r="E968">
        <v>5271255</v>
      </c>
      <c r="F968" s="2">
        <v>2707230</v>
      </c>
      <c r="G968" s="2">
        <v>109945</v>
      </c>
      <c r="H968">
        <v>30</v>
      </c>
      <c r="I968" s="1">
        <v>42521</v>
      </c>
      <c r="J968" t="s">
        <v>4</v>
      </c>
      <c r="K968">
        <f>COUNTIFS(GESTIONES!$A:$A, BASE_CUENTAS!$A968, GESTIONES!$B:$B, BASE_CUENTAS!$C968)</f>
        <v>3</v>
      </c>
      <c r="L968">
        <f>COUNTIFS(GESTIONES!$A:$A, BASE_CUENTAS!$A968,GESTIONES!$B:$B, BASE_CUENTAS!$C968,GESTIONES!$E:$E, "S")</f>
        <v>0</v>
      </c>
      <c r="M968">
        <f>COUNTIFS(GESTIONES!$A:$A, BASE_CUENTAS!$A968,GESTIONES!$B:$B, BASE_CUENTAS!$C968,GESTIONES!$E:$E, "N")</f>
        <v>3</v>
      </c>
      <c r="N968">
        <f>COUNTIFS(GESTIONES!$A:$A, BASE_CUENTAS!$A968,GESTIONES!$B:$B, BASE_CUENTAS!$C968,GESTIONES!$D:$D, "SMS")</f>
        <v>1</v>
      </c>
      <c r="O968">
        <f>SUMIFS(PAGOS!$D:$D,PAGOS!$A:$A, BASE_CUENTAS!$A968,PAGOS!$B:$B, BASE_CUENTAS!$C968)</f>
        <v>36649</v>
      </c>
      <c r="P968" t="str">
        <f>IF(
VLOOKUP($C968,BASE_CIERRE_MES!$C:$G,5,FALSE)=0,
"Normalización",
IF(
VLOOKUP($C968,BASE_CIERRE_MES!$C:$G,5,FALSE)&lt;$H968,
"Recuperación",
IF(
VLOOKUP($C968,BASE_CIERRE_MES!$C:$G,5,FALSE)=$H968,
"Contención",
"Rodamiento"
)))</f>
        <v>Contención</v>
      </c>
      <c r="Q968">
        <f t="shared" si="15"/>
        <v>1.3537453411789911E-2</v>
      </c>
    </row>
    <row r="969" spans="1:17" x14ac:dyDescent="0.25">
      <c r="A969">
        <v>8559026</v>
      </c>
      <c r="B969" t="s">
        <v>16</v>
      </c>
      <c r="C969">
        <v>25923877</v>
      </c>
      <c r="D969" t="s">
        <v>10</v>
      </c>
      <c r="E969">
        <v>30064054</v>
      </c>
      <c r="F969" s="2">
        <v>944084</v>
      </c>
      <c r="G969" s="2">
        <v>944084</v>
      </c>
      <c r="H969">
        <v>68</v>
      </c>
      <c r="I969" s="1">
        <v>42477</v>
      </c>
      <c r="J969" t="s">
        <v>5</v>
      </c>
      <c r="K969">
        <f>COUNTIFS(GESTIONES!$A:$A, BASE_CUENTAS!$A969, GESTIONES!$B:$B, BASE_CUENTAS!$C969)</f>
        <v>3</v>
      </c>
      <c r="L969">
        <f>COUNTIFS(GESTIONES!$A:$A, BASE_CUENTAS!$A969,GESTIONES!$B:$B, BASE_CUENTAS!$C969,GESTIONES!$E:$E, "S")</f>
        <v>1</v>
      </c>
      <c r="M969">
        <f>COUNTIFS(GESTIONES!$A:$A, BASE_CUENTAS!$A969,GESTIONES!$B:$B, BASE_CUENTAS!$C969,GESTIONES!$E:$E, "N")</f>
        <v>2</v>
      </c>
      <c r="N969">
        <f>COUNTIFS(GESTIONES!$A:$A, BASE_CUENTAS!$A969,GESTIONES!$B:$B, BASE_CUENTAS!$C969,GESTIONES!$D:$D, "SMS")</f>
        <v>2</v>
      </c>
      <c r="O969">
        <f>SUMIFS(PAGOS!$D:$D,PAGOS!$A:$A, BASE_CUENTAS!$A969,PAGOS!$B:$B, BASE_CUENTAS!$C969)</f>
        <v>472042</v>
      </c>
      <c r="P969" t="str">
        <f>IF(
VLOOKUP($C969,BASE_CIERRE_MES!$C:$G,5,FALSE)=0,
"Normalización",
IF(
VLOOKUP($C969,BASE_CIERRE_MES!$C:$G,5,FALSE)&lt;$H969,
"Recuperación",
IF(
VLOOKUP($C969,BASE_CIERRE_MES!$C:$G,5,FALSE)=$H969,
"Contención",
"Rodamiento"
)))</f>
        <v>Recuperación</v>
      </c>
      <c r="Q969">
        <f t="shared" si="15"/>
        <v>0.5</v>
      </c>
    </row>
    <row r="970" spans="1:17" x14ac:dyDescent="0.25">
      <c r="A970">
        <v>8559026</v>
      </c>
      <c r="B970" t="s">
        <v>16</v>
      </c>
      <c r="C970">
        <v>25934012</v>
      </c>
      <c r="D970" t="s">
        <v>9</v>
      </c>
      <c r="E970">
        <v>30064054</v>
      </c>
      <c r="F970" s="2">
        <v>17725202</v>
      </c>
      <c r="G970" s="2">
        <v>1447899</v>
      </c>
      <c r="H970">
        <v>20</v>
      </c>
      <c r="I970" s="1">
        <v>42510</v>
      </c>
      <c r="J970" t="s">
        <v>5</v>
      </c>
      <c r="K970">
        <f>COUNTIFS(GESTIONES!$A:$A, BASE_CUENTAS!$A970, GESTIONES!$B:$B, BASE_CUENTAS!$C970)</f>
        <v>3</v>
      </c>
      <c r="L970">
        <f>COUNTIFS(GESTIONES!$A:$A, BASE_CUENTAS!$A970,GESTIONES!$B:$B, BASE_CUENTAS!$C970,GESTIONES!$E:$E, "S")</f>
        <v>1</v>
      </c>
      <c r="M970">
        <f>COUNTIFS(GESTIONES!$A:$A, BASE_CUENTAS!$A970,GESTIONES!$B:$B, BASE_CUENTAS!$C970,GESTIONES!$E:$E, "N")</f>
        <v>2</v>
      </c>
      <c r="N970">
        <f>COUNTIFS(GESTIONES!$A:$A, BASE_CUENTAS!$A970,GESTIONES!$B:$B, BASE_CUENTAS!$C970,GESTIONES!$D:$D, "SMS")</f>
        <v>0</v>
      </c>
      <c r="O970">
        <f>SUMIFS(PAGOS!$D:$D,PAGOS!$A:$A, BASE_CUENTAS!$A970,PAGOS!$B:$B, BASE_CUENTAS!$C970)</f>
        <v>723950</v>
      </c>
      <c r="P970" t="str">
        <f>IF(
VLOOKUP($C970,BASE_CIERRE_MES!$C:$G,5,FALSE)=0,
"Normalización",
IF(
VLOOKUP($C970,BASE_CIERRE_MES!$C:$G,5,FALSE)&lt;$H970,
"Recuperación",
IF(
VLOOKUP($C970,BASE_CIERRE_MES!$C:$G,5,FALSE)=$H970,
"Contención",
"Rodamiento"
)))</f>
        <v>Recuperación</v>
      </c>
      <c r="Q970">
        <f t="shared" si="15"/>
        <v>4.0842976006705028E-2</v>
      </c>
    </row>
    <row r="971" spans="1:17" x14ac:dyDescent="0.25">
      <c r="A971">
        <v>8559026</v>
      </c>
      <c r="B971" t="s">
        <v>16</v>
      </c>
      <c r="C971">
        <v>25942733</v>
      </c>
      <c r="D971" t="s">
        <v>7</v>
      </c>
      <c r="E971">
        <v>30064054</v>
      </c>
      <c r="F971" s="2">
        <v>2071620</v>
      </c>
      <c r="G971" s="2">
        <v>537367</v>
      </c>
      <c r="H971">
        <v>60</v>
      </c>
      <c r="I971" s="1">
        <v>42480</v>
      </c>
      <c r="J971" t="s">
        <v>5</v>
      </c>
      <c r="K971">
        <f>COUNTIFS(GESTIONES!$A:$A, BASE_CUENTAS!$A971, GESTIONES!$B:$B, BASE_CUENTAS!$C971)</f>
        <v>3</v>
      </c>
      <c r="L971">
        <f>COUNTIFS(GESTIONES!$A:$A, BASE_CUENTAS!$A971,GESTIONES!$B:$B, BASE_CUENTAS!$C971,GESTIONES!$E:$E, "S")</f>
        <v>1</v>
      </c>
      <c r="M971">
        <f>COUNTIFS(GESTIONES!$A:$A, BASE_CUENTAS!$A971,GESTIONES!$B:$B, BASE_CUENTAS!$C971,GESTIONES!$E:$E, "N")</f>
        <v>2</v>
      </c>
      <c r="N971">
        <f>COUNTIFS(GESTIONES!$A:$A, BASE_CUENTAS!$A971,GESTIONES!$B:$B, BASE_CUENTAS!$C971,GESTIONES!$D:$D, "SMS")</f>
        <v>0</v>
      </c>
      <c r="O971">
        <f>SUMIFS(PAGOS!$D:$D,PAGOS!$A:$A, BASE_CUENTAS!$A971,PAGOS!$B:$B, BASE_CUENTAS!$C971)</f>
        <v>0</v>
      </c>
      <c r="P971" t="str">
        <f>IF(
VLOOKUP($C971,BASE_CIERRE_MES!$C:$G,5,FALSE)=0,
"Normalización",
IF(
VLOOKUP($C971,BASE_CIERRE_MES!$C:$G,5,FALSE)&lt;$H971,
"Recuperación",
IF(
VLOOKUP($C971,BASE_CIERRE_MES!$C:$G,5,FALSE)=$H971,
"Contención",
"Rodamiento"
)))</f>
        <v>Rodamiento</v>
      </c>
      <c r="Q971">
        <f t="shared" si="15"/>
        <v>0</v>
      </c>
    </row>
  </sheetData>
  <pageMargins left="0.7" right="0.7" top="0.75" bottom="0.75" header="0.3" footer="0.3"/>
  <pageSetup orientation="portrait" verticalDpi="599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2911"/>
  <sheetViews>
    <sheetView workbookViewId="0">
      <selection activeCell="H13" sqref="H13"/>
    </sheetView>
  </sheetViews>
  <sheetFormatPr baseColWidth="10" defaultRowHeight="15" x14ac:dyDescent="0.25"/>
  <cols>
    <col min="1" max="1" width="17" customWidth="1"/>
    <col min="2" max="2" width="22.5703125" customWidth="1"/>
    <col min="3" max="4" width="21.42578125" customWidth="1"/>
    <col min="5" max="5" width="19.140625" bestFit="1" customWidth="1"/>
  </cols>
  <sheetData>
    <row r="1" spans="1:5" x14ac:dyDescent="0.25">
      <c r="A1" t="s">
        <v>0</v>
      </c>
      <c r="B1" t="s">
        <v>2</v>
      </c>
      <c r="C1" t="s">
        <v>31</v>
      </c>
      <c r="D1" t="s">
        <v>29</v>
      </c>
      <c r="E1" t="s">
        <v>47</v>
      </c>
    </row>
    <row r="2" spans="1:5" x14ac:dyDescent="0.25">
      <c r="A2">
        <v>8085392</v>
      </c>
      <c r="B2">
        <v>27892052</v>
      </c>
      <c r="C2" s="1">
        <v>42522</v>
      </c>
      <c r="D2" t="s">
        <v>26</v>
      </c>
      <c r="E2" t="str">
        <f>VLOOKUP(TRIM(D2), Catalogo_gestiones!$A:$B, 2, FALSE)</f>
        <v>N</v>
      </c>
    </row>
    <row r="3" spans="1:5" x14ac:dyDescent="0.25">
      <c r="A3">
        <v>8085687</v>
      </c>
      <c r="B3">
        <v>27777136</v>
      </c>
      <c r="C3" s="1">
        <v>42522</v>
      </c>
      <c r="D3" t="s">
        <v>34</v>
      </c>
      <c r="E3" t="str">
        <f>VLOOKUP(TRIM(D3), Catalogo_gestiones!$A:$B, 2, FALSE)</f>
        <v>N</v>
      </c>
    </row>
    <row r="4" spans="1:5" x14ac:dyDescent="0.25">
      <c r="A4">
        <v>8085706</v>
      </c>
      <c r="B4">
        <v>25794246</v>
      </c>
      <c r="C4" s="1">
        <v>42522</v>
      </c>
      <c r="D4" t="s">
        <v>26</v>
      </c>
      <c r="E4" t="str">
        <f>VLOOKUP(TRIM(D4), Catalogo_gestiones!$A:$B, 2, FALSE)</f>
        <v>N</v>
      </c>
    </row>
    <row r="5" spans="1:5" x14ac:dyDescent="0.25">
      <c r="A5">
        <v>8088495</v>
      </c>
      <c r="B5">
        <v>21175250</v>
      </c>
      <c r="C5" s="1">
        <v>42522</v>
      </c>
      <c r="D5" t="s">
        <v>25</v>
      </c>
      <c r="E5" t="str">
        <f>VLOOKUP(TRIM(D5), Catalogo_gestiones!$A:$B, 2, FALSE)</f>
        <v>N</v>
      </c>
    </row>
    <row r="6" spans="1:5" x14ac:dyDescent="0.25">
      <c r="A6">
        <v>8088495</v>
      </c>
      <c r="B6">
        <v>25700352</v>
      </c>
      <c r="C6" s="1">
        <v>42522</v>
      </c>
      <c r="D6" t="s">
        <v>28</v>
      </c>
      <c r="E6" t="str">
        <f>VLOOKUP(TRIM(D6), Catalogo_gestiones!$A:$B, 2, FALSE)</f>
        <v>N</v>
      </c>
    </row>
    <row r="7" spans="1:5" x14ac:dyDescent="0.25">
      <c r="A7">
        <v>8088899</v>
      </c>
      <c r="B7">
        <v>26370037</v>
      </c>
      <c r="C7" s="1">
        <v>42522</v>
      </c>
      <c r="D7" t="s">
        <v>26</v>
      </c>
      <c r="E7" t="str">
        <f>VLOOKUP(TRIM(D7), Catalogo_gestiones!$A:$B, 2, FALSE)</f>
        <v>N</v>
      </c>
    </row>
    <row r="8" spans="1:5" x14ac:dyDescent="0.25">
      <c r="A8">
        <v>8089371</v>
      </c>
      <c r="B8">
        <v>21887785</v>
      </c>
      <c r="C8" s="1">
        <v>42522</v>
      </c>
      <c r="D8" t="s">
        <v>34</v>
      </c>
      <c r="E8" t="str">
        <f>VLOOKUP(TRIM(D8), Catalogo_gestiones!$A:$B, 2, FALSE)</f>
        <v>N</v>
      </c>
    </row>
    <row r="9" spans="1:5" x14ac:dyDescent="0.25">
      <c r="A9">
        <v>8089371</v>
      </c>
      <c r="B9">
        <v>24378718</v>
      </c>
      <c r="C9" s="1">
        <v>42522</v>
      </c>
      <c r="D9" t="s">
        <v>26</v>
      </c>
      <c r="E9" t="str">
        <f>VLOOKUP(TRIM(D9), Catalogo_gestiones!$A:$B, 2, FALSE)</f>
        <v>N</v>
      </c>
    </row>
    <row r="10" spans="1:5" x14ac:dyDescent="0.25">
      <c r="A10">
        <v>8089696</v>
      </c>
      <c r="B10">
        <v>16084748</v>
      </c>
      <c r="C10" s="1">
        <v>42522</v>
      </c>
      <c r="D10" t="s">
        <v>25</v>
      </c>
      <c r="E10" t="str">
        <f>VLOOKUP(TRIM(D10), Catalogo_gestiones!$A:$B, 2, FALSE)</f>
        <v>N</v>
      </c>
    </row>
    <row r="11" spans="1:5" x14ac:dyDescent="0.25">
      <c r="A11">
        <v>8089696</v>
      </c>
      <c r="B11">
        <v>20145473</v>
      </c>
      <c r="C11" s="1">
        <v>42522</v>
      </c>
      <c r="D11" t="s">
        <v>28</v>
      </c>
      <c r="E11" t="str">
        <f>VLOOKUP(TRIM(D11), Catalogo_gestiones!$A:$B, 2, FALSE)</f>
        <v>N</v>
      </c>
    </row>
    <row r="12" spans="1:5" x14ac:dyDescent="0.25">
      <c r="A12">
        <v>8089696</v>
      </c>
      <c r="B12">
        <v>20146321</v>
      </c>
      <c r="C12" s="1">
        <v>42522</v>
      </c>
      <c r="D12" t="s">
        <v>26</v>
      </c>
      <c r="E12" t="str">
        <f>VLOOKUP(TRIM(D12), Catalogo_gestiones!$A:$B, 2, FALSE)</f>
        <v>N</v>
      </c>
    </row>
    <row r="13" spans="1:5" x14ac:dyDescent="0.25">
      <c r="A13">
        <v>8089801</v>
      </c>
      <c r="B13">
        <v>26958913</v>
      </c>
      <c r="C13" s="1">
        <v>42522</v>
      </c>
      <c r="D13" t="s">
        <v>34</v>
      </c>
      <c r="E13" t="str">
        <f>VLOOKUP(TRIM(D13), Catalogo_gestiones!$A:$B, 2, FALSE)</f>
        <v>N</v>
      </c>
    </row>
    <row r="14" spans="1:5" x14ac:dyDescent="0.25">
      <c r="A14">
        <v>8089801</v>
      </c>
      <c r="B14">
        <v>26967590</v>
      </c>
      <c r="C14" s="1">
        <v>42522</v>
      </c>
      <c r="D14" t="s">
        <v>26</v>
      </c>
      <c r="E14" t="str">
        <f>VLOOKUP(TRIM(D14), Catalogo_gestiones!$A:$B, 2, FALSE)</f>
        <v>N</v>
      </c>
    </row>
    <row r="15" spans="1:5" x14ac:dyDescent="0.25">
      <c r="A15">
        <v>8090100</v>
      </c>
      <c r="B15">
        <v>25579254</v>
      </c>
      <c r="C15" s="1">
        <v>42522</v>
      </c>
      <c r="D15" t="s">
        <v>25</v>
      </c>
      <c r="E15" t="str">
        <f>VLOOKUP(TRIM(D15), Catalogo_gestiones!$A:$B, 2, FALSE)</f>
        <v>N</v>
      </c>
    </row>
    <row r="16" spans="1:5" x14ac:dyDescent="0.25">
      <c r="A16">
        <v>8090327</v>
      </c>
      <c r="B16">
        <v>24060799</v>
      </c>
      <c r="C16" s="1">
        <v>42522</v>
      </c>
      <c r="D16" t="s">
        <v>28</v>
      </c>
      <c r="E16" t="str">
        <f>VLOOKUP(TRIM(D16), Catalogo_gestiones!$A:$B, 2, FALSE)</f>
        <v>N</v>
      </c>
    </row>
    <row r="17" spans="1:5" x14ac:dyDescent="0.25">
      <c r="A17">
        <v>8090376</v>
      </c>
      <c r="B17">
        <v>28116836</v>
      </c>
      <c r="C17" s="1">
        <v>42522</v>
      </c>
      <c r="D17" t="s">
        <v>26</v>
      </c>
      <c r="E17" t="str">
        <f>VLOOKUP(TRIM(D17), Catalogo_gestiones!$A:$B, 2, FALSE)</f>
        <v>N</v>
      </c>
    </row>
    <row r="18" spans="1:5" x14ac:dyDescent="0.25">
      <c r="A18">
        <v>8090702</v>
      </c>
      <c r="B18">
        <v>26143640</v>
      </c>
      <c r="C18" s="1">
        <v>42522</v>
      </c>
      <c r="D18" t="s">
        <v>34</v>
      </c>
      <c r="E18" t="str">
        <f>VLOOKUP(TRIM(D18), Catalogo_gestiones!$A:$B, 2, FALSE)</f>
        <v>N</v>
      </c>
    </row>
    <row r="19" spans="1:5" x14ac:dyDescent="0.25">
      <c r="A19">
        <v>8090807</v>
      </c>
      <c r="B19">
        <v>24076434</v>
      </c>
      <c r="C19" s="1">
        <v>42522</v>
      </c>
      <c r="D19" t="s">
        <v>26</v>
      </c>
      <c r="E19" t="str">
        <f>VLOOKUP(TRIM(D19), Catalogo_gestiones!$A:$B, 2, FALSE)</f>
        <v>N</v>
      </c>
    </row>
    <row r="20" spans="1:5" x14ac:dyDescent="0.25">
      <c r="A20">
        <v>8091415</v>
      </c>
      <c r="B20">
        <v>26388699</v>
      </c>
      <c r="C20" s="1">
        <v>42522</v>
      </c>
      <c r="D20" t="s">
        <v>25</v>
      </c>
      <c r="E20" t="str">
        <f>VLOOKUP(TRIM(D20), Catalogo_gestiones!$A:$B, 2, FALSE)</f>
        <v>N</v>
      </c>
    </row>
    <row r="21" spans="1:5" x14ac:dyDescent="0.25">
      <c r="A21">
        <v>8091415</v>
      </c>
      <c r="B21">
        <v>28543492</v>
      </c>
      <c r="C21" s="1">
        <v>42523</v>
      </c>
      <c r="D21" t="s">
        <v>28</v>
      </c>
      <c r="E21" t="str">
        <f>VLOOKUP(TRIM(D21), Catalogo_gestiones!$A:$B, 2, FALSE)</f>
        <v>N</v>
      </c>
    </row>
    <row r="22" spans="1:5" x14ac:dyDescent="0.25">
      <c r="A22">
        <v>8091720</v>
      </c>
      <c r="B22">
        <v>25710171</v>
      </c>
      <c r="C22" s="1">
        <v>42522</v>
      </c>
      <c r="D22" t="s">
        <v>26</v>
      </c>
      <c r="E22" t="str">
        <f>VLOOKUP(TRIM(D22), Catalogo_gestiones!$A:$B, 2, FALSE)</f>
        <v>N</v>
      </c>
    </row>
    <row r="23" spans="1:5" x14ac:dyDescent="0.25">
      <c r="A23">
        <v>8091720</v>
      </c>
      <c r="B23">
        <v>25711212</v>
      </c>
      <c r="C23" s="1">
        <v>42522</v>
      </c>
      <c r="D23" t="s">
        <v>34</v>
      </c>
      <c r="E23" t="str">
        <f>VLOOKUP(TRIM(D23), Catalogo_gestiones!$A:$B, 2, FALSE)</f>
        <v>N</v>
      </c>
    </row>
    <row r="24" spans="1:5" x14ac:dyDescent="0.25">
      <c r="A24">
        <v>8091720</v>
      </c>
      <c r="B24">
        <v>25711791</v>
      </c>
      <c r="C24" s="1">
        <v>42522</v>
      </c>
      <c r="D24" t="s">
        <v>26</v>
      </c>
      <c r="E24" t="str">
        <f>VLOOKUP(TRIM(D24), Catalogo_gestiones!$A:$B, 2, FALSE)</f>
        <v>N</v>
      </c>
    </row>
    <row r="25" spans="1:5" x14ac:dyDescent="0.25">
      <c r="A25">
        <v>8092203</v>
      </c>
      <c r="B25">
        <v>27368714</v>
      </c>
      <c r="C25" s="1">
        <v>42522</v>
      </c>
      <c r="D25" t="s">
        <v>25</v>
      </c>
      <c r="E25" t="str">
        <f>VLOOKUP(TRIM(D25), Catalogo_gestiones!$A:$B, 2, FALSE)</f>
        <v>N</v>
      </c>
    </row>
    <row r="26" spans="1:5" x14ac:dyDescent="0.25">
      <c r="A26">
        <v>8092365</v>
      </c>
      <c r="B26">
        <v>26716493</v>
      </c>
      <c r="C26" s="1">
        <v>42522</v>
      </c>
      <c r="D26" t="s">
        <v>28</v>
      </c>
      <c r="E26" t="str">
        <f>VLOOKUP(TRIM(D26), Catalogo_gestiones!$A:$B, 2, FALSE)</f>
        <v>N</v>
      </c>
    </row>
    <row r="27" spans="1:5" x14ac:dyDescent="0.25">
      <c r="A27">
        <v>8120004</v>
      </c>
      <c r="B27">
        <v>27770039</v>
      </c>
      <c r="C27" s="1">
        <v>42522</v>
      </c>
      <c r="D27" t="s">
        <v>26</v>
      </c>
      <c r="E27" t="str">
        <f>VLOOKUP(TRIM(D27), Catalogo_gestiones!$A:$B, 2, FALSE)</f>
        <v>N</v>
      </c>
    </row>
    <row r="28" spans="1:5" x14ac:dyDescent="0.25">
      <c r="A28">
        <v>8120077</v>
      </c>
      <c r="B28">
        <v>23053023</v>
      </c>
      <c r="C28" s="1">
        <v>42523</v>
      </c>
      <c r="D28" t="s">
        <v>34</v>
      </c>
      <c r="E28" t="str">
        <f>VLOOKUP(TRIM(D28), Catalogo_gestiones!$A:$B, 2, FALSE)</f>
        <v>N</v>
      </c>
    </row>
    <row r="29" spans="1:5" x14ac:dyDescent="0.25">
      <c r="A29">
        <v>8120077</v>
      </c>
      <c r="B29">
        <v>23102782</v>
      </c>
      <c r="C29" s="1">
        <v>42523</v>
      </c>
      <c r="D29" t="s">
        <v>26</v>
      </c>
      <c r="E29" t="str">
        <f>VLOOKUP(TRIM(D29), Catalogo_gestiones!$A:$B, 2, FALSE)</f>
        <v>N</v>
      </c>
    </row>
    <row r="30" spans="1:5" x14ac:dyDescent="0.25">
      <c r="A30">
        <v>8120123</v>
      </c>
      <c r="B30">
        <v>24060274</v>
      </c>
      <c r="C30" s="1">
        <v>42523</v>
      </c>
      <c r="D30" t="s">
        <v>25</v>
      </c>
      <c r="E30" t="str">
        <f>VLOOKUP(TRIM(D30), Catalogo_gestiones!$A:$B, 2, FALSE)</f>
        <v>N</v>
      </c>
    </row>
    <row r="31" spans="1:5" x14ac:dyDescent="0.25">
      <c r="A31">
        <v>8120123</v>
      </c>
      <c r="B31">
        <v>24378668</v>
      </c>
      <c r="C31" s="1">
        <v>42523</v>
      </c>
      <c r="D31" t="s">
        <v>28</v>
      </c>
      <c r="E31" t="str">
        <f>VLOOKUP(TRIM(D31), Catalogo_gestiones!$A:$B, 2, FALSE)</f>
        <v>N</v>
      </c>
    </row>
    <row r="32" spans="1:5" x14ac:dyDescent="0.25">
      <c r="A32">
        <v>8120258</v>
      </c>
      <c r="B32">
        <v>22218377</v>
      </c>
      <c r="C32" s="1">
        <v>42523</v>
      </c>
      <c r="D32" t="s">
        <v>26</v>
      </c>
      <c r="E32" t="str">
        <f>VLOOKUP(TRIM(D32), Catalogo_gestiones!$A:$B, 2, FALSE)</f>
        <v>N</v>
      </c>
    </row>
    <row r="33" spans="1:5" x14ac:dyDescent="0.25">
      <c r="A33">
        <v>8120280</v>
      </c>
      <c r="B33">
        <v>17490411</v>
      </c>
      <c r="C33" s="1">
        <v>42523</v>
      </c>
      <c r="D33" t="s">
        <v>34</v>
      </c>
      <c r="E33" t="str">
        <f>VLOOKUP(TRIM(D33), Catalogo_gestiones!$A:$B, 2, FALSE)</f>
        <v>N</v>
      </c>
    </row>
    <row r="34" spans="1:5" x14ac:dyDescent="0.25">
      <c r="A34">
        <v>8120338</v>
      </c>
      <c r="B34">
        <v>25641175</v>
      </c>
      <c r="C34" s="1">
        <v>42523</v>
      </c>
      <c r="D34" t="s">
        <v>26</v>
      </c>
      <c r="E34" t="str">
        <f>VLOOKUP(TRIM(D34), Catalogo_gestiones!$A:$B, 2, FALSE)</f>
        <v>N</v>
      </c>
    </row>
    <row r="35" spans="1:5" x14ac:dyDescent="0.25">
      <c r="A35">
        <v>8120338</v>
      </c>
      <c r="B35">
        <v>27451233</v>
      </c>
      <c r="C35" s="1">
        <v>42523</v>
      </c>
      <c r="D35" t="s">
        <v>25</v>
      </c>
      <c r="E35" t="str">
        <f>VLOOKUP(TRIM(D35), Catalogo_gestiones!$A:$B, 2, FALSE)</f>
        <v>N</v>
      </c>
    </row>
    <row r="36" spans="1:5" x14ac:dyDescent="0.25">
      <c r="A36">
        <v>8120351</v>
      </c>
      <c r="B36">
        <v>25400500</v>
      </c>
      <c r="C36" s="1">
        <v>42523</v>
      </c>
      <c r="D36" t="s">
        <v>28</v>
      </c>
      <c r="E36" t="str">
        <f>VLOOKUP(TRIM(D36), Catalogo_gestiones!$A:$B, 2, FALSE)</f>
        <v>N</v>
      </c>
    </row>
    <row r="37" spans="1:5" x14ac:dyDescent="0.25">
      <c r="A37">
        <v>8120351</v>
      </c>
      <c r="B37">
        <v>25402114</v>
      </c>
      <c r="C37" s="1">
        <v>42523</v>
      </c>
      <c r="D37" t="s">
        <v>26</v>
      </c>
      <c r="E37" t="str">
        <f>VLOOKUP(TRIM(D37), Catalogo_gestiones!$A:$B, 2, FALSE)</f>
        <v>N</v>
      </c>
    </row>
    <row r="38" spans="1:5" x14ac:dyDescent="0.25">
      <c r="A38">
        <v>8120504</v>
      </c>
      <c r="B38">
        <v>25516208</v>
      </c>
      <c r="C38" s="1">
        <v>42523</v>
      </c>
      <c r="D38" t="s">
        <v>34</v>
      </c>
      <c r="E38" t="str">
        <f>VLOOKUP(TRIM(D38), Catalogo_gestiones!$A:$B, 2, FALSE)</f>
        <v>N</v>
      </c>
    </row>
    <row r="39" spans="1:5" x14ac:dyDescent="0.25">
      <c r="A39">
        <v>8120567</v>
      </c>
      <c r="B39">
        <v>21872767</v>
      </c>
      <c r="C39" s="1">
        <v>42523</v>
      </c>
      <c r="D39" t="s">
        <v>26</v>
      </c>
      <c r="E39" t="str">
        <f>VLOOKUP(TRIM(D39), Catalogo_gestiones!$A:$B, 2, FALSE)</f>
        <v>N</v>
      </c>
    </row>
    <row r="40" spans="1:5" x14ac:dyDescent="0.25">
      <c r="A40">
        <v>8120613</v>
      </c>
      <c r="B40">
        <v>15453603</v>
      </c>
      <c r="C40" s="1">
        <v>42524</v>
      </c>
      <c r="D40" t="s">
        <v>25</v>
      </c>
      <c r="E40" t="str">
        <f>VLOOKUP(TRIM(D40), Catalogo_gestiones!$A:$B, 2, FALSE)</f>
        <v>N</v>
      </c>
    </row>
    <row r="41" spans="1:5" x14ac:dyDescent="0.25">
      <c r="A41">
        <v>8120615</v>
      </c>
      <c r="B41">
        <v>20326533</v>
      </c>
      <c r="C41" s="1">
        <v>42523</v>
      </c>
      <c r="D41" t="s">
        <v>28</v>
      </c>
      <c r="E41" t="str">
        <f>VLOOKUP(TRIM(D41), Catalogo_gestiones!$A:$B, 2, FALSE)</f>
        <v>N</v>
      </c>
    </row>
    <row r="42" spans="1:5" x14ac:dyDescent="0.25">
      <c r="A42">
        <v>8120642</v>
      </c>
      <c r="B42">
        <v>27997023</v>
      </c>
      <c r="C42" s="1">
        <v>42523</v>
      </c>
      <c r="D42" t="s">
        <v>26</v>
      </c>
      <c r="E42" t="str">
        <f>VLOOKUP(TRIM(D42), Catalogo_gestiones!$A:$B, 2, FALSE)</f>
        <v>N</v>
      </c>
    </row>
    <row r="43" spans="1:5" x14ac:dyDescent="0.25">
      <c r="A43">
        <v>8120741</v>
      </c>
      <c r="B43">
        <v>22880917</v>
      </c>
      <c r="C43" s="1">
        <v>42523</v>
      </c>
      <c r="D43" t="s">
        <v>34</v>
      </c>
      <c r="E43" t="str">
        <f>VLOOKUP(TRIM(D43), Catalogo_gestiones!$A:$B, 2, FALSE)</f>
        <v>N</v>
      </c>
    </row>
    <row r="44" spans="1:5" x14ac:dyDescent="0.25">
      <c r="A44">
        <v>8120773</v>
      </c>
      <c r="B44">
        <v>16069377</v>
      </c>
      <c r="C44" s="1">
        <v>42523</v>
      </c>
      <c r="D44" t="s">
        <v>26</v>
      </c>
      <c r="E44" t="str">
        <f>VLOOKUP(TRIM(D44), Catalogo_gestiones!$A:$B, 2, FALSE)</f>
        <v>N</v>
      </c>
    </row>
    <row r="45" spans="1:5" x14ac:dyDescent="0.25">
      <c r="A45">
        <v>8120773</v>
      </c>
      <c r="B45">
        <v>19003063</v>
      </c>
      <c r="C45" s="1">
        <v>42523</v>
      </c>
      <c r="D45" t="s">
        <v>25</v>
      </c>
      <c r="E45" t="str">
        <f>VLOOKUP(TRIM(D45), Catalogo_gestiones!$A:$B, 2, FALSE)</f>
        <v>N</v>
      </c>
    </row>
    <row r="46" spans="1:5" x14ac:dyDescent="0.25">
      <c r="A46">
        <v>8120833</v>
      </c>
      <c r="B46">
        <v>24374772</v>
      </c>
      <c r="C46" s="1">
        <v>42523</v>
      </c>
      <c r="D46" t="s">
        <v>28</v>
      </c>
      <c r="E46" t="str">
        <f>VLOOKUP(TRIM(D46), Catalogo_gestiones!$A:$B, 2, FALSE)</f>
        <v>N</v>
      </c>
    </row>
    <row r="47" spans="1:5" x14ac:dyDescent="0.25">
      <c r="A47">
        <v>8120848</v>
      </c>
      <c r="B47">
        <v>25950361</v>
      </c>
      <c r="C47" s="1">
        <v>42523</v>
      </c>
      <c r="D47" t="s">
        <v>26</v>
      </c>
      <c r="E47" t="str">
        <f>VLOOKUP(TRIM(D47), Catalogo_gestiones!$A:$B, 2, FALSE)</f>
        <v>N</v>
      </c>
    </row>
    <row r="48" spans="1:5" x14ac:dyDescent="0.25">
      <c r="A48">
        <v>8120848</v>
      </c>
      <c r="B48">
        <v>27351285</v>
      </c>
      <c r="C48" s="1">
        <v>42523</v>
      </c>
      <c r="D48" t="s">
        <v>34</v>
      </c>
      <c r="E48" t="str">
        <f>VLOOKUP(TRIM(D48), Catalogo_gestiones!$A:$B, 2, FALSE)</f>
        <v>N</v>
      </c>
    </row>
    <row r="49" spans="1:5" x14ac:dyDescent="0.25">
      <c r="A49">
        <v>8120848</v>
      </c>
      <c r="B49">
        <v>28586063</v>
      </c>
      <c r="C49" s="1">
        <v>42523</v>
      </c>
      <c r="D49" t="s">
        <v>26</v>
      </c>
      <c r="E49" t="str">
        <f>VLOOKUP(TRIM(D49), Catalogo_gestiones!$A:$B, 2, FALSE)</f>
        <v>N</v>
      </c>
    </row>
    <row r="50" spans="1:5" x14ac:dyDescent="0.25">
      <c r="A50">
        <v>8120977</v>
      </c>
      <c r="B50">
        <v>25568684</v>
      </c>
      <c r="C50" s="1">
        <v>42523</v>
      </c>
      <c r="D50" t="s">
        <v>25</v>
      </c>
      <c r="E50" t="str">
        <f>VLOOKUP(TRIM(D50), Catalogo_gestiones!$A:$B, 2, FALSE)</f>
        <v>N</v>
      </c>
    </row>
    <row r="51" spans="1:5" x14ac:dyDescent="0.25">
      <c r="A51">
        <v>8121172</v>
      </c>
      <c r="B51">
        <v>15535226</v>
      </c>
      <c r="C51" s="1">
        <v>42523</v>
      </c>
      <c r="D51" t="s">
        <v>28</v>
      </c>
      <c r="E51" t="str">
        <f>VLOOKUP(TRIM(D51), Catalogo_gestiones!$A:$B, 2, FALSE)</f>
        <v>N</v>
      </c>
    </row>
    <row r="52" spans="1:5" x14ac:dyDescent="0.25">
      <c r="A52">
        <v>8121172</v>
      </c>
      <c r="B52">
        <v>20238795</v>
      </c>
      <c r="C52" s="1">
        <v>42523</v>
      </c>
      <c r="D52" t="s">
        <v>26</v>
      </c>
      <c r="E52" t="str">
        <f>VLOOKUP(TRIM(D52), Catalogo_gestiones!$A:$B, 2, FALSE)</f>
        <v>N</v>
      </c>
    </row>
    <row r="53" spans="1:5" x14ac:dyDescent="0.25">
      <c r="A53">
        <v>8121247</v>
      </c>
      <c r="B53">
        <v>1689560</v>
      </c>
      <c r="C53" s="1">
        <v>42523</v>
      </c>
      <c r="D53" t="s">
        <v>34</v>
      </c>
      <c r="E53" t="str">
        <f>VLOOKUP(TRIM(D53), Catalogo_gestiones!$A:$B, 2, FALSE)</f>
        <v>N</v>
      </c>
    </row>
    <row r="54" spans="1:5" x14ac:dyDescent="0.25">
      <c r="A54">
        <v>8121247</v>
      </c>
      <c r="B54">
        <v>28582863</v>
      </c>
      <c r="C54" s="1">
        <v>42523</v>
      </c>
      <c r="D54" t="s">
        <v>26</v>
      </c>
      <c r="E54" t="str">
        <f>VLOOKUP(TRIM(D54), Catalogo_gestiones!$A:$B, 2, FALSE)</f>
        <v>N</v>
      </c>
    </row>
    <row r="55" spans="1:5" x14ac:dyDescent="0.25">
      <c r="A55">
        <v>8121396</v>
      </c>
      <c r="B55">
        <v>25634049</v>
      </c>
      <c r="C55" s="1">
        <v>42523</v>
      </c>
      <c r="D55" t="s">
        <v>25</v>
      </c>
      <c r="E55" t="str">
        <f>VLOOKUP(TRIM(D55), Catalogo_gestiones!$A:$B, 2, FALSE)</f>
        <v>N</v>
      </c>
    </row>
    <row r="56" spans="1:5" x14ac:dyDescent="0.25">
      <c r="A56">
        <v>8121437</v>
      </c>
      <c r="B56">
        <v>21978793</v>
      </c>
      <c r="C56" s="1">
        <v>42523</v>
      </c>
      <c r="D56" t="s">
        <v>28</v>
      </c>
      <c r="E56" t="str">
        <f>VLOOKUP(TRIM(D56), Catalogo_gestiones!$A:$B, 2, FALSE)</f>
        <v>N</v>
      </c>
    </row>
    <row r="57" spans="1:5" x14ac:dyDescent="0.25">
      <c r="A57">
        <v>8121787</v>
      </c>
      <c r="B57">
        <v>28250237</v>
      </c>
      <c r="C57" s="1">
        <v>42524</v>
      </c>
      <c r="D57" t="s">
        <v>26</v>
      </c>
      <c r="E57" t="str">
        <f>VLOOKUP(TRIM(D57), Catalogo_gestiones!$A:$B, 2, FALSE)</f>
        <v>N</v>
      </c>
    </row>
    <row r="58" spans="1:5" x14ac:dyDescent="0.25">
      <c r="A58">
        <v>8122348</v>
      </c>
      <c r="B58">
        <v>23138110</v>
      </c>
      <c r="C58" s="1">
        <v>42524</v>
      </c>
      <c r="D58" t="s">
        <v>34</v>
      </c>
      <c r="E58" t="str">
        <f>VLOOKUP(TRIM(D58), Catalogo_gestiones!$A:$B, 2, FALSE)</f>
        <v>N</v>
      </c>
    </row>
    <row r="59" spans="1:5" x14ac:dyDescent="0.25">
      <c r="A59">
        <v>8122348</v>
      </c>
      <c r="B59">
        <v>27354461</v>
      </c>
      <c r="C59" s="1">
        <v>42524</v>
      </c>
      <c r="D59" t="s">
        <v>26</v>
      </c>
      <c r="E59" t="str">
        <f>VLOOKUP(TRIM(D59), Catalogo_gestiones!$A:$B, 2, FALSE)</f>
        <v>N</v>
      </c>
    </row>
    <row r="60" spans="1:5" x14ac:dyDescent="0.25">
      <c r="A60">
        <v>8122438</v>
      </c>
      <c r="B60">
        <v>25825719</v>
      </c>
      <c r="C60" s="1">
        <v>42524</v>
      </c>
      <c r="D60" t="s">
        <v>25</v>
      </c>
      <c r="E60" t="str">
        <f>VLOOKUP(TRIM(D60), Catalogo_gestiones!$A:$B, 2, FALSE)</f>
        <v>N</v>
      </c>
    </row>
    <row r="61" spans="1:5" x14ac:dyDescent="0.25">
      <c r="A61">
        <v>8122438</v>
      </c>
      <c r="B61">
        <v>27451551</v>
      </c>
      <c r="C61" s="1">
        <v>42524</v>
      </c>
      <c r="D61" t="s">
        <v>28</v>
      </c>
      <c r="E61" t="str">
        <f>VLOOKUP(TRIM(D61), Catalogo_gestiones!$A:$B, 2, FALSE)</f>
        <v>N</v>
      </c>
    </row>
    <row r="62" spans="1:5" x14ac:dyDescent="0.25">
      <c r="A62">
        <v>8122952</v>
      </c>
      <c r="B62">
        <v>26844999</v>
      </c>
      <c r="C62" s="1">
        <v>42524</v>
      </c>
      <c r="D62" t="s">
        <v>26</v>
      </c>
      <c r="E62" t="str">
        <f>VLOOKUP(TRIM(D62), Catalogo_gestiones!$A:$B, 2, FALSE)</f>
        <v>N</v>
      </c>
    </row>
    <row r="63" spans="1:5" x14ac:dyDescent="0.25">
      <c r="A63">
        <v>8122952</v>
      </c>
      <c r="B63">
        <v>27342408</v>
      </c>
      <c r="C63" s="1">
        <v>42524</v>
      </c>
      <c r="D63" t="s">
        <v>34</v>
      </c>
      <c r="E63" t="str">
        <f>VLOOKUP(TRIM(D63), Catalogo_gestiones!$A:$B, 2, FALSE)</f>
        <v>N</v>
      </c>
    </row>
    <row r="64" spans="1:5" x14ac:dyDescent="0.25">
      <c r="A64">
        <v>8122952</v>
      </c>
      <c r="B64">
        <v>27362528</v>
      </c>
      <c r="C64" s="1">
        <v>42524</v>
      </c>
      <c r="D64" t="s">
        <v>26</v>
      </c>
      <c r="E64" t="str">
        <f>VLOOKUP(TRIM(D64), Catalogo_gestiones!$A:$B, 2, FALSE)</f>
        <v>N</v>
      </c>
    </row>
    <row r="65" spans="1:5" x14ac:dyDescent="0.25">
      <c r="A65">
        <v>8123013</v>
      </c>
      <c r="B65">
        <v>27748497</v>
      </c>
      <c r="C65" s="1">
        <v>42524</v>
      </c>
      <c r="D65" t="s">
        <v>25</v>
      </c>
      <c r="E65" t="str">
        <f>VLOOKUP(TRIM(D65), Catalogo_gestiones!$A:$B, 2, FALSE)</f>
        <v>N</v>
      </c>
    </row>
    <row r="66" spans="1:5" x14ac:dyDescent="0.25">
      <c r="A66">
        <v>8140803</v>
      </c>
      <c r="B66">
        <v>16471105</v>
      </c>
      <c r="C66" s="1">
        <v>42524</v>
      </c>
      <c r="D66" t="s">
        <v>28</v>
      </c>
      <c r="E66" t="str">
        <f>VLOOKUP(TRIM(D66), Catalogo_gestiones!$A:$B, 2, FALSE)</f>
        <v>N</v>
      </c>
    </row>
    <row r="67" spans="1:5" x14ac:dyDescent="0.25">
      <c r="A67">
        <v>8140967</v>
      </c>
      <c r="B67">
        <v>1261260</v>
      </c>
      <c r="C67" s="1">
        <v>42524</v>
      </c>
      <c r="D67" t="s">
        <v>26</v>
      </c>
      <c r="E67" t="str">
        <f>VLOOKUP(TRIM(D67), Catalogo_gestiones!$A:$B, 2, FALSE)</f>
        <v>N</v>
      </c>
    </row>
    <row r="68" spans="1:5" x14ac:dyDescent="0.25">
      <c r="A68">
        <v>8140967</v>
      </c>
      <c r="B68">
        <v>1261261</v>
      </c>
      <c r="C68" s="1">
        <v>42524</v>
      </c>
      <c r="D68" t="s">
        <v>34</v>
      </c>
      <c r="E68" t="str">
        <f>VLOOKUP(TRIM(D68), Catalogo_gestiones!$A:$B, 2, FALSE)</f>
        <v>N</v>
      </c>
    </row>
    <row r="69" spans="1:5" x14ac:dyDescent="0.25">
      <c r="A69">
        <v>8141368</v>
      </c>
      <c r="B69">
        <v>21108707</v>
      </c>
      <c r="C69" s="1">
        <v>42524</v>
      </c>
      <c r="D69" t="s">
        <v>26</v>
      </c>
      <c r="E69" t="str">
        <f>VLOOKUP(TRIM(D69), Catalogo_gestiones!$A:$B, 2, FALSE)</f>
        <v>N</v>
      </c>
    </row>
    <row r="70" spans="1:5" x14ac:dyDescent="0.25">
      <c r="A70">
        <v>8141661</v>
      </c>
      <c r="B70">
        <v>26211389</v>
      </c>
      <c r="C70" s="1">
        <v>42524</v>
      </c>
      <c r="D70" t="s">
        <v>25</v>
      </c>
      <c r="E70" t="str">
        <f>VLOOKUP(TRIM(D70), Catalogo_gestiones!$A:$B, 2, FALSE)</f>
        <v>N</v>
      </c>
    </row>
    <row r="71" spans="1:5" x14ac:dyDescent="0.25">
      <c r="A71">
        <v>8142131</v>
      </c>
      <c r="B71">
        <v>23230686</v>
      </c>
      <c r="C71" s="1">
        <v>42522</v>
      </c>
      <c r="D71" t="s">
        <v>28</v>
      </c>
      <c r="E71" t="str">
        <f>VLOOKUP(TRIM(D71), Catalogo_gestiones!$A:$B, 2, FALSE)</f>
        <v>N</v>
      </c>
    </row>
    <row r="72" spans="1:5" x14ac:dyDescent="0.25">
      <c r="A72">
        <v>8142840</v>
      </c>
      <c r="B72">
        <v>28584067</v>
      </c>
      <c r="C72" s="1">
        <v>42524</v>
      </c>
      <c r="D72" t="s">
        <v>26</v>
      </c>
      <c r="E72" t="str">
        <f>VLOOKUP(TRIM(D72), Catalogo_gestiones!$A:$B, 2, FALSE)</f>
        <v>N</v>
      </c>
    </row>
    <row r="73" spans="1:5" x14ac:dyDescent="0.25">
      <c r="A73">
        <v>8142913</v>
      </c>
      <c r="B73">
        <v>15150108</v>
      </c>
      <c r="C73" s="1">
        <v>42524</v>
      </c>
      <c r="D73" t="s">
        <v>34</v>
      </c>
      <c r="E73" t="str">
        <f>VLOOKUP(TRIM(D73), Catalogo_gestiones!$A:$B, 2, FALSE)</f>
        <v>N</v>
      </c>
    </row>
    <row r="74" spans="1:5" x14ac:dyDescent="0.25">
      <c r="A74">
        <v>8143445</v>
      </c>
      <c r="B74">
        <v>27500623</v>
      </c>
      <c r="C74" s="1">
        <v>42524</v>
      </c>
      <c r="D74" t="s">
        <v>26</v>
      </c>
      <c r="E74" t="str">
        <f>VLOOKUP(TRIM(D74), Catalogo_gestiones!$A:$B, 2, FALSE)</f>
        <v>N</v>
      </c>
    </row>
    <row r="75" spans="1:5" x14ac:dyDescent="0.25">
      <c r="A75">
        <v>8143616</v>
      </c>
      <c r="B75">
        <v>28579108</v>
      </c>
      <c r="C75" s="1">
        <v>42524</v>
      </c>
      <c r="D75" t="s">
        <v>25</v>
      </c>
      <c r="E75" t="str">
        <f>VLOOKUP(TRIM(D75), Catalogo_gestiones!$A:$B, 2, FALSE)</f>
        <v>N</v>
      </c>
    </row>
    <row r="76" spans="1:5" x14ac:dyDescent="0.25">
      <c r="A76">
        <v>8143620</v>
      </c>
      <c r="B76">
        <v>26382097</v>
      </c>
      <c r="C76" s="1">
        <v>42522</v>
      </c>
      <c r="D76" t="s">
        <v>28</v>
      </c>
      <c r="E76" t="str">
        <f>VLOOKUP(TRIM(D76), Catalogo_gestiones!$A:$B, 2, FALSE)</f>
        <v>N</v>
      </c>
    </row>
    <row r="77" spans="1:5" x14ac:dyDescent="0.25">
      <c r="A77">
        <v>8143701</v>
      </c>
      <c r="B77">
        <v>21781337</v>
      </c>
      <c r="C77" s="1">
        <v>42524</v>
      </c>
      <c r="D77" t="s">
        <v>26</v>
      </c>
      <c r="E77" t="str">
        <f>VLOOKUP(TRIM(D77), Catalogo_gestiones!$A:$B, 2, FALSE)</f>
        <v>N</v>
      </c>
    </row>
    <row r="78" spans="1:5" x14ac:dyDescent="0.25">
      <c r="A78">
        <v>8143941</v>
      </c>
      <c r="B78">
        <v>28177048</v>
      </c>
      <c r="C78" s="1">
        <v>42524</v>
      </c>
      <c r="D78" t="s">
        <v>34</v>
      </c>
      <c r="E78" t="str">
        <f>VLOOKUP(TRIM(D78), Catalogo_gestiones!$A:$B, 2, FALSE)</f>
        <v>N</v>
      </c>
    </row>
    <row r="79" spans="1:5" x14ac:dyDescent="0.25">
      <c r="A79">
        <v>8144093</v>
      </c>
      <c r="B79">
        <v>24256962</v>
      </c>
      <c r="C79" s="1">
        <v>42524</v>
      </c>
      <c r="D79" t="s">
        <v>26</v>
      </c>
      <c r="E79" t="str">
        <f>VLOOKUP(TRIM(D79), Catalogo_gestiones!$A:$B, 2, FALSE)</f>
        <v>N</v>
      </c>
    </row>
    <row r="80" spans="1:5" x14ac:dyDescent="0.25">
      <c r="A80">
        <v>8144093</v>
      </c>
      <c r="B80">
        <v>24257547</v>
      </c>
      <c r="C80" s="1">
        <v>42524</v>
      </c>
      <c r="D80" t="s">
        <v>25</v>
      </c>
      <c r="E80" t="str">
        <f>VLOOKUP(TRIM(D80), Catalogo_gestiones!$A:$B, 2, FALSE)</f>
        <v>N</v>
      </c>
    </row>
    <row r="81" spans="1:5" x14ac:dyDescent="0.25">
      <c r="A81">
        <v>8144093</v>
      </c>
      <c r="B81">
        <v>25328215</v>
      </c>
      <c r="C81" s="1">
        <v>42524</v>
      </c>
      <c r="D81" t="s">
        <v>28</v>
      </c>
      <c r="E81" t="str">
        <f>VLOOKUP(TRIM(D81), Catalogo_gestiones!$A:$B, 2, FALSE)</f>
        <v>N</v>
      </c>
    </row>
    <row r="82" spans="1:5" x14ac:dyDescent="0.25">
      <c r="A82">
        <v>8144982</v>
      </c>
      <c r="B82">
        <v>26085369</v>
      </c>
      <c r="C82" s="1">
        <v>42524</v>
      </c>
      <c r="D82" t="s">
        <v>26</v>
      </c>
      <c r="E82" t="str">
        <f>VLOOKUP(TRIM(D82), Catalogo_gestiones!$A:$B, 2, FALSE)</f>
        <v>N</v>
      </c>
    </row>
    <row r="83" spans="1:5" x14ac:dyDescent="0.25">
      <c r="A83">
        <v>8145532</v>
      </c>
      <c r="B83">
        <v>27443036</v>
      </c>
      <c r="C83" s="1">
        <v>42524</v>
      </c>
      <c r="D83" t="s">
        <v>34</v>
      </c>
      <c r="E83" t="str">
        <f>VLOOKUP(TRIM(D83), Catalogo_gestiones!$A:$B, 2, FALSE)</f>
        <v>N</v>
      </c>
    </row>
    <row r="84" spans="1:5" x14ac:dyDescent="0.25">
      <c r="A84">
        <v>8145532</v>
      </c>
      <c r="B84">
        <v>27445813</v>
      </c>
      <c r="C84" s="1">
        <v>42524</v>
      </c>
      <c r="D84" t="s">
        <v>26</v>
      </c>
      <c r="E84" t="str">
        <f>VLOOKUP(TRIM(D84), Catalogo_gestiones!$A:$B, 2, FALSE)</f>
        <v>N</v>
      </c>
    </row>
    <row r="85" spans="1:5" x14ac:dyDescent="0.25">
      <c r="A85">
        <v>8145600</v>
      </c>
      <c r="B85">
        <v>21147053</v>
      </c>
      <c r="C85" s="1">
        <v>42524</v>
      </c>
      <c r="D85" t="s">
        <v>25</v>
      </c>
      <c r="E85" t="str">
        <f>VLOOKUP(TRIM(D85), Catalogo_gestiones!$A:$B, 2, FALSE)</f>
        <v>N</v>
      </c>
    </row>
    <row r="86" spans="1:5" x14ac:dyDescent="0.25">
      <c r="A86">
        <v>8145696</v>
      </c>
      <c r="B86">
        <v>1487545</v>
      </c>
      <c r="C86" s="1">
        <v>42525</v>
      </c>
      <c r="D86" t="s">
        <v>28</v>
      </c>
      <c r="E86" t="str">
        <f>VLOOKUP(TRIM(D86), Catalogo_gestiones!$A:$B, 2, FALSE)</f>
        <v>N</v>
      </c>
    </row>
    <row r="87" spans="1:5" x14ac:dyDescent="0.25">
      <c r="A87">
        <v>8146040</v>
      </c>
      <c r="B87">
        <v>27997103</v>
      </c>
      <c r="C87" s="1">
        <v>42522</v>
      </c>
      <c r="D87" t="s">
        <v>26</v>
      </c>
      <c r="E87" t="str">
        <f>VLOOKUP(TRIM(D87), Catalogo_gestiones!$A:$B, 2, FALSE)</f>
        <v>N</v>
      </c>
    </row>
    <row r="88" spans="1:5" x14ac:dyDescent="0.25">
      <c r="A88">
        <v>8146127</v>
      </c>
      <c r="B88">
        <v>20815640</v>
      </c>
      <c r="C88" s="1">
        <v>42525</v>
      </c>
      <c r="D88" t="s">
        <v>34</v>
      </c>
      <c r="E88" t="str">
        <f>VLOOKUP(TRIM(D88), Catalogo_gestiones!$A:$B, 2, FALSE)</f>
        <v>N</v>
      </c>
    </row>
    <row r="89" spans="1:5" x14ac:dyDescent="0.25">
      <c r="A89">
        <v>8146254</v>
      </c>
      <c r="B89">
        <v>25426056</v>
      </c>
      <c r="C89" s="1">
        <v>42525</v>
      </c>
      <c r="D89" t="s">
        <v>26</v>
      </c>
      <c r="E89" t="str">
        <f>VLOOKUP(TRIM(D89), Catalogo_gestiones!$A:$B, 2, FALSE)</f>
        <v>N</v>
      </c>
    </row>
    <row r="90" spans="1:5" x14ac:dyDescent="0.25">
      <c r="A90">
        <v>8146294</v>
      </c>
      <c r="B90">
        <v>26813743</v>
      </c>
      <c r="C90" s="1">
        <v>42525</v>
      </c>
      <c r="D90" t="s">
        <v>25</v>
      </c>
      <c r="E90" t="str">
        <f>VLOOKUP(TRIM(D90), Catalogo_gestiones!$A:$B, 2, FALSE)</f>
        <v>N</v>
      </c>
    </row>
    <row r="91" spans="1:5" x14ac:dyDescent="0.25">
      <c r="A91">
        <v>8146356</v>
      </c>
      <c r="B91">
        <v>15560223</v>
      </c>
      <c r="C91" s="1">
        <v>42525</v>
      </c>
      <c r="D91" t="s">
        <v>28</v>
      </c>
      <c r="E91" t="str">
        <f>VLOOKUP(TRIM(D91), Catalogo_gestiones!$A:$B, 2, FALSE)</f>
        <v>N</v>
      </c>
    </row>
    <row r="92" spans="1:5" x14ac:dyDescent="0.25">
      <c r="A92">
        <v>8146356</v>
      </c>
      <c r="B92">
        <v>15560641</v>
      </c>
      <c r="C92" s="1">
        <v>42525</v>
      </c>
      <c r="D92" t="s">
        <v>26</v>
      </c>
      <c r="E92" t="str">
        <f>VLOOKUP(TRIM(D92), Catalogo_gestiones!$A:$B, 2, FALSE)</f>
        <v>N</v>
      </c>
    </row>
    <row r="93" spans="1:5" x14ac:dyDescent="0.25">
      <c r="A93">
        <v>8146356</v>
      </c>
      <c r="B93">
        <v>15561187</v>
      </c>
      <c r="C93" s="1">
        <v>42525</v>
      </c>
      <c r="D93" t="s">
        <v>34</v>
      </c>
      <c r="E93" t="str">
        <f>VLOOKUP(TRIM(D93), Catalogo_gestiones!$A:$B, 2, FALSE)</f>
        <v>N</v>
      </c>
    </row>
    <row r="94" spans="1:5" x14ac:dyDescent="0.25">
      <c r="A94">
        <v>8146680</v>
      </c>
      <c r="B94">
        <v>10589807</v>
      </c>
      <c r="C94" s="1">
        <v>42525</v>
      </c>
      <c r="D94" t="s">
        <v>26</v>
      </c>
      <c r="E94" t="str">
        <f>VLOOKUP(TRIM(D94), Catalogo_gestiones!$A:$B, 2, FALSE)</f>
        <v>N</v>
      </c>
    </row>
    <row r="95" spans="1:5" x14ac:dyDescent="0.25">
      <c r="A95">
        <v>8147134</v>
      </c>
      <c r="B95">
        <v>27154443</v>
      </c>
      <c r="C95" s="1">
        <v>42525</v>
      </c>
      <c r="D95" t="s">
        <v>25</v>
      </c>
      <c r="E95" t="str">
        <f>VLOOKUP(TRIM(D95), Catalogo_gestiones!$A:$B, 2, FALSE)</f>
        <v>N</v>
      </c>
    </row>
    <row r="96" spans="1:5" x14ac:dyDescent="0.25">
      <c r="A96">
        <v>8147204</v>
      </c>
      <c r="B96">
        <v>27138725</v>
      </c>
      <c r="C96" s="1">
        <v>42525</v>
      </c>
      <c r="D96" t="s">
        <v>28</v>
      </c>
      <c r="E96" t="str">
        <f>VLOOKUP(TRIM(D96), Catalogo_gestiones!$A:$B, 2, FALSE)</f>
        <v>N</v>
      </c>
    </row>
    <row r="97" spans="1:5" x14ac:dyDescent="0.25">
      <c r="A97">
        <v>8147976</v>
      </c>
      <c r="B97">
        <v>22912840</v>
      </c>
      <c r="C97" s="1">
        <v>42525</v>
      </c>
      <c r="D97" t="s">
        <v>26</v>
      </c>
      <c r="E97" t="str">
        <f>VLOOKUP(TRIM(D97), Catalogo_gestiones!$A:$B, 2, FALSE)</f>
        <v>N</v>
      </c>
    </row>
    <row r="98" spans="1:5" x14ac:dyDescent="0.25">
      <c r="A98">
        <v>8148012</v>
      </c>
      <c r="B98">
        <v>26918078</v>
      </c>
      <c r="C98" s="1">
        <v>42525</v>
      </c>
      <c r="D98" t="s">
        <v>34</v>
      </c>
      <c r="E98" t="str">
        <f>VLOOKUP(TRIM(D98), Catalogo_gestiones!$A:$B, 2, FALSE)</f>
        <v>N</v>
      </c>
    </row>
    <row r="99" spans="1:5" x14ac:dyDescent="0.25">
      <c r="A99">
        <v>8148012</v>
      </c>
      <c r="B99">
        <v>26918957</v>
      </c>
      <c r="C99" s="1">
        <v>42525</v>
      </c>
      <c r="D99" t="s">
        <v>26</v>
      </c>
      <c r="E99" t="str">
        <f>VLOOKUP(TRIM(D99), Catalogo_gestiones!$A:$B, 2, FALSE)</f>
        <v>N</v>
      </c>
    </row>
    <row r="100" spans="1:5" x14ac:dyDescent="0.25">
      <c r="A100">
        <v>8148376</v>
      </c>
      <c r="B100">
        <v>16869327</v>
      </c>
      <c r="C100" s="1">
        <v>42525</v>
      </c>
      <c r="D100" t="s">
        <v>25</v>
      </c>
      <c r="E100" t="str">
        <f>VLOOKUP(TRIM(D100), Catalogo_gestiones!$A:$B, 2, FALSE)</f>
        <v>N</v>
      </c>
    </row>
    <row r="101" spans="1:5" x14ac:dyDescent="0.25">
      <c r="A101">
        <v>8148804</v>
      </c>
      <c r="B101">
        <v>24807483</v>
      </c>
      <c r="C101" s="1">
        <v>42525</v>
      </c>
      <c r="D101" t="s">
        <v>28</v>
      </c>
      <c r="E101" t="str">
        <f>VLOOKUP(TRIM(D101), Catalogo_gestiones!$A:$B, 2, FALSE)</f>
        <v>N</v>
      </c>
    </row>
    <row r="102" spans="1:5" x14ac:dyDescent="0.25">
      <c r="A102">
        <v>8149563</v>
      </c>
      <c r="B102">
        <v>22789135</v>
      </c>
      <c r="C102" s="1">
        <v>42525</v>
      </c>
      <c r="D102" t="s">
        <v>26</v>
      </c>
      <c r="E102" t="str">
        <f>VLOOKUP(TRIM(D102), Catalogo_gestiones!$A:$B, 2, FALSE)</f>
        <v>N</v>
      </c>
    </row>
    <row r="103" spans="1:5" x14ac:dyDescent="0.25">
      <c r="A103">
        <v>8149563</v>
      </c>
      <c r="B103">
        <v>22789722</v>
      </c>
      <c r="C103" s="1">
        <v>42525</v>
      </c>
      <c r="D103" t="s">
        <v>34</v>
      </c>
      <c r="E103" t="str">
        <f>VLOOKUP(TRIM(D103), Catalogo_gestiones!$A:$B, 2, FALSE)</f>
        <v>N</v>
      </c>
    </row>
    <row r="104" spans="1:5" x14ac:dyDescent="0.25">
      <c r="A104">
        <v>8149652</v>
      </c>
      <c r="B104">
        <v>14265682</v>
      </c>
      <c r="C104" s="1">
        <v>42525</v>
      </c>
      <c r="D104" t="s">
        <v>26</v>
      </c>
      <c r="E104" t="str">
        <f>VLOOKUP(TRIM(D104), Catalogo_gestiones!$A:$B, 2, FALSE)</f>
        <v>N</v>
      </c>
    </row>
    <row r="105" spans="1:5" x14ac:dyDescent="0.25">
      <c r="A105">
        <v>8149652</v>
      </c>
      <c r="B105">
        <v>16980898</v>
      </c>
      <c r="C105" s="1">
        <v>42525</v>
      </c>
      <c r="D105" t="s">
        <v>25</v>
      </c>
      <c r="E105" t="str">
        <f>VLOOKUP(TRIM(D105), Catalogo_gestiones!$A:$B, 2, FALSE)</f>
        <v>N</v>
      </c>
    </row>
    <row r="106" spans="1:5" x14ac:dyDescent="0.25">
      <c r="A106">
        <v>8149652</v>
      </c>
      <c r="B106">
        <v>23954312</v>
      </c>
      <c r="C106" s="1">
        <v>42525</v>
      </c>
      <c r="D106" t="s">
        <v>28</v>
      </c>
      <c r="E106" t="str">
        <f>VLOOKUP(TRIM(D106), Catalogo_gestiones!$A:$B, 2, FALSE)</f>
        <v>N</v>
      </c>
    </row>
    <row r="107" spans="1:5" x14ac:dyDescent="0.25">
      <c r="A107">
        <v>8149873</v>
      </c>
      <c r="B107">
        <v>21128782</v>
      </c>
      <c r="C107" s="1">
        <v>42525</v>
      </c>
      <c r="D107" t="s">
        <v>26</v>
      </c>
      <c r="E107" t="str">
        <f>VLOOKUP(TRIM(D107), Catalogo_gestiones!$A:$B, 2, FALSE)</f>
        <v>N</v>
      </c>
    </row>
    <row r="108" spans="1:5" x14ac:dyDescent="0.25">
      <c r="A108">
        <v>8149873</v>
      </c>
      <c r="B108">
        <v>21130021</v>
      </c>
      <c r="C108" s="1">
        <v>42525</v>
      </c>
      <c r="D108" t="s">
        <v>34</v>
      </c>
      <c r="E108" t="str">
        <f>VLOOKUP(TRIM(D108), Catalogo_gestiones!$A:$B, 2, FALSE)</f>
        <v>N</v>
      </c>
    </row>
    <row r="109" spans="1:5" x14ac:dyDescent="0.25">
      <c r="A109">
        <v>8150642</v>
      </c>
      <c r="B109">
        <v>21255889</v>
      </c>
      <c r="C109" s="1">
        <v>42525</v>
      </c>
      <c r="D109" t="s">
        <v>26</v>
      </c>
      <c r="E109" t="str">
        <f>VLOOKUP(TRIM(D109), Catalogo_gestiones!$A:$B, 2, FALSE)</f>
        <v>N</v>
      </c>
    </row>
    <row r="110" spans="1:5" x14ac:dyDescent="0.25">
      <c r="A110">
        <v>8150722</v>
      </c>
      <c r="B110">
        <v>24211866</v>
      </c>
      <c r="C110" s="1">
        <v>42525</v>
      </c>
      <c r="D110" t="s">
        <v>25</v>
      </c>
      <c r="E110" t="str">
        <f>VLOOKUP(TRIM(D110), Catalogo_gestiones!$A:$B, 2, FALSE)</f>
        <v>N</v>
      </c>
    </row>
    <row r="111" spans="1:5" x14ac:dyDescent="0.25">
      <c r="A111">
        <v>8151650</v>
      </c>
      <c r="B111">
        <v>25137085</v>
      </c>
      <c r="C111" s="1">
        <v>42525</v>
      </c>
      <c r="D111" t="s">
        <v>28</v>
      </c>
      <c r="E111" t="str">
        <f>VLOOKUP(TRIM(D111), Catalogo_gestiones!$A:$B, 2, FALSE)</f>
        <v>N</v>
      </c>
    </row>
    <row r="112" spans="1:5" x14ac:dyDescent="0.25">
      <c r="A112">
        <v>8151925</v>
      </c>
      <c r="B112">
        <v>26319431</v>
      </c>
      <c r="C112" s="1">
        <v>42525</v>
      </c>
      <c r="D112" t="s">
        <v>26</v>
      </c>
      <c r="E112" t="str">
        <f>VLOOKUP(TRIM(D112), Catalogo_gestiones!$A:$B, 2, FALSE)</f>
        <v>N</v>
      </c>
    </row>
    <row r="113" spans="1:5" x14ac:dyDescent="0.25">
      <c r="A113">
        <v>8152781</v>
      </c>
      <c r="B113">
        <v>26226398</v>
      </c>
      <c r="C113" s="1">
        <v>42525</v>
      </c>
      <c r="D113" t="s">
        <v>34</v>
      </c>
      <c r="E113" t="str">
        <f>VLOOKUP(TRIM(D113), Catalogo_gestiones!$A:$B, 2, FALSE)</f>
        <v>N</v>
      </c>
    </row>
    <row r="114" spans="1:5" x14ac:dyDescent="0.25">
      <c r="A114">
        <v>8153448</v>
      </c>
      <c r="B114">
        <v>26125116</v>
      </c>
      <c r="C114" s="1">
        <v>42525</v>
      </c>
      <c r="D114" t="s">
        <v>26</v>
      </c>
      <c r="E114" t="str">
        <f>VLOOKUP(TRIM(D114), Catalogo_gestiones!$A:$B, 2, FALSE)</f>
        <v>N</v>
      </c>
    </row>
    <row r="115" spans="1:5" x14ac:dyDescent="0.25">
      <c r="A115">
        <v>8153448</v>
      </c>
      <c r="B115">
        <v>26129875</v>
      </c>
      <c r="C115" s="1">
        <v>42525</v>
      </c>
      <c r="D115" t="s">
        <v>25</v>
      </c>
      <c r="E115" t="str">
        <f>VLOOKUP(TRIM(D115), Catalogo_gestiones!$A:$B, 2, FALSE)</f>
        <v>N</v>
      </c>
    </row>
    <row r="116" spans="1:5" x14ac:dyDescent="0.25">
      <c r="A116">
        <v>8153540</v>
      </c>
      <c r="B116">
        <v>25028738</v>
      </c>
      <c r="C116" s="1">
        <v>42525</v>
      </c>
      <c r="D116" t="s">
        <v>28</v>
      </c>
      <c r="E116" t="str">
        <f>VLOOKUP(TRIM(D116), Catalogo_gestiones!$A:$B, 2, FALSE)</f>
        <v>N</v>
      </c>
    </row>
    <row r="117" spans="1:5" x14ac:dyDescent="0.25">
      <c r="A117">
        <v>8153540</v>
      </c>
      <c r="B117">
        <v>26813496</v>
      </c>
      <c r="C117" s="1">
        <v>42525</v>
      </c>
      <c r="D117" t="s">
        <v>26</v>
      </c>
      <c r="E117" t="str">
        <f>VLOOKUP(TRIM(D117), Catalogo_gestiones!$A:$B, 2, FALSE)</f>
        <v>N</v>
      </c>
    </row>
    <row r="118" spans="1:5" x14ac:dyDescent="0.25">
      <c r="A118">
        <v>8153587</v>
      </c>
      <c r="B118">
        <v>24000694</v>
      </c>
      <c r="C118" s="1">
        <v>42525</v>
      </c>
      <c r="D118" t="s">
        <v>34</v>
      </c>
      <c r="E118" t="str">
        <f>VLOOKUP(TRIM(D118), Catalogo_gestiones!$A:$B, 2, FALSE)</f>
        <v>N</v>
      </c>
    </row>
    <row r="119" spans="1:5" x14ac:dyDescent="0.25">
      <c r="A119">
        <v>8159247</v>
      </c>
      <c r="B119">
        <v>24925294</v>
      </c>
      <c r="C119" s="1">
        <v>42525</v>
      </c>
      <c r="D119" t="s">
        <v>26</v>
      </c>
      <c r="E119" t="str">
        <f>VLOOKUP(TRIM(D119), Catalogo_gestiones!$A:$B, 2, FALSE)</f>
        <v>N</v>
      </c>
    </row>
    <row r="120" spans="1:5" x14ac:dyDescent="0.25">
      <c r="A120">
        <v>8159247</v>
      </c>
      <c r="B120">
        <v>24925514</v>
      </c>
      <c r="C120" s="1">
        <v>42525</v>
      </c>
      <c r="D120" t="s">
        <v>25</v>
      </c>
      <c r="E120" t="str">
        <f>VLOOKUP(TRIM(D120), Catalogo_gestiones!$A:$B, 2, FALSE)</f>
        <v>N</v>
      </c>
    </row>
    <row r="121" spans="1:5" x14ac:dyDescent="0.25">
      <c r="A121">
        <v>8159304</v>
      </c>
      <c r="B121">
        <v>25008009</v>
      </c>
      <c r="C121" s="1">
        <v>42525</v>
      </c>
      <c r="D121" t="s">
        <v>28</v>
      </c>
      <c r="E121" t="str">
        <f>VLOOKUP(TRIM(D121), Catalogo_gestiones!$A:$B, 2, FALSE)</f>
        <v>N</v>
      </c>
    </row>
    <row r="122" spans="1:5" x14ac:dyDescent="0.25">
      <c r="A122">
        <v>8159820</v>
      </c>
      <c r="B122">
        <v>22290865</v>
      </c>
      <c r="C122" s="1">
        <v>42525</v>
      </c>
      <c r="D122" t="s">
        <v>26</v>
      </c>
      <c r="E122" t="str">
        <f>VLOOKUP(TRIM(D122), Catalogo_gestiones!$A:$B, 2, FALSE)</f>
        <v>N</v>
      </c>
    </row>
    <row r="123" spans="1:5" x14ac:dyDescent="0.25">
      <c r="A123">
        <v>8159820</v>
      </c>
      <c r="B123">
        <v>22291304</v>
      </c>
      <c r="C123" s="1">
        <v>42525</v>
      </c>
      <c r="D123" t="s">
        <v>34</v>
      </c>
      <c r="E123" t="str">
        <f>VLOOKUP(TRIM(D123), Catalogo_gestiones!$A:$B, 2, FALSE)</f>
        <v>N</v>
      </c>
    </row>
    <row r="124" spans="1:5" x14ac:dyDescent="0.25">
      <c r="A124">
        <v>8159820</v>
      </c>
      <c r="B124">
        <v>24951061</v>
      </c>
      <c r="C124" s="1">
        <v>42525</v>
      </c>
      <c r="D124" t="s">
        <v>26</v>
      </c>
      <c r="E124" t="str">
        <f>VLOOKUP(TRIM(D124), Catalogo_gestiones!$A:$B, 2, FALSE)</f>
        <v>N</v>
      </c>
    </row>
    <row r="125" spans="1:5" x14ac:dyDescent="0.25">
      <c r="A125">
        <v>8160167</v>
      </c>
      <c r="B125">
        <v>2861483</v>
      </c>
      <c r="C125" s="1">
        <v>42525</v>
      </c>
      <c r="D125" t="s">
        <v>25</v>
      </c>
      <c r="E125" t="str">
        <f>VLOOKUP(TRIM(D125), Catalogo_gestiones!$A:$B, 2, FALSE)</f>
        <v>N</v>
      </c>
    </row>
    <row r="126" spans="1:5" x14ac:dyDescent="0.25">
      <c r="A126">
        <v>8160262</v>
      </c>
      <c r="B126">
        <v>26180107</v>
      </c>
      <c r="C126" s="1">
        <v>42525</v>
      </c>
      <c r="D126" t="s">
        <v>28</v>
      </c>
      <c r="E126" t="str">
        <f>VLOOKUP(TRIM(D126), Catalogo_gestiones!$A:$B, 2, FALSE)</f>
        <v>N</v>
      </c>
    </row>
    <row r="127" spans="1:5" x14ac:dyDescent="0.25">
      <c r="A127">
        <v>8160270</v>
      </c>
      <c r="B127">
        <v>27760880</v>
      </c>
      <c r="C127" s="1">
        <v>42525</v>
      </c>
      <c r="D127" t="s">
        <v>26</v>
      </c>
      <c r="E127" t="str">
        <f>VLOOKUP(TRIM(D127), Catalogo_gestiones!$A:$B, 2, FALSE)</f>
        <v>N</v>
      </c>
    </row>
    <row r="128" spans="1:5" x14ac:dyDescent="0.25">
      <c r="A128">
        <v>8160623</v>
      </c>
      <c r="B128">
        <v>21313010</v>
      </c>
      <c r="C128" s="1">
        <v>42528</v>
      </c>
      <c r="D128" t="s">
        <v>34</v>
      </c>
      <c r="E128" t="str">
        <f>VLOOKUP(TRIM(D128), Catalogo_gestiones!$A:$B, 2, FALSE)</f>
        <v>N</v>
      </c>
    </row>
    <row r="129" spans="1:5" x14ac:dyDescent="0.25">
      <c r="A129">
        <v>8160623</v>
      </c>
      <c r="B129">
        <v>27645067</v>
      </c>
      <c r="C129" s="1">
        <v>42528</v>
      </c>
      <c r="D129" t="s">
        <v>26</v>
      </c>
      <c r="E129" t="str">
        <f>VLOOKUP(TRIM(D129), Catalogo_gestiones!$A:$B, 2, FALSE)</f>
        <v>N</v>
      </c>
    </row>
    <row r="130" spans="1:5" x14ac:dyDescent="0.25">
      <c r="A130">
        <v>8160956</v>
      </c>
      <c r="B130">
        <v>21942759</v>
      </c>
      <c r="C130" s="1">
        <v>42525</v>
      </c>
      <c r="D130" t="s">
        <v>25</v>
      </c>
      <c r="E130" t="str">
        <f>VLOOKUP(TRIM(D130), Catalogo_gestiones!$A:$B, 2, FALSE)</f>
        <v>N</v>
      </c>
    </row>
    <row r="131" spans="1:5" x14ac:dyDescent="0.25">
      <c r="A131">
        <v>8160956</v>
      </c>
      <c r="B131">
        <v>21943359</v>
      </c>
      <c r="C131" s="1">
        <v>42525</v>
      </c>
      <c r="D131" t="s">
        <v>28</v>
      </c>
      <c r="E131" t="str">
        <f>VLOOKUP(TRIM(D131), Catalogo_gestiones!$A:$B, 2, FALSE)</f>
        <v>N</v>
      </c>
    </row>
    <row r="132" spans="1:5" x14ac:dyDescent="0.25">
      <c r="A132">
        <v>8160956</v>
      </c>
      <c r="B132">
        <v>21943838</v>
      </c>
      <c r="C132" s="1">
        <v>42525</v>
      </c>
      <c r="D132" t="s">
        <v>26</v>
      </c>
      <c r="E132" t="str">
        <f>VLOOKUP(TRIM(D132), Catalogo_gestiones!$A:$B, 2, FALSE)</f>
        <v>N</v>
      </c>
    </row>
    <row r="133" spans="1:5" x14ac:dyDescent="0.25">
      <c r="A133">
        <v>8161759</v>
      </c>
      <c r="B133">
        <v>24392059</v>
      </c>
      <c r="C133" s="1">
        <v>42525</v>
      </c>
      <c r="D133" t="s">
        <v>34</v>
      </c>
      <c r="E133" t="str">
        <f>VLOOKUP(TRIM(D133), Catalogo_gestiones!$A:$B, 2, FALSE)</f>
        <v>N</v>
      </c>
    </row>
    <row r="134" spans="1:5" x14ac:dyDescent="0.25">
      <c r="A134">
        <v>8161857</v>
      </c>
      <c r="B134">
        <v>28595455</v>
      </c>
      <c r="C134" s="1">
        <v>42524</v>
      </c>
      <c r="D134" t="s">
        <v>26</v>
      </c>
      <c r="E134" t="str">
        <f>VLOOKUP(TRIM(D134), Catalogo_gestiones!$A:$B, 2, FALSE)</f>
        <v>N</v>
      </c>
    </row>
    <row r="135" spans="1:5" x14ac:dyDescent="0.25">
      <c r="A135">
        <v>8162090</v>
      </c>
      <c r="B135">
        <v>12041523</v>
      </c>
      <c r="C135" s="1">
        <v>42525</v>
      </c>
      <c r="D135" t="s">
        <v>25</v>
      </c>
      <c r="E135" t="str">
        <f>VLOOKUP(TRIM(D135), Catalogo_gestiones!$A:$B, 2, FALSE)</f>
        <v>N</v>
      </c>
    </row>
    <row r="136" spans="1:5" x14ac:dyDescent="0.25">
      <c r="A136">
        <v>8162090</v>
      </c>
      <c r="B136">
        <v>20732916</v>
      </c>
      <c r="C136" s="1">
        <v>42525</v>
      </c>
      <c r="D136" t="s">
        <v>28</v>
      </c>
      <c r="E136" t="str">
        <f>VLOOKUP(TRIM(D136), Catalogo_gestiones!$A:$B, 2, FALSE)</f>
        <v>N</v>
      </c>
    </row>
    <row r="137" spans="1:5" x14ac:dyDescent="0.25">
      <c r="A137">
        <v>8162090</v>
      </c>
      <c r="B137">
        <v>20736069</v>
      </c>
      <c r="C137" s="1">
        <v>42525</v>
      </c>
      <c r="D137" t="s">
        <v>26</v>
      </c>
      <c r="E137" t="str">
        <f>VLOOKUP(TRIM(D137), Catalogo_gestiones!$A:$B, 2, FALSE)</f>
        <v>N</v>
      </c>
    </row>
    <row r="138" spans="1:5" x14ac:dyDescent="0.25">
      <c r="A138">
        <v>8162545</v>
      </c>
      <c r="B138">
        <v>20841513</v>
      </c>
      <c r="C138" s="1">
        <v>42529</v>
      </c>
      <c r="D138" t="s">
        <v>34</v>
      </c>
      <c r="E138" t="str">
        <f>VLOOKUP(TRIM(D138), Catalogo_gestiones!$A:$B, 2, FALSE)</f>
        <v>N</v>
      </c>
    </row>
    <row r="139" spans="1:5" x14ac:dyDescent="0.25">
      <c r="A139">
        <v>8162545</v>
      </c>
      <c r="B139">
        <v>22625570</v>
      </c>
      <c r="C139" s="1">
        <v>42526</v>
      </c>
      <c r="D139" t="s">
        <v>26</v>
      </c>
      <c r="E139" t="str">
        <f>VLOOKUP(TRIM(D139), Catalogo_gestiones!$A:$B, 2, FALSE)</f>
        <v>N</v>
      </c>
    </row>
    <row r="140" spans="1:5" x14ac:dyDescent="0.25">
      <c r="A140">
        <v>8162900</v>
      </c>
      <c r="B140">
        <v>26490081</v>
      </c>
      <c r="C140" s="1">
        <v>42526</v>
      </c>
      <c r="D140" t="s">
        <v>25</v>
      </c>
      <c r="E140" t="str">
        <f>VLOOKUP(TRIM(D140), Catalogo_gestiones!$A:$B, 2, FALSE)</f>
        <v>N</v>
      </c>
    </row>
    <row r="141" spans="1:5" x14ac:dyDescent="0.25">
      <c r="A141">
        <v>8163083</v>
      </c>
      <c r="B141">
        <v>26691394</v>
      </c>
      <c r="C141" s="1">
        <v>42526</v>
      </c>
      <c r="D141" t="s">
        <v>28</v>
      </c>
      <c r="E141" t="str">
        <f>VLOOKUP(TRIM(D141), Catalogo_gestiones!$A:$B, 2, FALSE)</f>
        <v>N</v>
      </c>
    </row>
    <row r="142" spans="1:5" x14ac:dyDescent="0.25">
      <c r="A142">
        <v>8163089</v>
      </c>
      <c r="B142">
        <v>23261406</v>
      </c>
      <c r="C142" s="1">
        <v>42526</v>
      </c>
      <c r="D142" t="s">
        <v>26</v>
      </c>
      <c r="E142" t="str">
        <f>VLOOKUP(TRIM(D142), Catalogo_gestiones!$A:$B, 2, FALSE)</f>
        <v>N</v>
      </c>
    </row>
    <row r="143" spans="1:5" x14ac:dyDescent="0.25">
      <c r="A143">
        <v>8163206</v>
      </c>
      <c r="B143">
        <v>21051982</v>
      </c>
      <c r="C143" s="1">
        <v>42526</v>
      </c>
      <c r="D143" t="s">
        <v>34</v>
      </c>
      <c r="E143" t="str">
        <f>VLOOKUP(TRIM(D143), Catalogo_gestiones!$A:$B, 2, FALSE)</f>
        <v>N</v>
      </c>
    </row>
    <row r="144" spans="1:5" x14ac:dyDescent="0.25">
      <c r="A144">
        <v>8163225</v>
      </c>
      <c r="B144">
        <v>14785233</v>
      </c>
      <c r="C144" s="1">
        <v>42526</v>
      </c>
      <c r="D144" t="s">
        <v>26</v>
      </c>
      <c r="E144" t="str">
        <f>VLOOKUP(TRIM(D144), Catalogo_gestiones!$A:$B, 2, FALSE)</f>
        <v>N</v>
      </c>
    </row>
    <row r="145" spans="1:5" x14ac:dyDescent="0.25">
      <c r="A145">
        <v>8163225</v>
      </c>
      <c r="B145">
        <v>24997522</v>
      </c>
      <c r="C145" s="1">
        <v>42526</v>
      </c>
      <c r="D145" t="s">
        <v>25</v>
      </c>
      <c r="E145" t="str">
        <f>VLOOKUP(TRIM(D145), Catalogo_gestiones!$A:$B, 2, FALSE)</f>
        <v>N</v>
      </c>
    </row>
    <row r="146" spans="1:5" x14ac:dyDescent="0.25">
      <c r="A146">
        <v>8163268</v>
      </c>
      <c r="B146">
        <v>27339206</v>
      </c>
      <c r="C146" s="1">
        <v>42526</v>
      </c>
      <c r="D146" t="s">
        <v>28</v>
      </c>
      <c r="E146" t="str">
        <f>VLOOKUP(TRIM(D146), Catalogo_gestiones!$A:$B, 2, FALSE)</f>
        <v>N</v>
      </c>
    </row>
    <row r="147" spans="1:5" x14ac:dyDescent="0.25">
      <c r="A147">
        <v>8163501</v>
      </c>
      <c r="B147">
        <v>21616089</v>
      </c>
      <c r="C147" s="1">
        <v>42526</v>
      </c>
      <c r="D147" t="s">
        <v>26</v>
      </c>
      <c r="E147" t="str">
        <f>VLOOKUP(TRIM(D147), Catalogo_gestiones!$A:$B, 2, FALSE)</f>
        <v>N</v>
      </c>
    </row>
    <row r="148" spans="1:5" x14ac:dyDescent="0.25">
      <c r="A148">
        <v>8163501</v>
      </c>
      <c r="B148">
        <v>21618226</v>
      </c>
      <c r="C148" s="1">
        <v>42526</v>
      </c>
      <c r="D148" t="s">
        <v>34</v>
      </c>
      <c r="E148" t="str">
        <f>VLOOKUP(TRIM(D148), Catalogo_gestiones!$A:$B, 2, FALSE)</f>
        <v>N</v>
      </c>
    </row>
    <row r="149" spans="1:5" x14ac:dyDescent="0.25">
      <c r="A149">
        <v>8163501</v>
      </c>
      <c r="B149">
        <v>21621233</v>
      </c>
      <c r="C149" s="1">
        <v>42526</v>
      </c>
      <c r="D149" t="s">
        <v>26</v>
      </c>
      <c r="E149" t="str">
        <f>VLOOKUP(TRIM(D149), Catalogo_gestiones!$A:$B, 2, FALSE)</f>
        <v>N</v>
      </c>
    </row>
    <row r="150" spans="1:5" x14ac:dyDescent="0.25">
      <c r="A150">
        <v>8163501</v>
      </c>
      <c r="B150">
        <v>24110082</v>
      </c>
      <c r="C150" s="1">
        <v>42526</v>
      </c>
      <c r="D150" t="s">
        <v>25</v>
      </c>
      <c r="E150" t="str">
        <f>VLOOKUP(TRIM(D150), Catalogo_gestiones!$A:$B, 2, FALSE)</f>
        <v>N</v>
      </c>
    </row>
    <row r="151" spans="1:5" x14ac:dyDescent="0.25">
      <c r="A151">
        <v>8163541</v>
      </c>
      <c r="B151">
        <v>24920834</v>
      </c>
      <c r="C151" s="1">
        <v>42526</v>
      </c>
      <c r="D151" t="s">
        <v>28</v>
      </c>
      <c r="E151" t="str">
        <f>VLOOKUP(TRIM(D151), Catalogo_gestiones!$A:$B, 2, FALSE)</f>
        <v>N</v>
      </c>
    </row>
    <row r="152" spans="1:5" x14ac:dyDescent="0.25">
      <c r="A152">
        <v>8163778</v>
      </c>
      <c r="B152">
        <v>27381420</v>
      </c>
      <c r="C152" s="1">
        <v>42526</v>
      </c>
      <c r="D152" t="s">
        <v>26</v>
      </c>
      <c r="E152" t="str">
        <f>VLOOKUP(TRIM(D152), Catalogo_gestiones!$A:$B, 2, FALSE)</f>
        <v>N</v>
      </c>
    </row>
    <row r="153" spans="1:5" x14ac:dyDescent="0.25">
      <c r="A153">
        <v>8163809</v>
      </c>
      <c r="B153">
        <v>26370927</v>
      </c>
      <c r="C153" s="1">
        <v>42526</v>
      </c>
      <c r="D153" t="s">
        <v>34</v>
      </c>
      <c r="E153" t="str">
        <f>VLOOKUP(TRIM(D153), Catalogo_gestiones!$A:$B, 2, FALSE)</f>
        <v>N</v>
      </c>
    </row>
    <row r="154" spans="1:5" x14ac:dyDescent="0.25">
      <c r="A154">
        <v>8163832</v>
      </c>
      <c r="B154">
        <v>24843109</v>
      </c>
      <c r="C154" s="1">
        <v>42526</v>
      </c>
      <c r="D154" t="s">
        <v>26</v>
      </c>
      <c r="E154" t="str">
        <f>VLOOKUP(TRIM(D154), Catalogo_gestiones!$A:$B, 2, FALSE)</f>
        <v>N</v>
      </c>
    </row>
    <row r="155" spans="1:5" x14ac:dyDescent="0.25">
      <c r="A155">
        <v>8164317</v>
      </c>
      <c r="B155">
        <v>24836777</v>
      </c>
      <c r="C155" s="1">
        <v>42526</v>
      </c>
      <c r="D155" t="s">
        <v>25</v>
      </c>
      <c r="E155" t="str">
        <f>VLOOKUP(TRIM(D155), Catalogo_gestiones!$A:$B, 2, FALSE)</f>
        <v>N</v>
      </c>
    </row>
    <row r="156" spans="1:5" x14ac:dyDescent="0.25">
      <c r="A156">
        <v>8164706</v>
      </c>
      <c r="B156">
        <v>27675670</v>
      </c>
      <c r="C156" s="1">
        <v>42526</v>
      </c>
      <c r="D156" t="s">
        <v>28</v>
      </c>
      <c r="E156" t="str">
        <f>VLOOKUP(TRIM(D156), Catalogo_gestiones!$A:$B, 2, FALSE)</f>
        <v>N</v>
      </c>
    </row>
    <row r="157" spans="1:5" x14ac:dyDescent="0.25">
      <c r="A157">
        <v>8164716</v>
      </c>
      <c r="B157">
        <v>23812101</v>
      </c>
      <c r="C157" s="1">
        <v>42526</v>
      </c>
      <c r="D157" t="s">
        <v>26</v>
      </c>
      <c r="E157" t="str">
        <f>VLOOKUP(TRIM(D157), Catalogo_gestiones!$A:$B, 2, FALSE)</f>
        <v>N</v>
      </c>
    </row>
    <row r="158" spans="1:5" x14ac:dyDescent="0.25">
      <c r="A158">
        <v>8164846</v>
      </c>
      <c r="B158">
        <v>24213987</v>
      </c>
      <c r="C158" s="1">
        <v>42526</v>
      </c>
      <c r="D158" t="s">
        <v>34</v>
      </c>
      <c r="E158" t="str">
        <f>VLOOKUP(TRIM(D158), Catalogo_gestiones!$A:$B, 2, FALSE)</f>
        <v>N</v>
      </c>
    </row>
    <row r="159" spans="1:5" x14ac:dyDescent="0.25">
      <c r="A159">
        <v>8164886</v>
      </c>
      <c r="B159">
        <v>26205139</v>
      </c>
      <c r="C159" s="1">
        <v>42526</v>
      </c>
      <c r="D159" t="s">
        <v>26</v>
      </c>
      <c r="E159" t="str">
        <f>VLOOKUP(TRIM(D159), Catalogo_gestiones!$A:$B, 2, FALSE)</f>
        <v>N</v>
      </c>
    </row>
    <row r="160" spans="1:5" x14ac:dyDescent="0.25">
      <c r="A160">
        <v>8164886</v>
      </c>
      <c r="B160">
        <v>26206180</v>
      </c>
      <c r="C160" s="1">
        <v>42526</v>
      </c>
      <c r="D160" t="s">
        <v>25</v>
      </c>
      <c r="E160" t="str">
        <f>VLOOKUP(TRIM(D160), Catalogo_gestiones!$A:$B, 2, FALSE)</f>
        <v>N</v>
      </c>
    </row>
    <row r="161" spans="1:5" x14ac:dyDescent="0.25">
      <c r="A161">
        <v>8164974</v>
      </c>
      <c r="B161">
        <v>25826418</v>
      </c>
      <c r="C161" s="1">
        <v>42526</v>
      </c>
      <c r="D161" t="s">
        <v>28</v>
      </c>
      <c r="E161" t="str">
        <f>VLOOKUP(TRIM(D161), Catalogo_gestiones!$A:$B, 2, FALSE)</f>
        <v>N</v>
      </c>
    </row>
    <row r="162" spans="1:5" x14ac:dyDescent="0.25">
      <c r="A162">
        <v>8165150</v>
      </c>
      <c r="B162">
        <v>25261181</v>
      </c>
      <c r="C162" s="1">
        <v>42526</v>
      </c>
      <c r="D162" t="s">
        <v>26</v>
      </c>
      <c r="E162" t="str">
        <f>VLOOKUP(TRIM(D162), Catalogo_gestiones!$A:$B, 2, FALSE)</f>
        <v>N</v>
      </c>
    </row>
    <row r="163" spans="1:5" x14ac:dyDescent="0.25">
      <c r="A163">
        <v>8165309</v>
      </c>
      <c r="B163">
        <v>27696033</v>
      </c>
      <c r="C163" s="1">
        <v>42526</v>
      </c>
      <c r="D163" t="s">
        <v>34</v>
      </c>
      <c r="E163" t="str">
        <f>VLOOKUP(TRIM(D163), Catalogo_gestiones!$A:$B, 2, FALSE)</f>
        <v>N</v>
      </c>
    </row>
    <row r="164" spans="1:5" x14ac:dyDescent="0.25">
      <c r="A164">
        <v>8165415</v>
      </c>
      <c r="B164">
        <v>21264525</v>
      </c>
      <c r="C164" s="1">
        <v>42526</v>
      </c>
      <c r="D164" t="s">
        <v>26</v>
      </c>
      <c r="E164" t="str">
        <f>VLOOKUP(TRIM(D164), Catalogo_gestiones!$A:$B, 2, FALSE)</f>
        <v>N</v>
      </c>
    </row>
    <row r="165" spans="1:5" x14ac:dyDescent="0.25">
      <c r="A165">
        <v>8165415</v>
      </c>
      <c r="B165">
        <v>28584076</v>
      </c>
      <c r="C165" s="1">
        <v>42523</v>
      </c>
      <c r="D165" t="s">
        <v>25</v>
      </c>
      <c r="E165" t="str">
        <f>VLOOKUP(TRIM(D165), Catalogo_gestiones!$A:$B, 2, FALSE)</f>
        <v>N</v>
      </c>
    </row>
    <row r="166" spans="1:5" x14ac:dyDescent="0.25">
      <c r="A166">
        <v>8165420</v>
      </c>
      <c r="B166">
        <v>27823013</v>
      </c>
      <c r="C166" s="1">
        <v>42526</v>
      </c>
      <c r="D166" t="s">
        <v>28</v>
      </c>
      <c r="E166" t="str">
        <f>VLOOKUP(TRIM(D166), Catalogo_gestiones!$A:$B, 2, FALSE)</f>
        <v>N</v>
      </c>
    </row>
    <row r="167" spans="1:5" x14ac:dyDescent="0.25">
      <c r="A167">
        <v>8165423</v>
      </c>
      <c r="B167">
        <v>27019405</v>
      </c>
      <c r="C167" s="1">
        <v>42526</v>
      </c>
      <c r="D167" t="s">
        <v>26</v>
      </c>
      <c r="E167" t="str">
        <f>VLOOKUP(TRIM(D167), Catalogo_gestiones!$A:$B, 2, FALSE)</f>
        <v>N</v>
      </c>
    </row>
    <row r="168" spans="1:5" x14ac:dyDescent="0.25">
      <c r="A168">
        <v>8165559</v>
      </c>
      <c r="B168">
        <v>24129857</v>
      </c>
      <c r="C168" s="1">
        <v>42526</v>
      </c>
      <c r="D168" t="s">
        <v>34</v>
      </c>
      <c r="E168" t="str">
        <f>VLOOKUP(TRIM(D168), Catalogo_gestiones!$A:$B, 2, FALSE)</f>
        <v>N</v>
      </c>
    </row>
    <row r="169" spans="1:5" x14ac:dyDescent="0.25">
      <c r="A169">
        <v>8165867</v>
      </c>
      <c r="B169">
        <v>28083468</v>
      </c>
      <c r="C169" s="1">
        <v>42526</v>
      </c>
      <c r="D169" t="s">
        <v>26</v>
      </c>
      <c r="E169" t="str">
        <f>VLOOKUP(TRIM(D169), Catalogo_gestiones!$A:$B, 2, FALSE)</f>
        <v>N</v>
      </c>
    </row>
    <row r="170" spans="1:5" x14ac:dyDescent="0.25">
      <c r="A170">
        <v>8165887</v>
      </c>
      <c r="B170">
        <v>11364019</v>
      </c>
      <c r="C170" s="1">
        <v>42526</v>
      </c>
      <c r="D170" t="s">
        <v>25</v>
      </c>
      <c r="E170" t="str">
        <f>VLOOKUP(TRIM(D170), Catalogo_gestiones!$A:$B, 2, FALSE)</f>
        <v>N</v>
      </c>
    </row>
    <row r="171" spans="1:5" x14ac:dyDescent="0.25">
      <c r="A171">
        <v>8165887</v>
      </c>
      <c r="B171">
        <v>26704806</v>
      </c>
      <c r="C171" s="1">
        <v>42526</v>
      </c>
      <c r="D171" t="s">
        <v>28</v>
      </c>
      <c r="E171" t="str">
        <f>VLOOKUP(TRIM(D171), Catalogo_gestiones!$A:$B, 2, FALSE)</f>
        <v>N</v>
      </c>
    </row>
    <row r="172" spans="1:5" x14ac:dyDescent="0.25">
      <c r="A172">
        <v>8165993</v>
      </c>
      <c r="B172">
        <v>4366591</v>
      </c>
      <c r="C172" s="1">
        <v>42529</v>
      </c>
      <c r="D172" t="s">
        <v>26</v>
      </c>
      <c r="E172" t="str">
        <f>VLOOKUP(TRIM(D172), Catalogo_gestiones!$A:$B, 2, FALSE)</f>
        <v>N</v>
      </c>
    </row>
    <row r="173" spans="1:5" x14ac:dyDescent="0.25">
      <c r="A173">
        <v>8165993</v>
      </c>
      <c r="B173">
        <v>26466300</v>
      </c>
      <c r="C173" s="1">
        <v>42526</v>
      </c>
      <c r="D173" t="s">
        <v>34</v>
      </c>
      <c r="E173" t="str">
        <f>VLOOKUP(TRIM(D173), Catalogo_gestiones!$A:$B, 2, FALSE)</f>
        <v>N</v>
      </c>
    </row>
    <row r="174" spans="1:5" x14ac:dyDescent="0.25">
      <c r="A174">
        <v>8165995</v>
      </c>
      <c r="B174">
        <v>19787114</v>
      </c>
      <c r="C174" s="1">
        <v>42526</v>
      </c>
      <c r="D174" t="s">
        <v>26</v>
      </c>
      <c r="E174" t="str">
        <f>VLOOKUP(TRIM(D174), Catalogo_gestiones!$A:$B, 2, FALSE)</f>
        <v>N</v>
      </c>
    </row>
    <row r="175" spans="1:5" x14ac:dyDescent="0.25">
      <c r="A175">
        <v>8165995</v>
      </c>
      <c r="B175">
        <v>28584115</v>
      </c>
      <c r="C175" s="1">
        <v>42523</v>
      </c>
      <c r="D175" t="s">
        <v>25</v>
      </c>
      <c r="E175" t="str">
        <f>VLOOKUP(TRIM(D175), Catalogo_gestiones!$A:$B, 2, FALSE)</f>
        <v>N</v>
      </c>
    </row>
    <row r="176" spans="1:5" x14ac:dyDescent="0.25">
      <c r="A176">
        <v>8166018</v>
      </c>
      <c r="B176">
        <v>26407894</v>
      </c>
      <c r="C176" s="1">
        <v>42526</v>
      </c>
      <c r="D176" t="s">
        <v>28</v>
      </c>
      <c r="E176" t="str">
        <f>VLOOKUP(TRIM(D176), Catalogo_gestiones!$A:$B, 2, FALSE)</f>
        <v>N</v>
      </c>
    </row>
    <row r="177" spans="1:5" x14ac:dyDescent="0.25">
      <c r="A177">
        <v>8166066</v>
      </c>
      <c r="B177">
        <v>25450737</v>
      </c>
      <c r="C177" s="1">
        <v>42526</v>
      </c>
      <c r="D177" t="s">
        <v>26</v>
      </c>
      <c r="E177" t="str">
        <f>VLOOKUP(TRIM(D177), Catalogo_gestiones!$A:$B, 2, FALSE)</f>
        <v>N</v>
      </c>
    </row>
    <row r="178" spans="1:5" x14ac:dyDescent="0.25">
      <c r="A178">
        <v>8166124</v>
      </c>
      <c r="B178">
        <v>25535320</v>
      </c>
      <c r="C178" s="1">
        <v>42526</v>
      </c>
      <c r="D178" t="s">
        <v>34</v>
      </c>
      <c r="E178" t="str">
        <f>VLOOKUP(TRIM(D178), Catalogo_gestiones!$A:$B, 2, FALSE)</f>
        <v>N</v>
      </c>
    </row>
    <row r="179" spans="1:5" x14ac:dyDescent="0.25">
      <c r="A179">
        <v>8166124</v>
      </c>
      <c r="B179">
        <v>27177694</v>
      </c>
      <c r="C179" s="1">
        <v>42526</v>
      </c>
      <c r="D179" t="s">
        <v>26</v>
      </c>
      <c r="E179" t="str">
        <f>VLOOKUP(TRIM(D179), Catalogo_gestiones!$A:$B, 2, FALSE)</f>
        <v>N</v>
      </c>
    </row>
    <row r="180" spans="1:5" x14ac:dyDescent="0.25">
      <c r="A180">
        <v>8166205</v>
      </c>
      <c r="B180">
        <v>20943764</v>
      </c>
      <c r="C180" s="1">
        <v>42526</v>
      </c>
      <c r="D180" t="s">
        <v>25</v>
      </c>
      <c r="E180" t="str">
        <f>VLOOKUP(TRIM(D180), Catalogo_gestiones!$A:$B, 2, FALSE)</f>
        <v>N</v>
      </c>
    </row>
    <row r="181" spans="1:5" x14ac:dyDescent="0.25">
      <c r="A181">
        <v>8166205</v>
      </c>
      <c r="B181">
        <v>20946217</v>
      </c>
      <c r="C181" s="1">
        <v>42526</v>
      </c>
      <c r="D181" t="s">
        <v>28</v>
      </c>
      <c r="E181" t="str">
        <f>VLOOKUP(TRIM(D181), Catalogo_gestiones!$A:$B, 2, FALSE)</f>
        <v>N</v>
      </c>
    </row>
    <row r="182" spans="1:5" x14ac:dyDescent="0.25">
      <c r="A182">
        <v>8166235</v>
      </c>
      <c r="B182">
        <v>22194960</v>
      </c>
      <c r="C182" s="1">
        <v>42526</v>
      </c>
      <c r="D182" t="s">
        <v>26</v>
      </c>
      <c r="E182" t="str">
        <f>VLOOKUP(TRIM(D182), Catalogo_gestiones!$A:$B, 2, FALSE)</f>
        <v>N</v>
      </c>
    </row>
    <row r="183" spans="1:5" x14ac:dyDescent="0.25">
      <c r="A183">
        <v>8166235</v>
      </c>
      <c r="B183">
        <v>23293642</v>
      </c>
      <c r="C183" s="1">
        <v>42526</v>
      </c>
      <c r="D183" t="s">
        <v>34</v>
      </c>
      <c r="E183" t="str">
        <f>VLOOKUP(TRIM(D183), Catalogo_gestiones!$A:$B, 2, FALSE)</f>
        <v>N</v>
      </c>
    </row>
    <row r="184" spans="1:5" x14ac:dyDescent="0.25">
      <c r="A184">
        <v>8166389</v>
      </c>
      <c r="B184">
        <v>26935836</v>
      </c>
      <c r="C184" s="1">
        <v>42526</v>
      </c>
      <c r="D184" t="s">
        <v>26</v>
      </c>
      <c r="E184" t="str">
        <f>VLOOKUP(TRIM(D184), Catalogo_gestiones!$A:$B, 2, FALSE)</f>
        <v>N</v>
      </c>
    </row>
    <row r="185" spans="1:5" x14ac:dyDescent="0.25">
      <c r="A185">
        <v>8166412</v>
      </c>
      <c r="B185">
        <v>28040121</v>
      </c>
      <c r="C185" s="1">
        <v>42526</v>
      </c>
      <c r="D185" t="s">
        <v>25</v>
      </c>
      <c r="E185" t="str">
        <f>VLOOKUP(TRIM(D185), Catalogo_gestiones!$A:$B, 2, FALSE)</f>
        <v>N</v>
      </c>
    </row>
    <row r="186" spans="1:5" x14ac:dyDescent="0.25">
      <c r="A186">
        <v>8166533</v>
      </c>
      <c r="B186">
        <v>27048470</v>
      </c>
      <c r="C186" s="1">
        <v>42526</v>
      </c>
      <c r="D186" t="s">
        <v>28</v>
      </c>
      <c r="E186" t="str">
        <f>VLOOKUP(TRIM(D186), Catalogo_gestiones!$A:$B, 2, FALSE)</f>
        <v>N</v>
      </c>
    </row>
    <row r="187" spans="1:5" x14ac:dyDescent="0.25">
      <c r="A187">
        <v>8166876</v>
      </c>
      <c r="B187">
        <v>25427986</v>
      </c>
      <c r="C187" s="1">
        <v>42526</v>
      </c>
      <c r="D187" t="s">
        <v>26</v>
      </c>
      <c r="E187" t="str">
        <f>VLOOKUP(TRIM(D187), Catalogo_gestiones!$A:$B, 2, FALSE)</f>
        <v>N</v>
      </c>
    </row>
    <row r="188" spans="1:5" x14ac:dyDescent="0.25">
      <c r="A188">
        <v>8166876</v>
      </c>
      <c r="B188">
        <v>25433531</v>
      </c>
      <c r="C188" s="1">
        <v>42526</v>
      </c>
      <c r="D188" t="s">
        <v>34</v>
      </c>
      <c r="E188" t="str">
        <f>VLOOKUP(TRIM(D188), Catalogo_gestiones!$A:$B, 2, FALSE)</f>
        <v>N</v>
      </c>
    </row>
    <row r="189" spans="1:5" x14ac:dyDescent="0.25">
      <c r="A189">
        <v>8166895</v>
      </c>
      <c r="B189">
        <v>17937860</v>
      </c>
      <c r="C189" s="1">
        <v>42526</v>
      </c>
      <c r="D189" t="s">
        <v>26</v>
      </c>
      <c r="E189" t="str">
        <f>VLOOKUP(TRIM(D189), Catalogo_gestiones!$A:$B, 2, FALSE)</f>
        <v>N</v>
      </c>
    </row>
    <row r="190" spans="1:5" x14ac:dyDescent="0.25">
      <c r="A190">
        <v>8167005</v>
      </c>
      <c r="B190">
        <v>25382403</v>
      </c>
      <c r="C190" s="1">
        <v>42526</v>
      </c>
      <c r="D190" t="s">
        <v>25</v>
      </c>
      <c r="E190" t="str">
        <f>VLOOKUP(TRIM(D190), Catalogo_gestiones!$A:$B, 2, FALSE)</f>
        <v>N</v>
      </c>
    </row>
    <row r="191" spans="1:5" x14ac:dyDescent="0.25">
      <c r="A191">
        <v>8167005</v>
      </c>
      <c r="B191">
        <v>27609725</v>
      </c>
      <c r="C191" s="1">
        <v>42526</v>
      </c>
      <c r="D191" t="s">
        <v>28</v>
      </c>
      <c r="E191" t="str">
        <f>VLOOKUP(TRIM(D191), Catalogo_gestiones!$A:$B, 2, FALSE)</f>
        <v>N</v>
      </c>
    </row>
    <row r="192" spans="1:5" x14ac:dyDescent="0.25">
      <c r="A192">
        <v>8167406</v>
      </c>
      <c r="B192">
        <v>18535343</v>
      </c>
      <c r="C192" s="1">
        <v>42526</v>
      </c>
      <c r="D192" t="s">
        <v>26</v>
      </c>
      <c r="E192" t="str">
        <f>VLOOKUP(TRIM(D192), Catalogo_gestiones!$A:$B, 2, FALSE)</f>
        <v>N</v>
      </c>
    </row>
    <row r="193" spans="1:5" x14ac:dyDescent="0.25">
      <c r="A193">
        <v>8167480</v>
      </c>
      <c r="B193">
        <v>24965165</v>
      </c>
      <c r="C193" s="1">
        <v>42526</v>
      </c>
      <c r="D193" t="s">
        <v>34</v>
      </c>
      <c r="E193" t="str">
        <f>VLOOKUP(TRIM(D193), Catalogo_gestiones!$A:$B, 2, FALSE)</f>
        <v>N</v>
      </c>
    </row>
    <row r="194" spans="1:5" x14ac:dyDescent="0.25">
      <c r="A194">
        <v>8167480</v>
      </c>
      <c r="B194">
        <v>24967274</v>
      </c>
      <c r="C194" s="1">
        <v>42526</v>
      </c>
      <c r="D194" t="s">
        <v>26</v>
      </c>
      <c r="E194" t="str">
        <f>VLOOKUP(TRIM(D194), Catalogo_gestiones!$A:$B, 2, FALSE)</f>
        <v>N</v>
      </c>
    </row>
    <row r="195" spans="1:5" x14ac:dyDescent="0.25">
      <c r="A195">
        <v>8167480</v>
      </c>
      <c r="B195">
        <v>25550360</v>
      </c>
      <c r="C195" s="1">
        <v>42526</v>
      </c>
      <c r="D195" t="s">
        <v>25</v>
      </c>
      <c r="E195" t="str">
        <f>VLOOKUP(TRIM(D195), Catalogo_gestiones!$A:$B, 2, FALSE)</f>
        <v>N</v>
      </c>
    </row>
    <row r="196" spans="1:5" x14ac:dyDescent="0.25">
      <c r="A196">
        <v>8167498</v>
      </c>
      <c r="B196">
        <v>14496476</v>
      </c>
      <c r="C196" s="1">
        <v>42526</v>
      </c>
      <c r="D196" t="s">
        <v>28</v>
      </c>
      <c r="E196" t="str">
        <f>VLOOKUP(TRIM(D196), Catalogo_gestiones!$A:$B, 2, FALSE)</f>
        <v>N</v>
      </c>
    </row>
    <row r="197" spans="1:5" x14ac:dyDescent="0.25">
      <c r="A197">
        <v>8167510</v>
      </c>
      <c r="B197">
        <v>24373132</v>
      </c>
      <c r="C197" s="1">
        <v>42526</v>
      </c>
      <c r="D197" t="s">
        <v>26</v>
      </c>
      <c r="E197" t="str">
        <f>VLOOKUP(TRIM(D197), Catalogo_gestiones!$A:$B, 2, FALSE)</f>
        <v>N</v>
      </c>
    </row>
    <row r="198" spans="1:5" x14ac:dyDescent="0.25">
      <c r="A198">
        <v>8167543</v>
      </c>
      <c r="B198">
        <v>14590137</v>
      </c>
      <c r="C198" s="1">
        <v>42526</v>
      </c>
      <c r="D198" t="s">
        <v>34</v>
      </c>
      <c r="E198" t="str">
        <f>VLOOKUP(TRIM(D198), Catalogo_gestiones!$A:$B, 2, FALSE)</f>
        <v>N</v>
      </c>
    </row>
    <row r="199" spans="1:5" x14ac:dyDescent="0.25">
      <c r="A199">
        <v>8167778</v>
      </c>
      <c r="B199">
        <v>27145364</v>
      </c>
      <c r="C199" s="1">
        <v>42526</v>
      </c>
      <c r="D199" t="s">
        <v>26</v>
      </c>
      <c r="E199" t="str">
        <f>VLOOKUP(TRIM(D199), Catalogo_gestiones!$A:$B, 2, FALSE)</f>
        <v>N</v>
      </c>
    </row>
    <row r="200" spans="1:5" x14ac:dyDescent="0.25">
      <c r="A200">
        <v>8167784</v>
      </c>
      <c r="B200">
        <v>21647828</v>
      </c>
      <c r="C200" s="1">
        <v>42526</v>
      </c>
      <c r="D200" t="s">
        <v>25</v>
      </c>
      <c r="E200" t="str">
        <f>VLOOKUP(TRIM(D200), Catalogo_gestiones!$A:$B, 2, FALSE)</f>
        <v>N</v>
      </c>
    </row>
    <row r="201" spans="1:5" x14ac:dyDescent="0.25">
      <c r="A201">
        <v>8167985</v>
      </c>
      <c r="B201">
        <v>21128781</v>
      </c>
      <c r="C201" s="1">
        <v>42526</v>
      </c>
      <c r="D201" t="s">
        <v>28</v>
      </c>
      <c r="E201" t="str">
        <f>VLOOKUP(TRIM(D201), Catalogo_gestiones!$A:$B, 2, FALSE)</f>
        <v>N</v>
      </c>
    </row>
    <row r="202" spans="1:5" x14ac:dyDescent="0.25">
      <c r="A202">
        <v>8168164</v>
      </c>
      <c r="B202">
        <v>27255677</v>
      </c>
      <c r="C202" s="1">
        <v>42526</v>
      </c>
      <c r="D202" t="s">
        <v>26</v>
      </c>
      <c r="E202" t="str">
        <f>VLOOKUP(TRIM(D202), Catalogo_gestiones!$A:$B, 2, FALSE)</f>
        <v>N</v>
      </c>
    </row>
    <row r="203" spans="1:5" x14ac:dyDescent="0.25">
      <c r="A203">
        <v>8168198</v>
      </c>
      <c r="B203">
        <v>23820381</v>
      </c>
      <c r="C203" s="1">
        <v>42526</v>
      </c>
      <c r="D203" t="s">
        <v>34</v>
      </c>
      <c r="E203" t="str">
        <f>VLOOKUP(TRIM(D203), Catalogo_gestiones!$A:$B, 2, FALSE)</f>
        <v>N</v>
      </c>
    </row>
    <row r="204" spans="1:5" x14ac:dyDescent="0.25">
      <c r="A204">
        <v>8168200</v>
      </c>
      <c r="B204">
        <v>24390372</v>
      </c>
      <c r="C204" s="1">
        <v>42522</v>
      </c>
      <c r="D204" t="s">
        <v>26</v>
      </c>
      <c r="E204" t="str">
        <f>VLOOKUP(TRIM(D204), Catalogo_gestiones!$A:$B, 2, FALSE)</f>
        <v>N</v>
      </c>
    </row>
    <row r="205" spans="1:5" x14ac:dyDescent="0.25">
      <c r="A205">
        <v>8168429</v>
      </c>
      <c r="B205">
        <v>28586542</v>
      </c>
      <c r="C205" s="1">
        <v>42524</v>
      </c>
      <c r="D205" t="s">
        <v>25</v>
      </c>
      <c r="E205" t="str">
        <f>VLOOKUP(TRIM(D205), Catalogo_gestiones!$A:$B, 2, FALSE)</f>
        <v>N</v>
      </c>
    </row>
    <row r="206" spans="1:5" x14ac:dyDescent="0.25">
      <c r="A206">
        <v>8168460</v>
      </c>
      <c r="B206">
        <v>2891486</v>
      </c>
      <c r="C206" s="1">
        <v>42526</v>
      </c>
      <c r="D206" t="s">
        <v>28</v>
      </c>
      <c r="E206" t="str">
        <f>VLOOKUP(TRIM(D206), Catalogo_gestiones!$A:$B, 2, FALSE)</f>
        <v>N</v>
      </c>
    </row>
    <row r="207" spans="1:5" x14ac:dyDescent="0.25">
      <c r="A207">
        <v>8168855</v>
      </c>
      <c r="B207">
        <v>19612833</v>
      </c>
      <c r="C207" s="1">
        <v>42526</v>
      </c>
      <c r="D207" t="s">
        <v>26</v>
      </c>
      <c r="E207" t="str">
        <f>VLOOKUP(TRIM(D207), Catalogo_gestiones!$A:$B, 2, FALSE)</f>
        <v>N</v>
      </c>
    </row>
    <row r="208" spans="1:5" x14ac:dyDescent="0.25">
      <c r="A208">
        <v>8168905</v>
      </c>
      <c r="B208">
        <v>27915388</v>
      </c>
      <c r="C208" s="1">
        <v>42526</v>
      </c>
      <c r="D208" t="s">
        <v>34</v>
      </c>
      <c r="E208" t="str">
        <f>VLOOKUP(TRIM(D208), Catalogo_gestiones!$A:$B, 2, FALSE)</f>
        <v>N</v>
      </c>
    </row>
    <row r="209" spans="1:5" x14ac:dyDescent="0.25">
      <c r="A209">
        <v>8168937</v>
      </c>
      <c r="B209">
        <v>21552660</v>
      </c>
      <c r="C209" s="1">
        <v>42526</v>
      </c>
      <c r="D209" t="s">
        <v>26</v>
      </c>
      <c r="E209" t="str">
        <f>VLOOKUP(TRIM(D209), Catalogo_gestiones!$A:$B, 2, FALSE)</f>
        <v>N</v>
      </c>
    </row>
    <row r="210" spans="1:5" x14ac:dyDescent="0.25">
      <c r="A210">
        <v>8169074</v>
      </c>
      <c r="B210">
        <v>25017414</v>
      </c>
      <c r="C210" s="1">
        <v>42526</v>
      </c>
      <c r="D210" t="s">
        <v>25</v>
      </c>
      <c r="E210" t="str">
        <f>VLOOKUP(TRIM(D210), Catalogo_gestiones!$A:$B, 2, FALSE)</f>
        <v>N</v>
      </c>
    </row>
    <row r="211" spans="1:5" x14ac:dyDescent="0.25">
      <c r="A211">
        <v>8169074</v>
      </c>
      <c r="B211">
        <v>25018031</v>
      </c>
      <c r="C211" s="1">
        <v>42526</v>
      </c>
      <c r="D211" t="s">
        <v>28</v>
      </c>
      <c r="E211" t="str">
        <f>VLOOKUP(TRIM(D211), Catalogo_gestiones!$A:$B, 2, FALSE)</f>
        <v>N</v>
      </c>
    </row>
    <row r="212" spans="1:5" x14ac:dyDescent="0.25">
      <c r="A212">
        <v>8169102</v>
      </c>
      <c r="B212">
        <v>25450537</v>
      </c>
      <c r="C212" s="1">
        <v>42526</v>
      </c>
      <c r="D212" t="s">
        <v>26</v>
      </c>
      <c r="E212" t="str">
        <f>VLOOKUP(TRIM(D212), Catalogo_gestiones!$A:$B, 2, FALSE)</f>
        <v>N</v>
      </c>
    </row>
    <row r="213" spans="1:5" x14ac:dyDescent="0.25">
      <c r="A213">
        <v>8169114</v>
      </c>
      <c r="B213">
        <v>28219094</v>
      </c>
      <c r="C213" s="1">
        <v>42526</v>
      </c>
      <c r="D213" t="s">
        <v>34</v>
      </c>
      <c r="E213" t="str">
        <f>VLOOKUP(TRIM(D213), Catalogo_gestiones!$A:$B, 2, FALSE)</f>
        <v>N</v>
      </c>
    </row>
    <row r="214" spans="1:5" x14ac:dyDescent="0.25">
      <c r="A214">
        <v>8169123</v>
      </c>
      <c r="B214">
        <v>23737110</v>
      </c>
      <c r="C214" s="1">
        <v>42526</v>
      </c>
      <c r="D214" t="s">
        <v>26</v>
      </c>
      <c r="E214" t="str">
        <f>VLOOKUP(TRIM(D214), Catalogo_gestiones!$A:$B, 2, FALSE)</f>
        <v>N</v>
      </c>
    </row>
    <row r="215" spans="1:5" x14ac:dyDescent="0.25">
      <c r="A215">
        <v>8169305</v>
      </c>
      <c r="B215">
        <v>23981315</v>
      </c>
      <c r="C215" s="1">
        <v>42526</v>
      </c>
      <c r="D215" t="s">
        <v>25</v>
      </c>
      <c r="E215" t="str">
        <f>VLOOKUP(TRIM(D215), Catalogo_gestiones!$A:$B, 2, FALSE)</f>
        <v>N</v>
      </c>
    </row>
    <row r="216" spans="1:5" x14ac:dyDescent="0.25">
      <c r="A216">
        <v>8169312</v>
      </c>
      <c r="B216">
        <v>27097133</v>
      </c>
      <c r="C216" s="1">
        <v>42526</v>
      </c>
      <c r="D216" t="s">
        <v>28</v>
      </c>
      <c r="E216" t="str">
        <f>VLOOKUP(TRIM(D216), Catalogo_gestiones!$A:$B, 2, FALSE)</f>
        <v>N</v>
      </c>
    </row>
    <row r="217" spans="1:5" x14ac:dyDescent="0.25">
      <c r="A217">
        <v>8169455</v>
      </c>
      <c r="B217">
        <v>17140148</v>
      </c>
      <c r="C217" s="1">
        <v>42533</v>
      </c>
      <c r="D217" t="s">
        <v>26</v>
      </c>
      <c r="E217" t="str">
        <f>VLOOKUP(TRIM(D217), Catalogo_gestiones!$A:$B, 2, FALSE)</f>
        <v>N</v>
      </c>
    </row>
    <row r="218" spans="1:5" x14ac:dyDescent="0.25">
      <c r="A218">
        <v>8169800</v>
      </c>
      <c r="B218">
        <v>27338499</v>
      </c>
      <c r="C218" s="1">
        <v>42533</v>
      </c>
      <c r="D218" t="s">
        <v>34</v>
      </c>
      <c r="E218" t="str">
        <f>VLOOKUP(TRIM(D218), Catalogo_gestiones!$A:$B, 2, FALSE)</f>
        <v>N</v>
      </c>
    </row>
    <row r="219" spans="1:5" x14ac:dyDescent="0.25">
      <c r="A219">
        <v>8169896</v>
      </c>
      <c r="B219">
        <v>23435595</v>
      </c>
      <c r="C219" s="1">
        <v>42533</v>
      </c>
      <c r="D219" t="s">
        <v>26</v>
      </c>
      <c r="E219" t="str">
        <f>VLOOKUP(TRIM(D219), Catalogo_gestiones!$A:$B, 2, FALSE)</f>
        <v>N</v>
      </c>
    </row>
    <row r="220" spans="1:5" x14ac:dyDescent="0.25">
      <c r="A220">
        <v>8169896</v>
      </c>
      <c r="B220">
        <v>23435865</v>
      </c>
      <c r="C220" s="1">
        <v>42533</v>
      </c>
      <c r="D220" t="s">
        <v>25</v>
      </c>
      <c r="E220" t="str">
        <f>VLOOKUP(TRIM(D220), Catalogo_gestiones!$A:$B, 2, FALSE)</f>
        <v>N</v>
      </c>
    </row>
    <row r="221" spans="1:5" x14ac:dyDescent="0.25">
      <c r="A221">
        <v>8169918</v>
      </c>
      <c r="B221">
        <v>25753095</v>
      </c>
      <c r="C221" s="1">
        <v>42533</v>
      </c>
      <c r="D221" t="s">
        <v>28</v>
      </c>
      <c r="E221" t="str">
        <f>VLOOKUP(TRIM(D221), Catalogo_gestiones!$A:$B, 2, FALSE)</f>
        <v>N</v>
      </c>
    </row>
    <row r="222" spans="1:5" x14ac:dyDescent="0.25">
      <c r="A222">
        <v>8169981</v>
      </c>
      <c r="B222">
        <v>27032129</v>
      </c>
      <c r="C222" s="1">
        <v>42533</v>
      </c>
      <c r="D222" t="s">
        <v>26</v>
      </c>
      <c r="E222" t="str">
        <f>VLOOKUP(TRIM(D222), Catalogo_gestiones!$A:$B, 2, FALSE)</f>
        <v>N</v>
      </c>
    </row>
    <row r="223" spans="1:5" x14ac:dyDescent="0.25">
      <c r="A223">
        <v>8169981</v>
      </c>
      <c r="B223">
        <v>27033156</v>
      </c>
      <c r="C223" s="1">
        <v>42533</v>
      </c>
      <c r="D223" t="s">
        <v>34</v>
      </c>
      <c r="E223" t="str">
        <f>VLOOKUP(TRIM(D223), Catalogo_gestiones!$A:$B, 2, FALSE)</f>
        <v>N</v>
      </c>
    </row>
    <row r="224" spans="1:5" x14ac:dyDescent="0.25">
      <c r="A224">
        <v>8170036</v>
      </c>
      <c r="B224">
        <v>21447860</v>
      </c>
      <c r="C224" s="1">
        <v>42533</v>
      </c>
      <c r="D224" t="s">
        <v>26</v>
      </c>
      <c r="E224" t="str">
        <f>VLOOKUP(TRIM(D224), Catalogo_gestiones!$A:$B, 2, FALSE)</f>
        <v>N</v>
      </c>
    </row>
    <row r="225" spans="1:5" x14ac:dyDescent="0.25">
      <c r="A225">
        <v>8170123</v>
      </c>
      <c r="B225">
        <v>25601009</v>
      </c>
      <c r="C225" s="1">
        <v>42533</v>
      </c>
      <c r="D225" t="s">
        <v>25</v>
      </c>
      <c r="E225" t="str">
        <f>VLOOKUP(TRIM(D225), Catalogo_gestiones!$A:$B, 2, FALSE)</f>
        <v>N</v>
      </c>
    </row>
    <row r="226" spans="1:5" x14ac:dyDescent="0.25">
      <c r="A226">
        <v>8170382</v>
      </c>
      <c r="B226">
        <v>26499265</v>
      </c>
      <c r="C226" s="1">
        <v>42529</v>
      </c>
      <c r="D226" t="s">
        <v>28</v>
      </c>
      <c r="E226" t="str">
        <f>VLOOKUP(TRIM(D226), Catalogo_gestiones!$A:$B, 2, FALSE)</f>
        <v>N</v>
      </c>
    </row>
    <row r="227" spans="1:5" x14ac:dyDescent="0.25">
      <c r="A227">
        <v>8170382</v>
      </c>
      <c r="B227">
        <v>28063744</v>
      </c>
      <c r="C227" s="1">
        <v>42533</v>
      </c>
      <c r="D227" t="s">
        <v>26</v>
      </c>
      <c r="E227" t="str">
        <f>VLOOKUP(TRIM(D227), Catalogo_gestiones!$A:$B, 2, FALSE)</f>
        <v>N</v>
      </c>
    </row>
    <row r="228" spans="1:5" x14ac:dyDescent="0.25">
      <c r="A228">
        <v>8170382</v>
      </c>
      <c r="B228">
        <v>28065349</v>
      </c>
      <c r="C228" s="1">
        <v>42533</v>
      </c>
      <c r="D228" t="s">
        <v>34</v>
      </c>
      <c r="E228" t="str">
        <f>VLOOKUP(TRIM(D228), Catalogo_gestiones!$A:$B, 2, FALSE)</f>
        <v>N</v>
      </c>
    </row>
    <row r="229" spans="1:5" x14ac:dyDescent="0.25">
      <c r="A229">
        <v>8170439</v>
      </c>
      <c r="B229">
        <v>27843990</v>
      </c>
      <c r="C229" s="1">
        <v>42533</v>
      </c>
      <c r="D229" t="s">
        <v>26</v>
      </c>
      <c r="E229" t="str">
        <f>VLOOKUP(TRIM(D229), Catalogo_gestiones!$A:$B, 2, FALSE)</f>
        <v>N</v>
      </c>
    </row>
    <row r="230" spans="1:5" x14ac:dyDescent="0.25">
      <c r="A230">
        <v>8170763</v>
      </c>
      <c r="B230">
        <v>26772925</v>
      </c>
      <c r="C230" s="1">
        <v>42528</v>
      </c>
      <c r="D230" t="s">
        <v>25</v>
      </c>
      <c r="E230" t="str">
        <f>VLOOKUP(TRIM(D230), Catalogo_gestiones!$A:$B, 2, FALSE)</f>
        <v>N</v>
      </c>
    </row>
    <row r="231" spans="1:5" x14ac:dyDescent="0.25">
      <c r="A231">
        <v>8170763</v>
      </c>
      <c r="B231">
        <v>27233973</v>
      </c>
      <c r="C231" s="1">
        <v>42533</v>
      </c>
      <c r="D231" t="s">
        <v>28</v>
      </c>
      <c r="E231" t="str">
        <f>VLOOKUP(TRIM(D231), Catalogo_gestiones!$A:$B, 2, FALSE)</f>
        <v>N</v>
      </c>
    </row>
    <row r="232" spans="1:5" x14ac:dyDescent="0.25">
      <c r="A232">
        <v>8170768</v>
      </c>
      <c r="B232">
        <v>25300694</v>
      </c>
      <c r="C232" s="1">
        <v>42533</v>
      </c>
      <c r="D232" t="s">
        <v>26</v>
      </c>
      <c r="E232" t="str">
        <f>VLOOKUP(TRIM(D232), Catalogo_gestiones!$A:$B, 2, FALSE)</f>
        <v>N</v>
      </c>
    </row>
    <row r="233" spans="1:5" x14ac:dyDescent="0.25">
      <c r="A233">
        <v>8170777</v>
      </c>
      <c r="B233">
        <v>26247384</v>
      </c>
      <c r="C233" s="1">
        <v>42533</v>
      </c>
      <c r="D233" t="s">
        <v>34</v>
      </c>
      <c r="E233" t="str">
        <f>VLOOKUP(TRIM(D233), Catalogo_gestiones!$A:$B, 2, FALSE)</f>
        <v>N</v>
      </c>
    </row>
    <row r="234" spans="1:5" x14ac:dyDescent="0.25">
      <c r="A234">
        <v>8170777</v>
      </c>
      <c r="B234">
        <v>27130922</v>
      </c>
      <c r="C234" s="1">
        <v>42533</v>
      </c>
      <c r="D234" t="s">
        <v>26</v>
      </c>
      <c r="E234" t="str">
        <f>VLOOKUP(TRIM(D234), Catalogo_gestiones!$A:$B, 2, FALSE)</f>
        <v>N</v>
      </c>
    </row>
    <row r="235" spans="1:5" x14ac:dyDescent="0.25">
      <c r="A235">
        <v>8170803</v>
      </c>
      <c r="B235">
        <v>25962079</v>
      </c>
      <c r="C235" s="1">
        <v>42533</v>
      </c>
      <c r="D235" t="s">
        <v>25</v>
      </c>
      <c r="E235" t="str">
        <f>VLOOKUP(TRIM(D235), Catalogo_gestiones!$A:$B, 2, FALSE)</f>
        <v>N</v>
      </c>
    </row>
    <row r="236" spans="1:5" x14ac:dyDescent="0.25">
      <c r="A236">
        <v>8170829</v>
      </c>
      <c r="B236">
        <v>27287702</v>
      </c>
      <c r="C236" s="1">
        <v>42533</v>
      </c>
      <c r="D236" t="s">
        <v>28</v>
      </c>
      <c r="E236" t="str">
        <f>VLOOKUP(TRIM(D236), Catalogo_gestiones!$A:$B, 2, FALSE)</f>
        <v>N</v>
      </c>
    </row>
    <row r="237" spans="1:5" x14ac:dyDescent="0.25">
      <c r="A237">
        <v>8170829</v>
      </c>
      <c r="B237">
        <v>27289838</v>
      </c>
      <c r="C237" s="1">
        <v>42533</v>
      </c>
      <c r="D237" t="s">
        <v>26</v>
      </c>
      <c r="E237" t="str">
        <f>VLOOKUP(TRIM(D237), Catalogo_gestiones!$A:$B, 2, FALSE)</f>
        <v>N</v>
      </c>
    </row>
    <row r="238" spans="1:5" x14ac:dyDescent="0.25">
      <c r="A238">
        <v>8170851</v>
      </c>
      <c r="B238">
        <v>27057377</v>
      </c>
      <c r="C238" s="1">
        <v>42533</v>
      </c>
      <c r="D238" t="s">
        <v>34</v>
      </c>
      <c r="E238" t="str">
        <f>VLOOKUP(TRIM(D238), Catalogo_gestiones!$A:$B, 2, FALSE)</f>
        <v>N</v>
      </c>
    </row>
    <row r="239" spans="1:5" x14ac:dyDescent="0.25">
      <c r="A239">
        <v>8170902</v>
      </c>
      <c r="B239">
        <v>4617082</v>
      </c>
      <c r="C239" s="1">
        <v>42533</v>
      </c>
      <c r="D239" t="s">
        <v>26</v>
      </c>
      <c r="E239" t="str">
        <f>VLOOKUP(TRIM(D239), Catalogo_gestiones!$A:$B, 2, FALSE)</f>
        <v>N</v>
      </c>
    </row>
    <row r="240" spans="1:5" x14ac:dyDescent="0.25">
      <c r="A240">
        <v>8170902</v>
      </c>
      <c r="B240">
        <v>11334214</v>
      </c>
      <c r="C240" s="1">
        <v>42533</v>
      </c>
      <c r="D240" t="s">
        <v>25</v>
      </c>
      <c r="E240" t="str">
        <f>VLOOKUP(TRIM(D240), Catalogo_gestiones!$A:$B, 2, FALSE)</f>
        <v>N</v>
      </c>
    </row>
    <row r="241" spans="1:5" x14ac:dyDescent="0.25">
      <c r="A241">
        <v>8171445</v>
      </c>
      <c r="B241">
        <v>23926424</v>
      </c>
      <c r="C241" s="1">
        <v>42533</v>
      </c>
      <c r="D241" t="s">
        <v>28</v>
      </c>
      <c r="E241" t="str">
        <f>VLOOKUP(TRIM(D241), Catalogo_gestiones!$A:$B, 2, FALSE)</f>
        <v>N</v>
      </c>
    </row>
    <row r="242" spans="1:5" x14ac:dyDescent="0.25">
      <c r="A242">
        <v>8171508</v>
      </c>
      <c r="B242">
        <v>27924163</v>
      </c>
      <c r="C242" s="1">
        <v>42533</v>
      </c>
      <c r="D242" t="s">
        <v>26</v>
      </c>
      <c r="E242" t="str">
        <f>VLOOKUP(TRIM(D242), Catalogo_gestiones!$A:$B, 2, FALSE)</f>
        <v>N</v>
      </c>
    </row>
    <row r="243" spans="1:5" x14ac:dyDescent="0.25">
      <c r="A243">
        <v>8171519</v>
      </c>
      <c r="B243">
        <v>24829797</v>
      </c>
      <c r="C243" s="1">
        <v>42533</v>
      </c>
      <c r="D243" t="s">
        <v>34</v>
      </c>
      <c r="E243" t="str">
        <f>VLOOKUP(TRIM(D243), Catalogo_gestiones!$A:$B, 2, FALSE)</f>
        <v>N</v>
      </c>
    </row>
    <row r="244" spans="1:5" x14ac:dyDescent="0.25">
      <c r="A244">
        <v>8171519</v>
      </c>
      <c r="B244">
        <v>25310605</v>
      </c>
      <c r="C244" s="1">
        <v>42533</v>
      </c>
      <c r="D244" t="s">
        <v>26</v>
      </c>
      <c r="E244" t="str">
        <f>VLOOKUP(TRIM(D244), Catalogo_gestiones!$A:$B, 2, FALSE)</f>
        <v>N</v>
      </c>
    </row>
    <row r="245" spans="1:5" x14ac:dyDescent="0.25">
      <c r="A245">
        <v>8171572</v>
      </c>
      <c r="B245">
        <v>26893789</v>
      </c>
      <c r="C245" s="1">
        <v>42529</v>
      </c>
      <c r="D245" t="s">
        <v>25</v>
      </c>
      <c r="E245" t="str">
        <f>VLOOKUP(TRIM(D245), Catalogo_gestiones!$A:$B, 2, FALSE)</f>
        <v>N</v>
      </c>
    </row>
    <row r="246" spans="1:5" x14ac:dyDescent="0.25">
      <c r="A246">
        <v>8171572</v>
      </c>
      <c r="B246">
        <v>27857046</v>
      </c>
      <c r="C246" s="1">
        <v>42529</v>
      </c>
      <c r="D246" t="s">
        <v>28</v>
      </c>
      <c r="E246" t="str">
        <f>VLOOKUP(TRIM(D246), Catalogo_gestiones!$A:$B, 2, FALSE)</f>
        <v>N</v>
      </c>
    </row>
    <row r="247" spans="1:5" x14ac:dyDescent="0.25">
      <c r="A247">
        <v>8171572</v>
      </c>
      <c r="B247">
        <v>27858009</v>
      </c>
      <c r="C247" s="1">
        <v>42529</v>
      </c>
      <c r="D247" t="s">
        <v>26</v>
      </c>
      <c r="E247" t="str">
        <f>VLOOKUP(TRIM(D247), Catalogo_gestiones!$A:$B, 2, FALSE)</f>
        <v>N</v>
      </c>
    </row>
    <row r="248" spans="1:5" x14ac:dyDescent="0.25">
      <c r="A248">
        <v>8171608</v>
      </c>
      <c r="B248">
        <v>27717868</v>
      </c>
      <c r="C248" s="1">
        <v>42533</v>
      </c>
      <c r="D248" t="s">
        <v>34</v>
      </c>
      <c r="E248" t="str">
        <f>VLOOKUP(TRIM(D248), Catalogo_gestiones!$A:$B, 2, FALSE)</f>
        <v>N</v>
      </c>
    </row>
    <row r="249" spans="1:5" x14ac:dyDescent="0.25">
      <c r="A249">
        <v>8171628</v>
      </c>
      <c r="B249">
        <v>25979102</v>
      </c>
      <c r="C249" s="1">
        <v>42533</v>
      </c>
      <c r="D249" t="s">
        <v>26</v>
      </c>
      <c r="E249" t="str">
        <f>VLOOKUP(TRIM(D249), Catalogo_gestiones!$A:$B, 2, FALSE)</f>
        <v>N</v>
      </c>
    </row>
    <row r="250" spans="1:5" x14ac:dyDescent="0.25">
      <c r="A250">
        <v>8171685</v>
      </c>
      <c r="B250">
        <v>27541896</v>
      </c>
      <c r="C250" s="1">
        <v>42533</v>
      </c>
      <c r="D250" t="s">
        <v>25</v>
      </c>
      <c r="E250" t="str">
        <f>VLOOKUP(TRIM(D250), Catalogo_gestiones!$A:$B, 2, FALSE)</f>
        <v>N</v>
      </c>
    </row>
    <row r="251" spans="1:5" x14ac:dyDescent="0.25">
      <c r="A251">
        <v>8171798</v>
      </c>
      <c r="B251">
        <v>24099866</v>
      </c>
      <c r="C251" s="1">
        <v>42533</v>
      </c>
      <c r="D251" t="s">
        <v>28</v>
      </c>
      <c r="E251" t="str">
        <f>VLOOKUP(TRIM(D251), Catalogo_gestiones!$A:$B, 2, FALSE)</f>
        <v>N</v>
      </c>
    </row>
    <row r="252" spans="1:5" x14ac:dyDescent="0.25">
      <c r="A252">
        <v>8171800</v>
      </c>
      <c r="B252">
        <v>26378227</v>
      </c>
      <c r="C252" s="1">
        <v>42533</v>
      </c>
      <c r="D252" t="s">
        <v>26</v>
      </c>
      <c r="E252" t="str">
        <f>VLOOKUP(TRIM(D252), Catalogo_gestiones!$A:$B, 2, FALSE)</f>
        <v>N</v>
      </c>
    </row>
    <row r="253" spans="1:5" x14ac:dyDescent="0.25">
      <c r="A253">
        <v>8171807</v>
      </c>
      <c r="B253">
        <v>14659275</v>
      </c>
      <c r="C253" s="1">
        <v>42533</v>
      </c>
      <c r="D253" t="s">
        <v>34</v>
      </c>
      <c r="E253" t="str">
        <f>VLOOKUP(TRIM(D253), Catalogo_gestiones!$A:$B, 2, FALSE)</f>
        <v>N</v>
      </c>
    </row>
    <row r="254" spans="1:5" x14ac:dyDescent="0.25">
      <c r="A254">
        <v>8171812</v>
      </c>
      <c r="B254">
        <v>10480436</v>
      </c>
      <c r="C254" s="1">
        <v>42533</v>
      </c>
      <c r="D254" t="s">
        <v>26</v>
      </c>
      <c r="E254" t="str">
        <f>VLOOKUP(TRIM(D254), Catalogo_gestiones!$A:$B, 2, FALSE)</f>
        <v>N</v>
      </c>
    </row>
    <row r="255" spans="1:5" x14ac:dyDescent="0.25">
      <c r="A255">
        <v>8171817</v>
      </c>
      <c r="B255">
        <v>21620879</v>
      </c>
      <c r="C255" s="1">
        <v>42533</v>
      </c>
      <c r="D255" t="s">
        <v>25</v>
      </c>
      <c r="E255" t="str">
        <f>VLOOKUP(TRIM(D255), Catalogo_gestiones!$A:$B, 2, FALSE)</f>
        <v>N</v>
      </c>
    </row>
    <row r="256" spans="1:5" x14ac:dyDescent="0.25">
      <c r="A256">
        <v>8171824</v>
      </c>
      <c r="B256">
        <v>21483616</v>
      </c>
      <c r="C256" s="1">
        <v>42533</v>
      </c>
      <c r="D256" t="s">
        <v>28</v>
      </c>
      <c r="E256" t="str">
        <f>VLOOKUP(TRIM(D256), Catalogo_gestiones!$A:$B, 2, FALSE)</f>
        <v>N</v>
      </c>
    </row>
    <row r="257" spans="1:5" x14ac:dyDescent="0.25">
      <c r="A257">
        <v>8171975</v>
      </c>
      <c r="B257">
        <v>16563072</v>
      </c>
      <c r="C257" s="1">
        <v>42533</v>
      </c>
      <c r="D257" t="s">
        <v>26</v>
      </c>
      <c r="E257" t="str">
        <f>VLOOKUP(TRIM(D257), Catalogo_gestiones!$A:$B, 2, FALSE)</f>
        <v>N</v>
      </c>
    </row>
    <row r="258" spans="1:5" x14ac:dyDescent="0.25">
      <c r="A258">
        <v>8171975</v>
      </c>
      <c r="B258">
        <v>25481844</v>
      </c>
      <c r="C258" s="1">
        <v>42533</v>
      </c>
      <c r="D258" t="s">
        <v>34</v>
      </c>
      <c r="E258" t="str">
        <f>VLOOKUP(TRIM(D258), Catalogo_gestiones!$A:$B, 2, FALSE)</f>
        <v>N</v>
      </c>
    </row>
    <row r="259" spans="1:5" x14ac:dyDescent="0.25">
      <c r="A259">
        <v>8172057</v>
      </c>
      <c r="B259">
        <v>26227202</v>
      </c>
      <c r="C259" s="1">
        <v>42533</v>
      </c>
      <c r="D259" t="s">
        <v>26</v>
      </c>
      <c r="E259" t="str">
        <f>VLOOKUP(TRIM(D259), Catalogo_gestiones!$A:$B, 2, FALSE)</f>
        <v>N</v>
      </c>
    </row>
    <row r="260" spans="1:5" x14ac:dyDescent="0.25">
      <c r="A260">
        <v>8172184</v>
      </c>
      <c r="B260">
        <v>10919528</v>
      </c>
      <c r="C260" s="1">
        <v>42533</v>
      </c>
      <c r="D260" t="s">
        <v>25</v>
      </c>
      <c r="E260" t="str">
        <f>VLOOKUP(TRIM(D260), Catalogo_gestiones!$A:$B, 2, FALSE)</f>
        <v>N</v>
      </c>
    </row>
    <row r="261" spans="1:5" x14ac:dyDescent="0.25">
      <c r="A261">
        <v>8172545</v>
      </c>
      <c r="B261">
        <v>25644851</v>
      </c>
      <c r="C261" s="1">
        <v>42533</v>
      </c>
      <c r="D261" t="s">
        <v>28</v>
      </c>
      <c r="E261" t="str">
        <f>VLOOKUP(TRIM(D261), Catalogo_gestiones!$A:$B, 2, FALSE)</f>
        <v>N</v>
      </c>
    </row>
    <row r="262" spans="1:5" x14ac:dyDescent="0.25">
      <c r="A262">
        <v>8172545</v>
      </c>
      <c r="B262">
        <v>25646668</v>
      </c>
      <c r="C262" s="1">
        <v>42533</v>
      </c>
      <c r="D262" t="s">
        <v>26</v>
      </c>
      <c r="E262" t="str">
        <f>VLOOKUP(TRIM(D262), Catalogo_gestiones!$A:$B, 2, FALSE)</f>
        <v>N</v>
      </c>
    </row>
    <row r="263" spans="1:5" x14ac:dyDescent="0.25">
      <c r="A263">
        <v>8172545</v>
      </c>
      <c r="B263">
        <v>26004598</v>
      </c>
      <c r="C263" s="1">
        <v>42533</v>
      </c>
      <c r="D263" t="s">
        <v>34</v>
      </c>
      <c r="E263" t="str">
        <f>VLOOKUP(TRIM(D263), Catalogo_gestiones!$A:$B, 2, FALSE)</f>
        <v>N</v>
      </c>
    </row>
    <row r="264" spans="1:5" x14ac:dyDescent="0.25">
      <c r="A264">
        <v>8172550</v>
      </c>
      <c r="B264">
        <v>25090717</v>
      </c>
      <c r="C264" s="1">
        <v>42533</v>
      </c>
      <c r="D264" t="s">
        <v>26</v>
      </c>
      <c r="E264" t="str">
        <f>VLOOKUP(TRIM(D264), Catalogo_gestiones!$A:$B, 2, FALSE)</f>
        <v>N</v>
      </c>
    </row>
    <row r="265" spans="1:5" x14ac:dyDescent="0.25">
      <c r="A265">
        <v>8172550</v>
      </c>
      <c r="B265">
        <v>25277134</v>
      </c>
      <c r="C265" s="1">
        <v>42533</v>
      </c>
      <c r="D265" t="s">
        <v>25</v>
      </c>
      <c r="E265" t="str">
        <f>VLOOKUP(TRIM(D265), Catalogo_gestiones!$A:$B, 2, FALSE)</f>
        <v>N</v>
      </c>
    </row>
    <row r="266" spans="1:5" x14ac:dyDescent="0.25">
      <c r="A266">
        <v>8172608</v>
      </c>
      <c r="B266">
        <v>26813449</v>
      </c>
      <c r="C266" s="1">
        <v>42533</v>
      </c>
      <c r="D266" t="s">
        <v>28</v>
      </c>
      <c r="E266" t="str">
        <f>VLOOKUP(TRIM(D266), Catalogo_gestiones!$A:$B, 2, FALSE)</f>
        <v>N</v>
      </c>
    </row>
    <row r="267" spans="1:5" x14ac:dyDescent="0.25">
      <c r="A267">
        <v>8172822</v>
      </c>
      <c r="B267">
        <v>24100634</v>
      </c>
      <c r="C267" s="1">
        <v>42531</v>
      </c>
      <c r="D267" t="s">
        <v>26</v>
      </c>
      <c r="E267" t="str">
        <f>VLOOKUP(TRIM(D267), Catalogo_gestiones!$A:$B, 2, FALSE)</f>
        <v>N</v>
      </c>
    </row>
    <row r="268" spans="1:5" x14ac:dyDescent="0.25">
      <c r="A268">
        <v>8172834</v>
      </c>
      <c r="B268">
        <v>21754177</v>
      </c>
      <c r="C268" s="1">
        <v>42531</v>
      </c>
      <c r="D268" t="s">
        <v>34</v>
      </c>
      <c r="E268" t="str">
        <f>VLOOKUP(TRIM(D268), Catalogo_gestiones!$A:$B, 2, FALSE)</f>
        <v>N</v>
      </c>
    </row>
    <row r="269" spans="1:5" x14ac:dyDescent="0.25">
      <c r="A269">
        <v>8172834</v>
      </c>
      <c r="B269">
        <v>25341571</v>
      </c>
      <c r="C269" s="1">
        <v>42531</v>
      </c>
      <c r="D269" t="s">
        <v>26</v>
      </c>
      <c r="E269" t="str">
        <f>VLOOKUP(TRIM(D269), Catalogo_gestiones!$A:$B, 2, FALSE)</f>
        <v>N</v>
      </c>
    </row>
    <row r="270" spans="1:5" x14ac:dyDescent="0.25">
      <c r="A270">
        <v>8172857</v>
      </c>
      <c r="B270">
        <v>27565008</v>
      </c>
      <c r="C270" s="1">
        <v>42531</v>
      </c>
      <c r="D270" t="s">
        <v>25</v>
      </c>
      <c r="E270" t="str">
        <f>VLOOKUP(TRIM(D270), Catalogo_gestiones!$A:$B, 2, FALSE)</f>
        <v>N</v>
      </c>
    </row>
    <row r="271" spans="1:5" x14ac:dyDescent="0.25">
      <c r="A271">
        <v>8172884</v>
      </c>
      <c r="B271">
        <v>21348233</v>
      </c>
      <c r="C271" s="1">
        <v>42529</v>
      </c>
      <c r="D271" t="s">
        <v>28</v>
      </c>
      <c r="E271" t="str">
        <f>VLOOKUP(TRIM(D271), Catalogo_gestiones!$A:$B, 2, FALSE)</f>
        <v>N</v>
      </c>
    </row>
    <row r="272" spans="1:5" x14ac:dyDescent="0.25">
      <c r="A272">
        <v>8172884</v>
      </c>
      <c r="B272">
        <v>23312798</v>
      </c>
      <c r="C272" s="1">
        <v>42531</v>
      </c>
      <c r="D272" t="s">
        <v>26</v>
      </c>
      <c r="E272" t="str">
        <f>VLOOKUP(TRIM(D272), Catalogo_gestiones!$A:$B, 2, FALSE)</f>
        <v>N</v>
      </c>
    </row>
    <row r="273" spans="1:5" x14ac:dyDescent="0.25">
      <c r="A273">
        <v>8172884</v>
      </c>
      <c r="B273">
        <v>23313640</v>
      </c>
      <c r="C273" s="1">
        <v>42531</v>
      </c>
      <c r="D273" t="s">
        <v>34</v>
      </c>
      <c r="E273" t="str">
        <f>VLOOKUP(TRIM(D273), Catalogo_gestiones!$A:$B, 2, FALSE)</f>
        <v>N</v>
      </c>
    </row>
    <row r="274" spans="1:5" x14ac:dyDescent="0.25">
      <c r="A274">
        <v>8172906</v>
      </c>
      <c r="B274">
        <v>25709096</v>
      </c>
      <c r="C274" s="1">
        <v>42531</v>
      </c>
      <c r="D274" t="s">
        <v>26</v>
      </c>
      <c r="E274" t="str">
        <f>VLOOKUP(TRIM(D274), Catalogo_gestiones!$A:$B, 2, FALSE)</f>
        <v>N</v>
      </c>
    </row>
    <row r="275" spans="1:5" x14ac:dyDescent="0.25">
      <c r="A275">
        <v>8172916</v>
      </c>
      <c r="B275">
        <v>28122029</v>
      </c>
      <c r="C275" s="1">
        <v>42531</v>
      </c>
      <c r="D275" t="s">
        <v>25</v>
      </c>
      <c r="E275" t="str">
        <f>VLOOKUP(TRIM(D275), Catalogo_gestiones!$A:$B, 2, FALSE)</f>
        <v>N</v>
      </c>
    </row>
    <row r="276" spans="1:5" x14ac:dyDescent="0.25">
      <c r="A276">
        <v>8172935</v>
      </c>
      <c r="B276">
        <v>27864939</v>
      </c>
      <c r="C276" s="1">
        <v>42531</v>
      </c>
      <c r="D276" t="s">
        <v>28</v>
      </c>
      <c r="E276" t="str">
        <f>VLOOKUP(TRIM(D276), Catalogo_gestiones!$A:$B, 2, FALSE)</f>
        <v>N</v>
      </c>
    </row>
    <row r="277" spans="1:5" x14ac:dyDescent="0.25">
      <c r="A277">
        <v>8173426</v>
      </c>
      <c r="B277">
        <v>27096953</v>
      </c>
      <c r="C277" s="1">
        <v>42531</v>
      </c>
      <c r="D277" t="s">
        <v>26</v>
      </c>
      <c r="E277" t="str">
        <f>VLOOKUP(TRIM(D277), Catalogo_gestiones!$A:$B, 2, FALSE)</f>
        <v>N</v>
      </c>
    </row>
    <row r="278" spans="1:5" x14ac:dyDescent="0.25">
      <c r="A278">
        <v>8173437</v>
      </c>
      <c r="B278">
        <v>26476759</v>
      </c>
      <c r="C278" s="1">
        <v>42529</v>
      </c>
      <c r="D278" t="s">
        <v>34</v>
      </c>
      <c r="E278" t="str">
        <f>VLOOKUP(TRIM(D278), Catalogo_gestiones!$A:$B, 2, FALSE)</f>
        <v>N</v>
      </c>
    </row>
    <row r="279" spans="1:5" x14ac:dyDescent="0.25">
      <c r="A279">
        <v>8173437</v>
      </c>
      <c r="B279">
        <v>26774236</v>
      </c>
      <c r="C279" s="1">
        <v>42531</v>
      </c>
      <c r="D279" t="s">
        <v>26</v>
      </c>
      <c r="E279" t="str">
        <f>VLOOKUP(TRIM(D279), Catalogo_gestiones!$A:$B, 2, FALSE)</f>
        <v>N</v>
      </c>
    </row>
    <row r="280" spans="1:5" x14ac:dyDescent="0.25">
      <c r="A280">
        <v>8173444</v>
      </c>
      <c r="B280">
        <v>27690468</v>
      </c>
      <c r="C280" s="1">
        <v>42531</v>
      </c>
      <c r="D280" t="s">
        <v>25</v>
      </c>
      <c r="E280" t="str">
        <f>VLOOKUP(TRIM(D280), Catalogo_gestiones!$A:$B, 2, FALSE)</f>
        <v>N</v>
      </c>
    </row>
    <row r="281" spans="1:5" x14ac:dyDescent="0.25">
      <c r="A281">
        <v>8173552</v>
      </c>
      <c r="B281">
        <v>15784792</v>
      </c>
      <c r="C281" s="1">
        <v>42531</v>
      </c>
      <c r="D281" t="s">
        <v>28</v>
      </c>
      <c r="E281" t="str">
        <f>VLOOKUP(TRIM(D281), Catalogo_gestiones!$A:$B, 2, FALSE)</f>
        <v>N</v>
      </c>
    </row>
    <row r="282" spans="1:5" x14ac:dyDescent="0.25">
      <c r="A282">
        <v>8173552</v>
      </c>
      <c r="B282">
        <v>20787125</v>
      </c>
      <c r="C282" s="1">
        <v>42531</v>
      </c>
      <c r="D282" t="s">
        <v>26</v>
      </c>
      <c r="E282" t="str">
        <f>VLOOKUP(TRIM(D282), Catalogo_gestiones!$A:$B, 2, FALSE)</f>
        <v>N</v>
      </c>
    </row>
    <row r="283" spans="1:5" x14ac:dyDescent="0.25">
      <c r="A283">
        <v>8173554</v>
      </c>
      <c r="B283">
        <v>26936631</v>
      </c>
      <c r="C283" s="1">
        <v>42531</v>
      </c>
      <c r="D283" t="s">
        <v>34</v>
      </c>
      <c r="E283" t="str">
        <f>VLOOKUP(TRIM(D283), Catalogo_gestiones!$A:$B, 2, FALSE)</f>
        <v>N</v>
      </c>
    </row>
    <row r="284" spans="1:5" x14ac:dyDescent="0.25">
      <c r="A284">
        <v>8173554</v>
      </c>
      <c r="B284">
        <v>28584103</v>
      </c>
      <c r="C284" s="1">
        <v>42523</v>
      </c>
      <c r="D284" t="s">
        <v>26</v>
      </c>
      <c r="E284" t="str">
        <f>VLOOKUP(TRIM(D284), Catalogo_gestiones!$A:$B, 2, FALSE)</f>
        <v>N</v>
      </c>
    </row>
    <row r="285" spans="1:5" x14ac:dyDescent="0.25">
      <c r="A285">
        <v>8173659</v>
      </c>
      <c r="B285">
        <v>22424854</v>
      </c>
      <c r="C285" s="1">
        <v>42531</v>
      </c>
      <c r="D285" t="s">
        <v>25</v>
      </c>
      <c r="E285" t="str">
        <f>VLOOKUP(TRIM(D285), Catalogo_gestiones!$A:$B, 2, FALSE)</f>
        <v>N</v>
      </c>
    </row>
    <row r="286" spans="1:5" x14ac:dyDescent="0.25">
      <c r="A286">
        <v>8173659</v>
      </c>
      <c r="B286">
        <v>26356232</v>
      </c>
      <c r="C286" s="1">
        <v>42531</v>
      </c>
      <c r="D286" t="s">
        <v>28</v>
      </c>
      <c r="E286" t="str">
        <f>VLOOKUP(TRIM(D286), Catalogo_gestiones!$A:$B, 2, FALSE)</f>
        <v>N</v>
      </c>
    </row>
    <row r="287" spans="1:5" x14ac:dyDescent="0.25">
      <c r="A287">
        <v>8173751</v>
      </c>
      <c r="B287">
        <v>23390348</v>
      </c>
      <c r="C287" s="1">
        <v>42531</v>
      </c>
      <c r="D287" t="s">
        <v>26</v>
      </c>
      <c r="E287" t="str">
        <f>VLOOKUP(TRIM(D287), Catalogo_gestiones!$A:$B, 2, FALSE)</f>
        <v>N</v>
      </c>
    </row>
    <row r="288" spans="1:5" x14ac:dyDescent="0.25">
      <c r="A288">
        <v>8173877</v>
      </c>
      <c r="B288">
        <v>23856527</v>
      </c>
      <c r="C288" s="1">
        <v>42531</v>
      </c>
      <c r="D288" t="s">
        <v>34</v>
      </c>
      <c r="E288" t="str">
        <f>VLOOKUP(TRIM(D288), Catalogo_gestiones!$A:$B, 2, FALSE)</f>
        <v>N</v>
      </c>
    </row>
    <row r="289" spans="1:5" x14ac:dyDescent="0.25">
      <c r="A289">
        <v>8173935</v>
      </c>
      <c r="B289">
        <v>26913436</v>
      </c>
      <c r="C289" s="1">
        <v>42531</v>
      </c>
      <c r="D289" t="s">
        <v>26</v>
      </c>
      <c r="E289" t="str">
        <f>VLOOKUP(TRIM(D289), Catalogo_gestiones!$A:$B, 2, FALSE)</f>
        <v>N</v>
      </c>
    </row>
    <row r="290" spans="1:5" x14ac:dyDescent="0.25">
      <c r="A290">
        <v>8173944</v>
      </c>
      <c r="B290">
        <v>21732738</v>
      </c>
      <c r="C290" s="1">
        <v>42531</v>
      </c>
      <c r="D290" t="s">
        <v>25</v>
      </c>
      <c r="E290" t="str">
        <f>VLOOKUP(TRIM(D290), Catalogo_gestiones!$A:$B, 2, FALSE)</f>
        <v>N</v>
      </c>
    </row>
    <row r="291" spans="1:5" x14ac:dyDescent="0.25">
      <c r="A291">
        <v>8173948</v>
      </c>
      <c r="B291">
        <v>12213655</v>
      </c>
      <c r="C291" s="1">
        <v>42531</v>
      </c>
      <c r="D291" t="s">
        <v>28</v>
      </c>
      <c r="E291" t="str">
        <f>VLOOKUP(TRIM(D291), Catalogo_gestiones!$A:$B, 2, FALSE)</f>
        <v>N</v>
      </c>
    </row>
    <row r="292" spans="1:5" x14ac:dyDescent="0.25">
      <c r="A292">
        <v>8174057</v>
      </c>
      <c r="B292">
        <v>25232710</v>
      </c>
      <c r="C292" s="1">
        <v>42531</v>
      </c>
      <c r="D292" t="s">
        <v>26</v>
      </c>
      <c r="E292" t="str">
        <f>VLOOKUP(TRIM(D292), Catalogo_gestiones!$A:$B, 2, FALSE)</f>
        <v>N</v>
      </c>
    </row>
    <row r="293" spans="1:5" x14ac:dyDescent="0.25">
      <c r="A293">
        <v>8174057</v>
      </c>
      <c r="B293">
        <v>26383422</v>
      </c>
      <c r="C293" s="1">
        <v>42531</v>
      </c>
      <c r="D293" t="s">
        <v>34</v>
      </c>
      <c r="E293" t="str">
        <f>VLOOKUP(TRIM(D293), Catalogo_gestiones!$A:$B, 2, FALSE)</f>
        <v>N</v>
      </c>
    </row>
    <row r="294" spans="1:5" x14ac:dyDescent="0.25">
      <c r="A294">
        <v>8174057</v>
      </c>
      <c r="B294">
        <v>26909240</v>
      </c>
      <c r="C294" s="1">
        <v>42531</v>
      </c>
      <c r="D294" t="s">
        <v>26</v>
      </c>
      <c r="E294" t="str">
        <f>VLOOKUP(TRIM(D294), Catalogo_gestiones!$A:$B, 2, FALSE)</f>
        <v>N</v>
      </c>
    </row>
    <row r="295" spans="1:5" x14ac:dyDescent="0.25">
      <c r="A295">
        <v>8174057</v>
      </c>
      <c r="B295">
        <v>28215222</v>
      </c>
      <c r="C295" s="1">
        <v>42531</v>
      </c>
      <c r="D295" t="s">
        <v>25</v>
      </c>
      <c r="E295" t="str">
        <f>VLOOKUP(TRIM(D295), Catalogo_gestiones!$A:$B, 2, FALSE)</f>
        <v>N</v>
      </c>
    </row>
    <row r="296" spans="1:5" x14ac:dyDescent="0.25">
      <c r="A296">
        <v>8174059</v>
      </c>
      <c r="B296">
        <v>22099246</v>
      </c>
      <c r="C296" s="1">
        <v>42531</v>
      </c>
      <c r="D296" t="s">
        <v>28</v>
      </c>
      <c r="E296" t="str">
        <f>VLOOKUP(TRIM(D296), Catalogo_gestiones!$A:$B, 2, FALSE)</f>
        <v>N</v>
      </c>
    </row>
    <row r="297" spans="1:5" x14ac:dyDescent="0.25">
      <c r="A297">
        <v>8174059</v>
      </c>
      <c r="B297">
        <v>23427410</v>
      </c>
      <c r="C297" s="1">
        <v>42531</v>
      </c>
      <c r="D297" t="s">
        <v>26</v>
      </c>
      <c r="E297" t="str">
        <f>VLOOKUP(TRIM(D297), Catalogo_gestiones!$A:$B, 2, FALSE)</f>
        <v>N</v>
      </c>
    </row>
    <row r="298" spans="1:5" x14ac:dyDescent="0.25">
      <c r="A298">
        <v>8174167</v>
      </c>
      <c r="B298">
        <v>22474920</v>
      </c>
      <c r="C298" s="1">
        <v>42531</v>
      </c>
      <c r="D298" t="s">
        <v>34</v>
      </c>
      <c r="E298" t="str">
        <f>VLOOKUP(TRIM(D298), Catalogo_gestiones!$A:$B, 2, FALSE)</f>
        <v>N</v>
      </c>
    </row>
    <row r="299" spans="1:5" x14ac:dyDescent="0.25">
      <c r="A299">
        <v>8174228</v>
      </c>
      <c r="B299">
        <v>25119402</v>
      </c>
      <c r="C299" s="1">
        <v>42531</v>
      </c>
      <c r="D299" t="s">
        <v>26</v>
      </c>
      <c r="E299" t="str">
        <f>VLOOKUP(TRIM(D299), Catalogo_gestiones!$A:$B, 2, FALSE)</f>
        <v>N</v>
      </c>
    </row>
    <row r="300" spans="1:5" x14ac:dyDescent="0.25">
      <c r="A300">
        <v>8174723</v>
      </c>
      <c r="B300">
        <v>20516171</v>
      </c>
      <c r="C300" s="1">
        <v>42531</v>
      </c>
      <c r="D300" t="s">
        <v>25</v>
      </c>
      <c r="E300" t="str">
        <f>VLOOKUP(TRIM(D300), Catalogo_gestiones!$A:$B, 2, FALSE)</f>
        <v>N</v>
      </c>
    </row>
    <row r="301" spans="1:5" x14ac:dyDescent="0.25">
      <c r="A301">
        <v>8174723</v>
      </c>
      <c r="B301">
        <v>22647176</v>
      </c>
      <c r="C301" s="1">
        <v>42531</v>
      </c>
      <c r="D301" t="s">
        <v>28</v>
      </c>
      <c r="E301" t="str">
        <f>VLOOKUP(TRIM(D301), Catalogo_gestiones!$A:$B, 2, FALSE)</f>
        <v>N</v>
      </c>
    </row>
    <row r="302" spans="1:5" x14ac:dyDescent="0.25">
      <c r="A302">
        <v>8174927</v>
      </c>
      <c r="B302">
        <v>25357564</v>
      </c>
      <c r="C302" s="1">
        <v>42531</v>
      </c>
      <c r="D302" t="s">
        <v>26</v>
      </c>
      <c r="E302" t="str">
        <f>VLOOKUP(TRIM(D302), Catalogo_gestiones!$A:$B, 2, FALSE)</f>
        <v>N</v>
      </c>
    </row>
    <row r="303" spans="1:5" x14ac:dyDescent="0.25">
      <c r="A303">
        <v>8175003</v>
      </c>
      <c r="B303">
        <v>11405813</v>
      </c>
      <c r="C303" s="1">
        <v>42531</v>
      </c>
      <c r="D303" t="s">
        <v>34</v>
      </c>
      <c r="E303" t="str">
        <f>VLOOKUP(TRIM(D303), Catalogo_gestiones!$A:$B, 2, FALSE)</f>
        <v>N</v>
      </c>
    </row>
    <row r="304" spans="1:5" x14ac:dyDescent="0.25">
      <c r="A304">
        <v>8175087</v>
      </c>
      <c r="B304">
        <v>26656234</v>
      </c>
      <c r="C304" s="1">
        <v>42531</v>
      </c>
      <c r="D304" t="s">
        <v>26</v>
      </c>
      <c r="E304" t="str">
        <f>VLOOKUP(TRIM(D304), Catalogo_gestiones!$A:$B, 2, FALSE)</f>
        <v>N</v>
      </c>
    </row>
    <row r="305" spans="1:5" x14ac:dyDescent="0.25">
      <c r="A305">
        <v>8175094</v>
      </c>
      <c r="B305">
        <v>25678340</v>
      </c>
      <c r="C305" s="1">
        <v>42531</v>
      </c>
      <c r="D305" t="s">
        <v>25</v>
      </c>
      <c r="E305" t="str">
        <f>VLOOKUP(TRIM(D305), Catalogo_gestiones!$A:$B, 2, FALSE)</f>
        <v>N</v>
      </c>
    </row>
    <row r="306" spans="1:5" x14ac:dyDescent="0.25">
      <c r="A306">
        <v>8175117</v>
      </c>
      <c r="B306">
        <v>21924524</v>
      </c>
      <c r="C306" s="1">
        <v>42531</v>
      </c>
      <c r="D306" t="s">
        <v>28</v>
      </c>
      <c r="E306" t="str">
        <f>VLOOKUP(TRIM(D306), Catalogo_gestiones!$A:$B, 2, FALSE)</f>
        <v>N</v>
      </c>
    </row>
    <row r="307" spans="1:5" x14ac:dyDescent="0.25">
      <c r="A307">
        <v>8175117</v>
      </c>
      <c r="B307">
        <v>24163237</v>
      </c>
      <c r="C307" s="1">
        <v>42531</v>
      </c>
      <c r="D307" t="s">
        <v>26</v>
      </c>
      <c r="E307" t="str">
        <f>VLOOKUP(TRIM(D307), Catalogo_gestiones!$A:$B, 2, FALSE)</f>
        <v>N</v>
      </c>
    </row>
    <row r="308" spans="1:5" x14ac:dyDescent="0.25">
      <c r="A308">
        <v>8175233</v>
      </c>
      <c r="B308">
        <v>27048969</v>
      </c>
      <c r="C308" s="1">
        <v>42531</v>
      </c>
      <c r="D308" t="s">
        <v>34</v>
      </c>
      <c r="E308" t="str">
        <f>VLOOKUP(TRIM(D308), Catalogo_gestiones!$A:$B, 2, FALSE)</f>
        <v>N</v>
      </c>
    </row>
    <row r="309" spans="1:5" x14ac:dyDescent="0.25">
      <c r="A309">
        <v>8175412</v>
      </c>
      <c r="B309">
        <v>27722229</v>
      </c>
      <c r="C309" s="1">
        <v>42531</v>
      </c>
      <c r="D309" t="s">
        <v>26</v>
      </c>
      <c r="E309" t="str">
        <f>VLOOKUP(TRIM(D309), Catalogo_gestiones!$A:$B, 2, FALSE)</f>
        <v>N</v>
      </c>
    </row>
    <row r="310" spans="1:5" x14ac:dyDescent="0.25">
      <c r="A310">
        <v>8175432</v>
      </c>
      <c r="B310">
        <v>26725384</v>
      </c>
      <c r="C310" s="1">
        <v>42531</v>
      </c>
      <c r="D310" t="s">
        <v>25</v>
      </c>
      <c r="E310" t="str">
        <f>VLOOKUP(TRIM(D310), Catalogo_gestiones!$A:$B, 2, FALSE)</f>
        <v>N</v>
      </c>
    </row>
    <row r="311" spans="1:5" x14ac:dyDescent="0.25">
      <c r="A311">
        <v>8175434</v>
      </c>
      <c r="B311">
        <v>21490702</v>
      </c>
      <c r="C311" s="1">
        <v>42531</v>
      </c>
      <c r="D311" t="s">
        <v>28</v>
      </c>
      <c r="E311" t="str">
        <f>VLOOKUP(TRIM(D311), Catalogo_gestiones!$A:$B, 2, FALSE)</f>
        <v>N</v>
      </c>
    </row>
    <row r="312" spans="1:5" x14ac:dyDescent="0.25">
      <c r="A312">
        <v>8175434</v>
      </c>
      <c r="B312">
        <v>22984080</v>
      </c>
      <c r="C312" s="1">
        <v>42531</v>
      </c>
      <c r="D312" t="s">
        <v>26</v>
      </c>
      <c r="E312" t="str">
        <f>VLOOKUP(TRIM(D312), Catalogo_gestiones!$A:$B, 2, FALSE)</f>
        <v>N</v>
      </c>
    </row>
    <row r="313" spans="1:5" x14ac:dyDescent="0.25">
      <c r="A313">
        <v>8175434</v>
      </c>
      <c r="B313">
        <v>22984353</v>
      </c>
      <c r="C313" s="1">
        <v>42531</v>
      </c>
      <c r="D313" t="s">
        <v>34</v>
      </c>
      <c r="E313" t="str">
        <f>VLOOKUP(TRIM(D313), Catalogo_gestiones!$A:$B, 2, FALSE)</f>
        <v>N</v>
      </c>
    </row>
    <row r="314" spans="1:5" x14ac:dyDescent="0.25">
      <c r="A314">
        <v>8175434</v>
      </c>
      <c r="B314">
        <v>23068002</v>
      </c>
      <c r="C314" s="1">
        <v>42531</v>
      </c>
      <c r="D314" t="s">
        <v>26</v>
      </c>
      <c r="E314" t="str">
        <f>VLOOKUP(TRIM(D314), Catalogo_gestiones!$A:$B, 2, FALSE)</f>
        <v>N</v>
      </c>
    </row>
    <row r="315" spans="1:5" x14ac:dyDescent="0.25">
      <c r="A315">
        <v>8175434</v>
      </c>
      <c r="B315">
        <v>23123539</v>
      </c>
      <c r="C315" s="1">
        <v>42531</v>
      </c>
      <c r="D315" t="s">
        <v>25</v>
      </c>
      <c r="E315" t="str">
        <f>VLOOKUP(TRIM(D315), Catalogo_gestiones!$A:$B, 2, FALSE)</f>
        <v>N</v>
      </c>
    </row>
    <row r="316" spans="1:5" x14ac:dyDescent="0.25">
      <c r="A316">
        <v>8175434</v>
      </c>
      <c r="B316">
        <v>23827455</v>
      </c>
      <c r="C316" s="1">
        <v>42531</v>
      </c>
      <c r="D316" t="s">
        <v>28</v>
      </c>
      <c r="E316" t="str">
        <f>VLOOKUP(TRIM(D316), Catalogo_gestiones!$A:$B, 2, FALSE)</f>
        <v>N</v>
      </c>
    </row>
    <row r="317" spans="1:5" x14ac:dyDescent="0.25">
      <c r="A317">
        <v>8175434</v>
      </c>
      <c r="B317">
        <v>24903975</v>
      </c>
      <c r="C317" s="1">
        <v>42531</v>
      </c>
      <c r="D317" t="s">
        <v>26</v>
      </c>
      <c r="E317" t="str">
        <f>VLOOKUP(TRIM(D317), Catalogo_gestiones!$A:$B, 2, FALSE)</f>
        <v>N</v>
      </c>
    </row>
    <row r="318" spans="1:5" x14ac:dyDescent="0.25">
      <c r="A318">
        <v>8175521</v>
      </c>
      <c r="B318">
        <v>28584078</v>
      </c>
      <c r="C318" s="1">
        <v>42524</v>
      </c>
      <c r="D318" t="s">
        <v>34</v>
      </c>
      <c r="E318" t="str">
        <f>VLOOKUP(TRIM(D318), Catalogo_gestiones!$A:$B, 2, FALSE)</f>
        <v>N</v>
      </c>
    </row>
    <row r="319" spans="1:5" x14ac:dyDescent="0.25">
      <c r="A319">
        <v>8177174</v>
      </c>
      <c r="B319">
        <v>16031676</v>
      </c>
      <c r="C319" s="1">
        <v>42531</v>
      </c>
      <c r="D319" t="s">
        <v>26</v>
      </c>
      <c r="E319" t="str">
        <f>VLOOKUP(TRIM(D319), Catalogo_gestiones!$A:$B, 2, FALSE)</f>
        <v>N</v>
      </c>
    </row>
    <row r="320" spans="1:5" x14ac:dyDescent="0.25">
      <c r="A320">
        <v>8177174</v>
      </c>
      <c r="B320">
        <v>17210228</v>
      </c>
      <c r="C320" s="1">
        <v>42531</v>
      </c>
      <c r="D320" t="s">
        <v>25</v>
      </c>
      <c r="E320" t="str">
        <f>VLOOKUP(TRIM(D320), Catalogo_gestiones!$A:$B, 2, FALSE)</f>
        <v>N</v>
      </c>
    </row>
    <row r="321" spans="1:5" x14ac:dyDescent="0.25">
      <c r="A321">
        <v>8177716</v>
      </c>
      <c r="B321">
        <v>26262210</v>
      </c>
      <c r="C321" s="1">
        <v>42531</v>
      </c>
      <c r="D321" t="s">
        <v>28</v>
      </c>
      <c r="E321" t="str">
        <f>VLOOKUP(TRIM(D321), Catalogo_gestiones!$A:$B, 2, FALSE)</f>
        <v>N</v>
      </c>
    </row>
    <row r="322" spans="1:5" x14ac:dyDescent="0.25">
      <c r="A322">
        <v>8177887</v>
      </c>
      <c r="B322">
        <v>26004795</v>
      </c>
      <c r="C322" s="1">
        <v>42531</v>
      </c>
      <c r="D322" t="s">
        <v>26</v>
      </c>
      <c r="E322" t="str">
        <f>VLOOKUP(TRIM(D322), Catalogo_gestiones!$A:$B, 2, FALSE)</f>
        <v>N</v>
      </c>
    </row>
    <row r="323" spans="1:5" x14ac:dyDescent="0.25">
      <c r="A323">
        <v>8178293</v>
      </c>
      <c r="B323">
        <v>19935619</v>
      </c>
      <c r="C323" s="1">
        <v>42531</v>
      </c>
      <c r="D323" t="s">
        <v>34</v>
      </c>
      <c r="E323" t="str">
        <f>VLOOKUP(TRIM(D323), Catalogo_gestiones!$A:$B, 2, FALSE)</f>
        <v>N</v>
      </c>
    </row>
    <row r="324" spans="1:5" x14ac:dyDescent="0.25">
      <c r="A324">
        <v>8178346</v>
      </c>
      <c r="B324">
        <v>26154252</v>
      </c>
      <c r="C324" s="1">
        <v>42531</v>
      </c>
      <c r="D324" t="s">
        <v>26</v>
      </c>
      <c r="E324" t="str">
        <f>VLOOKUP(TRIM(D324), Catalogo_gestiones!$A:$B, 2, FALSE)</f>
        <v>N</v>
      </c>
    </row>
    <row r="325" spans="1:5" x14ac:dyDescent="0.25">
      <c r="A325">
        <v>8180768</v>
      </c>
      <c r="B325">
        <v>1438298</v>
      </c>
      <c r="C325" s="1">
        <v>42531</v>
      </c>
      <c r="D325" t="s">
        <v>25</v>
      </c>
      <c r="E325" t="str">
        <f>VLOOKUP(TRIM(D325), Catalogo_gestiones!$A:$B, 2, FALSE)</f>
        <v>N</v>
      </c>
    </row>
    <row r="326" spans="1:5" x14ac:dyDescent="0.25">
      <c r="A326">
        <v>8181055</v>
      </c>
      <c r="B326">
        <v>21622993</v>
      </c>
      <c r="C326" s="1">
        <v>42531</v>
      </c>
      <c r="D326" t="s">
        <v>28</v>
      </c>
      <c r="E326" t="str">
        <f>VLOOKUP(TRIM(D326), Catalogo_gestiones!$A:$B, 2, FALSE)</f>
        <v>N</v>
      </c>
    </row>
    <row r="327" spans="1:5" x14ac:dyDescent="0.25">
      <c r="A327">
        <v>8181055</v>
      </c>
      <c r="B327">
        <v>21623286</v>
      </c>
      <c r="C327" s="1">
        <v>42531</v>
      </c>
      <c r="D327" t="s">
        <v>26</v>
      </c>
      <c r="E327" t="str">
        <f>VLOOKUP(TRIM(D327), Catalogo_gestiones!$A:$B, 2, FALSE)</f>
        <v>N</v>
      </c>
    </row>
    <row r="328" spans="1:5" x14ac:dyDescent="0.25">
      <c r="A328">
        <v>8181850</v>
      </c>
      <c r="B328">
        <v>16943512</v>
      </c>
      <c r="C328" s="1">
        <v>42531</v>
      </c>
      <c r="D328" t="s">
        <v>34</v>
      </c>
      <c r="E328" t="str">
        <f>VLOOKUP(TRIM(D328), Catalogo_gestiones!$A:$B, 2, FALSE)</f>
        <v>N</v>
      </c>
    </row>
    <row r="329" spans="1:5" x14ac:dyDescent="0.25">
      <c r="A329">
        <v>8182206</v>
      </c>
      <c r="B329">
        <v>12411571</v>
      </c>
      <c r="C329" s="1">
        <v>42531</v>
      </c>
      <c r="D329" t="s">
        <v>26</v>
      </c>
      <c r="E329" t="str">
        <f>VLOOKUP(TRIM(D329), Catalogo_gestiones!$A:$B, 2, FALSE)</f>
        <v>N</v>
      </c>
    </row>
    <row r="330" spans="1:5" x14ac:dyDescent="0.25">
      <c r="A330">
        <v>8182206</v>
      </c>
      <c r="B330">
        <v>15355963</v>
      </c>
      <c r="C330" s="1">
        <v>42531</v>
      </c>
      <c r="D330" t="s">
        <v>25</v>
      </c>
      <c r="E330" t="str">
        <f>VLOOKUP(TRIM(D330), Catalogo_gestiones!$A:$B, 2, FALSE)</f>
        <v>N</v>
      </c>
    </row>
    <row r="331" spans="1:5" x14ac:dyDescent="0.25">
      <c r="A331">
        <v>8182206</v>
      </c>
      <c r="B331">
        <v>15356943</v>
      </c>
      <c r="C331" s="1">
        <v>42531</v>
      </c>
      <c r="D331" t="s">
        <v>28</v>
      </c>
      <c r="E331" t="str">
        <f>VLOOKUP(TRIM(D331), Catalogo_gestiones!$A:$B, 2, FALSE)</f>
        <v>N</v>
      </c>
    </row>
    <row r="332" spans="1:5" x14ac:dyDescent="0.25">
      <c r="A332">
        <v>8182453</v>
      </c>
      <c r="B332">
        <v>4284933</v>
      </c>
      <c r="C332" s="1">
        <v>42531</v>
      </c>
      <c r="D332" t="s">
        <v>26</v>
      </c>
      <c r="E332" t="str">
        <f>VLOOKUP(TRIM(D332), Catalogo_gestiones!$A:$B, 2, FALSE)</f>
        <v>N</v>
      </c>
    </row>
    <row r="333" spans="1:5" x14ac:dyDescent="0.25">
      <c r="A333">
        <v>8182453</v>
      </c>
      <c r="B333">
        <v>10408712</v>
      </c>
      <c r="C333" s="1">
        <v>42531</v>
      </c>
      <c r="D333" t="s">
        <v>34</v>
      </c>
      <c r="E333" t="str">
        <f>VLOOKUP(TRIM(D333), Catalogo_gestiones!$A:$B, 2, FALSE)</f>
        <v>N</v>
      </c>
    </row>
    <row r="334" spans="1:5" x14ac:dyDescent="0.25">
      <c r="A334">
        <v>8182453</v>
      </c>
      <c r="B334">
        <v>15475872</v>
      </c>
      <c r="C334" s="1">
        <v>42531</v>
      </c>
      <c r="D334" t="s">
        <v>26</v>
      </c>
      <c r="E334" t="str">
        <f>VLOOKUP(TRIM(D334), Catalogo_gestiones!$A:$B, 2, FALSE)</f>
        <v>N</v>
      </c>
    </row>
    <row r="335" spans="1:5" x14ac:dyDescent="0.25">
      <c r="A335">
        <v>8183550</v>
      </c>
      <c r="B335">
        <v>25922154</v>
      </c>
      <c r="C335" s="1">
        <v>42531</v>
      </c>
      <c r="D335" t="s">
        <v>25</v>
      </c>
      <c r="E335" t="str">
        <f>VLOOKUP(TRIM(D335), Catalogo_gestiones!$A:$B, 2, FALSE)</f>
        <v>N</v>
      </c>
    </row>
    <row r="336" spans="1:5" x14ac:dyDescent="0.25">
      <c r="A336">
        <v>8183593</v>
      </c>
      <c r="B336">
        <v>3487181</v>
      </c>
      <c r="C336" s="1">
        <v>42531</v>
      </c>
      <c r="D336" t="s">
        <v>28</v>
      </c>
      <c r="E336" t="str">
        <f>VLOOKUP(TRIM(D336), Catalogo_gestiones!$A:$B, 2, FALSE)</f>
        <v>N</v>
      </c>
    </row>
    <row r="337" spans="1:5" x14ac:dyDescent="0.25">
      <c r="A337">
        <v>8183593</v>
      </c>
      <c r="B337">
        <v>3487537</v>
      </c>
      <c r="C337" s="1">
        <v>42531</v>
      </c>
      <c r="D337" t="s">
        <v>26</v>
      </c>
      <c r="E337" t="str">
        <f>VLOOKUP(TRIM(D337), Catalogo_gestiones!$A:$B, 2, FALSE)</f>
        <v>N</v>
      </c>
    </row>
    <row r="338" spans="1:5" x14ac:dyDescent="0.25">
      <c r="A338">
        <v>8183881</v>
      </c>
      <c r="B338">
        <v>25845909</v>
      </c>
      <c r="C338" s="1">
        <v>42531</v>
      </c>
      <c r="D338" t="s">
        <v>34</v>
      </c>
      <c r="E338" t="str">
        <f>VLOOKUP(TRIM(D338), Catalogo_gestiones!$A:$B, 2, FALSE)</f>
        <v>N</v>
      </c>
    </row>
    <row r="339" spans="1:5" x14ac:dyDescent="0.25">
      <c r="A339">
        <v>8183881</v>
      </c>
      <c r="B339">
        <v>25846725</v>
      </c>
      <c r="C339" s="1">
        <v>42531</v>
      </c>
      <c r="D339" t="s">
        <v>26</v>
      </c>
      <c r="E339" t="str">
        <f>VLOOKUP(TRIM(D339), Catalogo_gestiones!$A:$B, 2, FALSE)</f>
        <v>N</v>
      </c>
    </row>
    <row r="340" spans="1:5" x14ac:dyDescent="0.25">
      <c r="A340">
        <v>8184628</v>
      </c>
      <c r="B340">
        <v>24982681</v>
      </c>
      <c r="C340" s="1">
        <v>42531</v>
      </c>
      <c r="D340" t="s">
        <v>25</v>
      </c>
      <c r="E340" t="str">
        <f>VLOOKUP(TRIM(D340), Catalogo_gestiones!$A:$B, 2, FALSE)</f>
        <v>N</v>
      </c>
    </row>
    <row r="341" spans="1:5" x14ac:dyDescent="0.25">
      <c r="A341">
        <v>8184681</v>
      </c>
      <c r="B341">
        <v>21188298</v>
      </c>
      <c r="C341" s="1">
        <v>42522</v>
      </c>
      <c r="D341" t="s">
        <v>28</v>
      </c>
      <c r="E341" t="str">
        <f>VLOOKUP(TRIM(D341), Catalogo_gestiones!$A:$B, 2, FALSE)</f>
        <v>N</v>
      </c>
    </row>
    <row r="342" spans="1:5" x14ac:dyDescent="0.25">
      <c r="A342">
        <v>8184854</v>
      </c>
      <c r="B342">
        <v>22156065</v>
      </c>
      <c r="C342" s="1">
        <v>42531</v>
      </c>
      <c r="D342" t="s">
        <v>26</v>
      </c>
      <c r="E342" t="str">
        <f>VLOOKUP(TRIM(D342), Catalogo_gestiones!$A:$B, 2, FALSE)</f>
        <v>N</v>
      </c>
    </row>
    <row r="343" spans="1:5" x14ac:dyDescent="0.25">
      <c r="A343">
        <v>8185898</v>
      </c>
      <c r="B343">
        <v>26379550</v>
      </c>
      <c r="C343" s="1">
        <v>42531</v>
      </c>
      <c r="D343" t="s">
        <v>34</v>
      </c>
      <c r="E343" t="str">
        <f>VLOOKUP(TRIM(D343), Catalogo_gestiones!$A:$B, 2, FALSE)</f>
        <v>N</v>
      </c>
    </row>
    <row r="344" spans="1:5" x14ac:dyDescent="0.25">
      <c r="A344">
        <v>8186426</v>
      </c>
      <c r="B344">
        <v>22931031</v>
      </c>
      <c r="C344" s="1">
        <v>42531</v>
      </c>
      <c r="D344" t="s">
        <v>26</v>
      </c>
      <c r="E344" t="str">
        <f>VLOOKUP(TRIM(D344), Catalogo_gestiones!$A:$B, 2, FALSE)</f>
        <v>N</v>
      </c>
    </row>
    <row r="345" spans="1:5" x14ac:dyDescent="0.25">
      <c r="A345">
        <v>8187113</v>
      </c>
      <c r="B345">
        <v>21767160</v>
      </c>
      <c r="C345" s="1">
        <v>42531</v>
      </c>
      <c r="D345" t="s">
        <v>25</v>
      </c>
      <c r="E345" t="str">
        <f>VLOOKUP(TRIM(D345), Catalogo_gestiones!$A:$B, 2, FALSE)</f>
        <v>N</v>
      </c>
    </row>
    <row r="346" spans="1:5" x14ac:dyDescent="0.25">
      <c r="A346">
        <v>8187231</v>
      </c>
      <c r="B346">
        <v>28056854</v>
      </c>
      <c r="C346" s="1">
        <v>42522</v>
      </c>
      <c r="D346" t="s">
        <v>28</v>
      </c>
      <c r="E346" t="str">
        <f>VLOOKUP(TRIM(D346), Catalogo_gestiones!$A:$B, 2, FALSE)</f>
        <v>N</v>
      </c>
    </row>
    <row r="347" spans="1:5" x14ac:dyDescent="0.25">
      <c r="A347">
        <v>8187553</v>
      </c>
      <c r="B347">
        <v>27233220</v>
      </c>
      <c r="C347" s="1">
        <v>42531</v>
      </c>
      <c r="D347" t="s">
        <v>26</v>
      </c>
      <c r="E347" t="str">
        <f>VLOOKUP(TRIM(D347), Catalogo_gestiones!$A:$B, 2, FALSE)</f>
        <v>N</v>
      </c>
    </row>
    <row r="348" spans="1:5" x14ac:dyDescent="0.25">
      <c r="A348">
        <v>8187734</v>
      </c>
      <c r="B348">
        <v>10938673</v>
      </c>
      <c r="C348" s="1">
        <v>42522</v>
      </c>
      <c r="D348" t="s">
        <v>34</v>
      </c>
      <c r="E348" t="str">
        <f>VLOOKUP(TRIM(D348), Catalogo_gestiones!$A:$B, 2, FALSE)</f>
        <v>N</v>
      </c>
    </row>
    <row r="349" spans="1:5" x14ac:dyDescent="0.25">
      <c r="A349">
        <v>8187955</v>
      </c>
      <c r="B349">
        <v>22742458</v>
      </c>
      <c r="C349" s="1">
        <v>42531</v>
      </c>
      <c r="D349" t="s">
        <v>26</v>
      </c>
      <c r="E349" t="str">
        <f>VLOOKUP(TRIM(D349), Catalogo_gestiones!$A:$B, 2, FALSE)</f>
        <v>N</v>
      </c>
    </row>
    <row r="350" spans="1:5" x14ac:dyDescent="0.25">
      <c r="A350">
        <v>8188190</v>
      </c>
      <c r="B350">
        <v>22079343</v>
      </c>
      <c r="C350" s="1">
        <v>42523</v>
      </c>
      <c r="D350" t="s">
        <v>25</v>
      </c>
      <c r="E350" t="str">
        <f>VLOOKUP(TRIM(D350), Catalogo_gestiones!$A:$B, 2, FALSE)</f>
        <v>N</v>
      </c>
    </row>
    <row r="351" spans="1:5" x14ac:dyDescent="0.25">
      <c r="A351">
        <v>8188190</v>
      </c>
      <c r="B351">
        <v>23063678</v>
      </c>
      <c r="C351" s="1">
        <v>42523</v>
      </c>
      <c r="D351" t="s">
        <v>28</v>
      </c>
      <c r="E351" t="str">
        <f>VLOOKUP(TRIM(D351), Catalogo_gestiones!$A:$B, 2, FALSE)</f>
        <v>N</v>
      </c>
    </row>
    <row r="352" spans="1:5" x14ac:dyDescent="0.25">
      <c r="A352">
        <v>8188190</v>
      </c>
      <c r="B352">
        <v>23064775</v>
      </c>
      <c r="C352" s="1">
        <v>42523</v>
      </c>
      <c r="D352" t="s">
        <v>26</v>
      </c>
      <c r="E352" t="str">
        <f>VLOOKUP(TRIM(D352), Catalogo_gestiones!$A:$B, 2, FALSE)</f>
        <v>N</v>
      </c>
    </row>
    <row r="353" spans="1:5" x14ac:dyDescent="0.25">
      <c r="A353">
        <v>8188778</v>
      </c>
      <c r="B353">
        <v>24100840</v>
      </c>
      <c r="C353" s="1">
        <v>42531</v>
      </c>
      <c r="D353" t="s">
        <v>34</v>
      </c>
      <c r="E353" t="str">
        <f>VLOOKUP(TRIM(D353), Catalogo_gestiones!$A:$B, 2, FALSE)</f>
        <v>N</v>
      </c>
    </row>
    <row r="354" spans="1:5" x14ac:dyDescent="0.25">
      <c r="A354">
        <v>8188778</v>
      </c>
      <c r="B354">
        <v>24358304</v>
      </c>
      <c r="C354" s="1">
        <v>42531</v>
      </c>
      <c r="D354" t="s">
        <v>26</v>
      </c>
      <c r="E354" t="str">
        <f>VLOOKUP(TRIM(D354), Catalogo_gestiones!$A:$B, 2, FALSE)</f>
        <v>N</v>
      </c>
    </row>
    <row r="355" spans="1:5" x14ac:dyDescent="0.25">
      <c r="A355">
        <v>8188778</v>
      </c>
      <c r="B355">
        <v>24359949</v>
      </c>
      <c r="C355" s="1">
        <v>42531</v>
      </c>
      <c r="D355" t="s">
        <v>25</v>
      </c>
      <c r="E355" t="str">
        <f>VLOOKUP(TRIM(D355), Catalogo_gestiones!$A:$B, 2, FALSE)</f>
        <v>N</v>
      </c>
    </row>
    <row r="356" spans="1:5" x14ac:dyDescent="0.25">
      <c r="A356">
        <v>8188922</v>
      </c>
      <c r="B356">
        <v>25276234</v>
      </c>
      <c r="C356" s="1">
        <v>42531</v>
      </c>
      <c r="D356" t="s">
        <v>28</v>
      </c>
      <c r="E356" t="str">
        <f>VLOOKUP(TRIM(D356), Catalogo_gestiones!$A:$B, 2, FALSE)</f>
        <v>N</v>
      </c>
    </row>
    <row r="357" spans="1:5" x14ac:dyDescent="0.25">
      <c r="A357">
        <v>8188922</v>
      </c>
      <c r="B357">
        <v>25278013</v>
      </c>
      <c r="C357" s="1">
        <v>42531</v>
      </c>
      <c r="D357" t="s">
        <v>26</v>
      </c>
      <c r="E357" t="str">
        <f>VLOOKUP(TRIM(D357), Catalogo_gestiones!$A:$B, 2, FALSE)</f>
        <v>N</v>
      </c>
    </row>
    <row r="358" spans="1:5" x14ac:dyDescent="0.25">
      <c r="A358">
        <v>8188922</v>
      </c>
      <c r="B358">
        <v>25291355</v>
      </c>
      <c r="C358" s="1">
        <v>42531</v>
      </c>
      <c r="D358" t="s">
        <v>34</v>
      </c>
      <c r="E358" t="str">
        <f>VLOOKUP(TRIM(D358), Catalogo_gestiones!$A:$B, 2, FALSE)</f>
        <v>N</v>
      </c>
    </row>
    <row r="359" spans="1:5" x14ac:dyDescent="0.25">
      <c r="A359">
        <v>8188922</v>
      </c>
      <c r="B359">
        <v>26207742</v>
      </c>
      <c r="C359" s="1">
        <v>42531</v>
      </c>
      <c r="D359" t="s">
        <v>26</v>
      </c>
      <c r="E359" t="str">
        <f>VLOOKUP(TRIM(D359), Catalogo_gestiones!$A:$B, 2, FALSE)</f>
        <v>N</v>
      </c>
    </row>
    <row r="360" spans="1:5" x14ac:dyDescent="0.25">
      <c r="A360">
        <v>8241775</v>
      </c>
      <c r="B360">
        <v>25340462</v>
      </c>
      <c r="C360" s="1">
        <v>42531</v>
      </c>
      <c r="D360" t="s">
        <v>25</v>
      </c>
      <c r="E360" t="str">
        <f>VLOOKUP(TRIM(D360), Catalogo_gestiones!$A:$B, 2, FALSE)</f>
        <v>N</v>
      </c>
    </row>
    <row r="361" spans="1:5" x14ac:dyDescent="0.25">
      <c r="A361">
        <v>8241793</v>
      </c>
      <c r="B361">
        <v>25338590</v>
      </c>
      <c r="C361" s="1">
        <v>42531</v>
      </c>
      <c r="D361" t="s">
        <v>28</v>
      </c>
      <c r="E361" t="str">
        <f>VLOOKUP(TRIM(D361), Catalogo_gestiones!$A:$B, 2, FALSE)</f>
        <v>N</v>
      </c>
    </row>
    <row r="362" spans="1:5" x14ac:dyDescent="0.25">
      <c r="A362">
        <v>8241793</v>
      </c>
      <c r="B362">
        <v>27398392</v>
      </c>
      <c r="C362" s="1">
        <v>42531</v>
      </c>
      <c r="D362" t="s">
        <v>26</v>
      </c>
      <c r="E362" t="str">
        <f>VLOOKUP(TRIM(D362), Catalogo_gestiones!$A:$B, 2, FALSE)</f>
        <v>N</v>
      </c>
    </row>
    <row r="363" spans="1:5" x14ac:dyDescent="0.25">
      <c r="A363">
        <v>8250710</v>
      </c>
      <c r="B363">
        <v>27049625</v>
      </c>
      <c r="C363" s="1">
        <v>42531</v>
      </c>
      <c r="D363" t="s">
        <v>34</v>
      </c>
      <c r="E363" t="str">
        <f>VLOOKUP(TRIM(D363), Catalogo_gestiones!$A:$B, 2, FALSE)</f>
        <v>N</v>
      </c>
    </row>
    <row r="364" spans="1:5" x14ac:dyDescent="0.25">
      <c r="A364">
        <v>8250963</v>
      </c>
      <c r="B364">
        <v>27064250</v>
      </c>
      <c r="C364" s="1">
        <v>42531</v>
      </c>
      <c r="D364" t="s">
        <v>26</v>
      </c>
      <c r="E364" t="str">
        <f>VLOOKUP(TRIM(D364), Catalogo_gestiones!$A:$B, 2, FALSE)</f>
        <v>N</v>
      </c>
    </row>
    <row r="365" spans="1:5" x14ac:dyDescent="0.25">
      <c r="A365">
        <v>8251019</v>
      </c>
      <c r="B365">
        <v>23719460</v>
      </c>
      <c r="C365" s="1">
        <v>42531</v>
      </c>
      <c r="D365" t="s">
        <v>25</v>
      </c>
      <c r="E365" t="str">
        <f>VLOOKUP(TRIM(D365), Catalogo_gestiones!$A:$B, 2, FALSE)</f>
        <v>N</v>
      </c>
    </row>
    <row r="366" spans="1:5" x14ac:dyDescent="0.25">
      <c r="A366">
        <v>8251019</v>
      </c>
      <c r="B366">
        <v>25290944</v>
      </c>
      <c r="C366" s="1">
        <v>42531</v>
      </c>
      <c r="D366" t="s">
        <v>28</v>
      </c>
      <c r="E366" t="str">
        <f>VLOOKUP(TRIM(D366), Catalogo_gestiones!$A:$B, 2, FALSE)</f>
        <v>N</v>
      </c>
    </row>
    <row r="367" spans="1:5" x14ac:dyDescent="0.25">
      <c r="A367">
        <v>8251177</v>
      </c>
      <c r="B367">
        <v>21128914</v>
      </c>
      <c r="C367" s="1">
        <v>42531</v>
      </c>
      <c r="D367" t="s">
        <v>26</v>
      </c>
      <c r="E367" t="str">
        <f>VLOOKUP(TRIM(D367), Catalogo_gestiones!$A:$B, 2, FALSE)</f>
        <v>N</v>
      </c>
    </row>
    <row r="368" spans="1:5" x14ac:dyDescent="0.25">
      <c r="A368">
        <v>8251177</v>
      </c>
      <c r="B368">
        <v>21131643</v>
      </c>
      <c r="C368" s="1">
        <v>42531</v>
      </c>
      <c r="D368" t="s">
        <v>34</v>
      </c>
      <c r="E368" t="str">
        <f>VLOOKUP(TRIM(D368), Catalogo_gestiones!$A:$B, 2, FALSE)</f>
        <v>N</v>
      </c>
    </row>
    <row r="369" spans="1:5" x14ac:dyDescent="0.25">
      <c r="A369">
        <v>8259541</v>
      </c>
      <c r="B369">
        <v>25529977</v>
      </c>
      <c r="C369" s="1">
        <v>42531</v>
      </c>
      <c r="D369" t="s">
        <v>26</v>
      </c>
      <c r="E369" t="str">
        <f>VLOOKUP(TRIM(D369), Catalogo_gestiones!$A:$B, 2, FALSE)</f>
        <v>N</v>
      </c>
    </row>
    <row r="370" spans="1:5" x14ac:dyDescent="0.25">
      <c r="A370">
        <v>8259637</v>
      </c>
      <c r="B370">
        <v>22944995</v>
      </c>
      <c r="C370" s="1">
        <v>42531</v>
      </c>
      <c r="D370" t="s">
        <v>25</v>
      </c>
      <c r="E370" t="str">
        <f>VLOOKUP(TRIM(D370), Catalogo_gestiones!$A:$B, 2, FALSE)</f>
        <v>N</v>
      </c>
    </row>
    <row r="371" spans="1:5" x14ac:dyDescent="0.25">
      <c r="A371">
        <v>8259892</v>
      </c>
      <c r="B371">
        <v>27130647</v>
      </c>
      <c r="C371" s="1">
        <v>42531</v>
      </c>
      <c r="D371" t="s">
        <v>28</v>
      </c>
      <c r="E371" t="str">
        <f>VLOOKUP(TRIM(D371), Catalogo_gestiones!$A:$B, 2, FALSE)</f>
        <v>N</v>
      </c>
    </row>
    <row r="372" spans="1:5" x14ac:dyDescent="0.25">
      <c r="A372">
        <v>8259910</v>
      </c>
      <c r="B372">
        <v>25711831</v>
      </c>
      <c r="C372" s="1">
        <v>42531</v>
      </c>
      <c r="D372" t="s">
        <v>26</v>
      </c>
      <c r="E372" t="str">
        <f>VLOOKUP(TRIM(D372), Catalogo_gestiones!$A:$B, 2, FALSE)</f>
        <v>N</v>
      </c>
    </row>
    <row r="373" spans="1:5" x14ac:dyDescent="0.25">
      <c r="A373">
        <v>8259919</v>
      </c>
      <c r="B373">
        <v>22073982</v>
      </c>
      <c r="C373" s="1">
        <v>42531</v>
      </c>
      <c r="D373" t="s">
        <v>34</v>
      </c>
      <c r="E373" t="str">
        <f>VLOOKUP(TRIM(D373), Catalogo_gestiones!$A:$B, 2, FALSE)</f>
        <v>N</v>
      </c>
    </row>
    <row r="374" spans="1:5" x14ac:dyDescent="0.25">
      <c r="A374">
        <v>8260027</v>
      </c>
      <c r="B374">
        <v>24186163</v>
      </c>
      <c r="C374" s="1">
        <v>42531</v>
      </c>
      <c r="D374" t="s">
        <v>26</v>
      </c>
      <c r="E374" t="str">
        <f>VLOOKUP(TRIM(D374), Catalogo_gestiones!$A:$B, 2, FALSE)</f>
        <v>N</v>
      </c>
    </row>
    <row r="375" spans="1:5" x14ac:dyDescent="0.25">
      <c r="A375">
        <v>8260069</v>
      </c>
      <c r="B375">
        <v>25090532</v>
      </c>
      <c r="C375" s="1">
        <v>42531</v>
      </c>
      <c r="D375" t="s">
        <v>25</v>
      </c>
      <c r="E375" t="str">
        <f>VLOOKUP(TRIM(D375), Catalogo_gestiones!$A:$B, 2, FALSE)</f>
        <v>N</v>
      </c>
    </row>
    <row r="376" spans="1:5" x14ac:dyDescent="0.25">
      <c r="A376">
        <v>8260078</v>
      </c>
      <c r="B376">
        <v>21721963</v>
      </c>
      <c r="C376" s="1">
        <v>42531</v>
      </c>
      <c r="D376" t="s">
        <v>28</v>
      </c>
      <c r="E376" t="str">
        <f>VLOOKUP(TRIM(D376), Catalogo_gestiones!$A:$B, 2, FALSE)</f>
        <v>N</v>
      </c>
    </row>
    <row r="377" spans="1:5" x14ac:dyDescent="0.25">
      <c r="A377">
        <v>8260078</v>
      </c>
      <c r="B377">
        <v>21777819</v>
      </c>
      <c r="C377" s="1">
        <v>42529</v>
      </c>
      <c r="D377" t="s">
        <v>26</v>
      </c>
      <c r="E377" t="str">
        <f>VLOOKUP(TRIM(D377), Catalogo_gestiones!$A:$B, 2, FALSE)</f>
        <v>N</v>
      </c>
    </row>
    <row r="378" spans="1:5" x14ac:dyDescent="0.25">
      <c r="A378">
        <v>8260160</v>
      </c>
      <c r="B378">
        <v>27607686</v>
      </c>
      <c r="C378" s="1">
        <v>42531</v>
      </c>
      <c r="D378" t="s">
        <v>34</v>
      </c>
      <c r="E378" t="str">
        <f>VLOOKUP(TRIM(D378), Catalogo_gestiones!$A:$B, 2, FALSE)</f>
        <v>N</v>
      </c>
    </row>
    <row r="379" spans="1:5" x14ac:dyDescent="0.25">
      <c r="A379">
        <v>8260578</v>
      </c>
      <c r="B379">
        <v>27404616</v>
      </c>
      <c r="C379" s="1">
        <v>42531</v>
      </c>
      <c r="D379" t="s">
        <v>26</v>
      </c>
      <c r="E379" t="str">
        <f>VLOOKUP(TRIM(D379), Catalogo_gestiones!$A:$B, 2, FALSE)</f>
        <v>N</v>
      </c>
    </row>
    <row r="380" spans="1:5" x14ac:dyDescent="0.25">
      <c r="A380">
        <v>8260654</v>
      </c>
      <c r="B380">
        <v>25058357</v>
      </c>
      <c r="C380" s="1">
        <v>42531</v>
      </c>
      <c r="D380" t="s">
        <v>25</v>
      </c>
      <c r="E380" t="str">
        <f>VLOOKUP(TRIM(D380), Catalogo_gestiones!$A:$B, 2, FALSE)</f>
        <v>N</v>
      </c>
    </row>
    <row r="381" spans="1:5" x14ac:dyDescent="0.25">
      <c r="A381">
        <v>8260654</v>
      </c>
      <c r="B381">
        <v>25097727</v>
      </c>
      <c r="C381" s="1">
        <v>42531</v>
      </c>
      <c r="D381" t="s">
        <v>28</v>
      </c>
      <c r="E381" t="str">
        <f>VLOOKUP(TRIM(D381), Catalogo_gestiones!$A:$B, 2, FALSE)</f>
        <v>N</v>
      </c>
    </row>
    <row r="382" spans="1:5" x14ac:dyDescent="0.25">
      <c r="A382">
        <v>8260684</v>
      </c>
      <c r="B382">
        <v>25807487</v>
      </c>
      <c r="C382" s="1">
        <v>42531</v>
      </c>
      <c r="D382" t="s">
        <v>26</v>
      </c>
      <c r="E382" t="str">
        <f>VLOOKUP(TRIM(D382), Catalogo_gestiones!$A:$B, 2, FALSE)</f>
        <v>N</v>
      </c>
    </row>
    <row r="383" spans="1:5" x14ac:dyDescent="0.25">
      <c r="A383">
        <v>8260684</v>
      </c>
      <c r="B383">
        <v>26368969</v>
      </c>
      <c r="C383" s="1">
        <v>42531</v>
      </c>
      <c r="D383" t="s">
        <v>34</v>
      </c>
      <c r="E383" t="str">
        <f>VLOOKUP(TRIM(D383), Catalogo_gestiones!$A:$B, 2, FALSE)</f>
        <v>N</v>
      </c>
    </row>
    <row r="384" spans="1:5" x14ac:dyDescent="0.25">
      <c r="A384">
        <v>8260684</v>
      </c>
      <c r="B384">
        <v>26369715</v>
      </c>
      <c r="C384" s="1">
        <v>42531</v>
      </c>
      <c r="D384" t="s">
        <v>26</v>
      </c>
      <c r="E384" t="str">
        <f>VLOOKUP(TRIM(D384), Catalogo_gestiones!$A:$B, 2, FALSE)</f>
        <v>N</v>
      </c>
    </row>
    <row r="385" spans="1:5" x14ac:dyDescent="0.25">
      <c r="A385">
        <v>8260684</v>
      </c>
      <c r="B385">
        <v>27853647</v>
      </c>
      <c r="C385" s="1">
        <v>42531</v>
      </c>
      <c r="D385" t="s">
        <v>25</v>
      </c>
      <c r="E385" t="str">
        <f>VLOOKUP(TRIM(D385), Catalogo_gestiones!$A:$B, 2, FALSE)</f>
        <v>N</v>
      </c>
    </row>
    <row r="386" spans="1:5" x14ac:dyDescent="0.25">
      <c r="A386">
        <v>8260719</v>
      </c>
      <c r="B386">
        <v>20150113</v>
      </c>
      <c r="C386" s="1">
        <v>42531</v>
      </c>
      <c r="D386" t="s">
        <v>28</v>
      </c>
      <c r="E386" t="str">
        <f>VLOOKUP(TRIM(D386), Catalogo_gestiones!$A:$B, 2, FALSE)</f>
        <v>N</v>
      </c>
    </row>
    <row r="387" spans="1:5" x14ac:dyDescent="0.25">
      <c r="A387">
        <v>8260923</v>
      </c>
      <c r="B387">
        <v>23139966</v>
      </c>
      <c r="C387" s="1">
        <v>42531</v>
      </c>
      <c r="D387" t="s">
        <v>26</v>
      </c>
      <c r="E387" t="str">
        <f>VLOOKUP(TRIM(D387), Catalogo_gestiones!$A:$B, 2, FALSE)</f>
        <v>N</v>
      </c>
    </row>
    <row r="388" spans="1:5" x14ac:dyDescent="0.25">
      <c r="A388">
        <v>8260923</v>
      </c>
      <c r="B388">
        <v>23216432</v>
      </c>
      <c r="C388" s="1">
        <v>42531</v>
      </c>
      <c r="D388" t="s">
        <v>34</v>
      </c>
      <c r="E388" t="str">
        <f>VLOOKUP(TRIM(D388), Catalogo_gestiones!$A:$B, 2, FALSE)</f>
        <v>N</v>
      </c>
    </row>
    <row r="389" spans="1:5" x14ac:dyDescent="0.25">
      <c r="A389">
        <v>8261115</v>
      </c>
      <c r="B389">
        <v>21710750</v>
      </c>
      <c r="C389" s="1">
        <v>42531</v>
      </c>
      <c r="D389" t="s">
        <v>26</v>
      </c>
      <c r="E389" t="str">
        <f>VLOOKUP(TRIM(D389), Catalogo_gestiones!$A:$B, 2, FALSE)</f>
        <v>N</v>
      </c>
    </row>
    <row r="390" spans="1:5" x14ac:dyDescent="0.25">
      <c r="A390">
        <v>8261115</v>
      </c>
      <c r="B390">
        <v>25119832</v>
      </c>
      <c r="C390" s="1">
        <v>42531</v>
      </c>
      <c r="D390" t="s">
        <v>25</v>
      </c>
      <c r="E390" t="str">
        <f>VLOOKUP(TRIM(D390), Catalogo_gestiones!$A:$B, 2, FALSE)</f>
        <v>N</v>
      </c>
    </row>
    <row r="391" spans="1:5" x14ac:dyDescent="0.25">
      <c r="A391">
        <v>8261154</v>
      </c>
      <c r="B391">
        <v>14966446</v>
      </c>
      <c r="C391" s="1">
        <v>42531</v>
      </c>
      <c r="D391" t="s">
        <v>28</v>
      </c>
      <c r="E391" t="str">
        <f>VLOOKUP(TRIM(D391), Catalogo_gestiones!$A:$B, 2, FALSE)</f>
        <v>N</v>
      </c>
    </row>
    <row r="392" spans="1:5" x14ac:dyDescent="0.25">
      <c r="A392">
        <v>8261154</v>
      </c>
      <c r="B392">
        <v>27689534</v>
      </c>
      <c r="C392" s="1">
        <v>42531</v>
      </c>
      <c r="D392" t="s">
        <v>26</v>
      </c>
      <c r="E392" t="str">
        <f>VLOOKUP(TRIM(D392), Catalogo_gestiones!$A:$B, 2, FALSE)</f>
        <v>N</v>
      </c>
    </row>
    <row r="393" spans="1:5" x14ac:dyDescent="0.25">
      <c r="A393">
        <v>8261236</v>
      </c>
      <c r="B393">
        <v>9671809</v>
      </c>
      <c r="C393" s="1">
        <v>42531</v>
      </c>
      <c r="D393" t="s">
        <v>34</v>
      </c>
      <c r="E393" t="str">
        <f>VLOOKUP(TRIM(D393), Catalogo_gestiones!$A:$B, 2, FALSE)</f>
        <v>N</v>
      </c>
    </row>
    <row r="394" spans="1:5" x14ac:dyDescent="0.25">
      <c r="A394">
        <v>8261236</v>
      </c>
      <c r="B394">
        <v>9845561</v>
      </c>
      <c r="C394" s="1">
        <v>42531</v>
      </c>
      <c r="D394" t="s">
        <v>26</v>
      </c>
      <c r="E394" t="str">
        <f>VLOOKUP(TRIM(D394), Catalogo_gestiones!$A:$B, 2, FALSE)</f>
        <v>N</v>
      </c>
    </row>
    <row r="395" spans="1:5" x14ac:dyDescent="0.25">
      <c r="A395">
        <v>8261363</v>
      </c>
      <c r="B395">
        <v>26328981</v>
      </c>
      <c r="C395" s="1">
        <v>42531</v>
      </c>
      <c r="D395" t="s">
        <v>25</v>
      </c>
      <c r="E395" t="str">
        <f>VLOOKUP(TRIM(D395), Catalogo_gestiones!$A:$B, 2, FALSE)</f>
        <v>N</v>
      </c>
    </row>
    <row r="396" spans="1:5" x14ac:dyDescent="0.25">
      <c r="A396">
        <v>8261363</v>
      </c>
      <c r="B396">
        <v>26330652</v>
      </c>
      <c r="C396" s="1">
        <v>42531</v>
      </c>
      <c r="D396" t="s">
        <v>28</v>
      </c>
      <c r="E396" t="str">
        <f>VLOOKUP(TRIM(D396), Catalogo_gestiones!$A:$B, 2, FALSE)</f>
        <v>N</v>
      </c>
    </row>
    <row r="397" spans="1:5" x14ac:dyDescent="0.25">
      <c r="A397">
        <v>8261433</v>
      </c>
      <c r="B397">
        <v>23671002</v>
      </c>
      <c r="C397" s="1">
        <v>42531</v>
      </c>
      <c r="D397" t="s">
        <v>26</v>
      </c>
      <c r="E397" t="str">
        <f>VLOOKUP(TRIM(D397), Catalogo_gestiones!$A:$B, 2, FALSE)</f>
        <v>N</v>
      </c>
    </row>
    <row r="398" spans="1:5" x14ac:dyDescent="0.25">
      <c r="A398">
        <v>8261433</v>
      </c>
      <c r="B398">
        <v>23672387</v>
      </c>
      <c r="C398" s="1">
        <v>42531</v>
      </c>
      <c r="D398" t="s">
        <v>34</v>
      </c>
      <c r="E398" t="str">
        <f>VLOOKUP(TRIM(D398), Catalogo_gestiones!$A:$B, 2, FALSE)</f>
        <v>N</v>
      </c>
    </row>
    <row r="399" spans="1:5" x14ac:dyDescent="0.25">
      <c r="A399">
        <v>8261433</v>
      </c>
      <c r="B399">
        <v>25964110</v>
      </c>
      <c r="C399" s="1">
        <v>42531</v>
      </c>
      <c r="D399" t="s">
        <v>26</v>
      </c>
      <c r="E399" t="str">
        <f>VLOOKUP(TRIM(D399), Catalogo_gestiones!$A:$B, 2, FALSE)</f>
        <v>N</v>
      </c>
    </row>
    <row r="400" spans="1:5" x14ac:dyDescent="0.25">
      <c r="A400">
        <v>8261458</v>
      </c>
      <c r="B400">
        <v>28570206</v>
      </c>
      <c r="C400" s="1">
        <v>42524</v>
      </c>
      <c r="D400" t="s">
        <v>25</v>
      </c>
      <c r="E400" t="str">
        <f>VLOOKUP(TRIM(D400), Catalogo_gestiones!$A:$B, 2, FALSE)</f>
        <v>N</v>
      </c>
    </row>
    <row r="401" spans="1:5" x14ac:dyDescent="0.25">
      <c r="A401">
        <v>8261475</v>
      </c>
      <c r="B401">
        <v>26270252</v>
      </c>
      <c r="C401" s="1">
        <v>42531</v>
      </c>
      <c r="D401" t="s">
        <v>28</v>
      </c>
      <c r="E401" t="str">
        <f>VLOOKUP(TRIM(D401), Catalogo_gestiones!$A:$B, 2, FALSE)</f>
        <v>N</v>
      </c>
    </row>
    <row r="402" spans="1:5" x14ac:dyDescent="0.25">
      <c r="A402">
        <v>8261475</v>
      </c>
      <c r="B402">
        <v>26272747</v>
      </c>
      <c r="C402" s="1">
        <v>42531</v>
      </c>
      <c r="D402" t="s">
        <v>26</v>
      </c>
      <c r="E402" t="str">
        <f>VLOOKUP(TRIM(D402), Catalogo_gestiones!$A:$B, 2, FALSE)</f>
        <v>N</v>
      </c>
    </row>
    <row r="403" spans="1:5" x14ac:dyDescent="0.25">
      <c r="A403">
        <v>8261570</v>
      </c>
      <c r="B403">
        <v>25379962</v>
      </c>
      <c r="C403" s="1">
        <v>42523</v>
      </c>
      <c r="D403" t="s">
        <v>34</v>
      </c>
      <c r="E403" t="str">
        <f>VLOOKUP(TRIM(D403), Catalogo_gestiones!$A:$B, 2, FALSE)</f>
        <v>N</v>
      </c>
    </row>
    <row r="404" spans="1:5" x14ac:dyDescent="0.25">
      <c r="A404">
        <v>8261570</v>
      </c>
      <c r="B404">
        <v>27224146</v>
      </c>
      <c r="C404" s="1">
        <v>42531</v>
      </c>
      <c r="D404" t="s">
        <v>26</v>
      </c>
      <c r="E404" t="str">
        <f>VLOOKUP(TRIM(D404), Catalogo_gestiones!$A:$B, 2, FALSE)</f>
        <v>N</v>
      </c>
    </row>
    <row r="405" spans="1:5" x14ac:dyDescent="0.25">
      <c r="A405">
        <v>8261611</v>
      </c>
      <c r="B405">
        <v>26389240</v>
      </c>
      <c r="C405" s="1">
        <v>42522</v>
      </c>
      <c r="D405" t="s">
        <v>25</v>
      </c>
      <c r="E405" t="str">
        <f>VLOOKUP(TRIM(D405), Catalogo_gestiones!$A:$B, 2, FALSE)</f>
        <v>N</v>
      </c>
    </row>
    <row r="406" spans="1:5" x14ac:dyDescent="0.25">
      <c r="A406">
        <v>8261866</v>
      </c>
      <c r="B406">
        <v>25129407</v>
      </c>
      <c r="C406" s="1">
        <v>42531</v>
      </c>
      <c r="D406" t="s">
        <v>28</v>
      </c>
      <c r="E406" t="str">
        <f>VLOOKUP(TRIM(D406), Catalogo_gestiones!$A:$B, 2, FALSE)</f>
        <v>N</v>
      </c>
    </row>
    <row r="407" spans="1:5" x14ac:dyDescent="0.25">
      <c r="A407">
        <v>8261875</v>
      </c>
      <c r="B407">
        <v>25550442</v>
      </c>
      <c r="C407" s="1">
        <v>42531</v>
      </c>
      <c r="D407" t="s">
        <v>26</v>
      </c>
      <c r="E407" t="str">
        <f>VLOOKUP(TRIM(D407), Catalogo_gestiones!$A:$B, 2, FALSE)</f>
        <v>N</v>
      </c>
    </row>
    <row r="408" spans="1:5" x14ac:dyDescent="0.25">
      <c r="A408">
        <v>8261875</v>
      </c>
      <c r="B408">
        <v>25550928</v>
      </c>
      <c r="C408" s="1">
        <v>42531</v>
      </c>
      <c r="D408" t="s">
        <v>34</v>
      </c>
      <c r="E408" t="str">
        <f>VLOOKUP(TRIM(D408), Catalogo_gestiones!$A:$B, 2, FALSE)</f>
        <v>N</v>
      </c>
    </row>
    <row r="409" spans="1:5" x14ac:dyDescent="0.25">
      <c r="A409">
        <v>8262049</v>
      </c>
      <c r="B409">
        <v>25202484</v>
      </c>
      <c r="C409" s="1">
        <v>42531</v>
      </c>
      <c r="D409" t="s">
        <v>26</v>
      </c>
      <c r="E409" t="str">
        <f>VLOOKUP(TRIM(D409), Catalogo_gestiones!$A:$B, 2, FALSE)</f>
        <v>N</v>
      </c>
    </row>
    <row r="410" spans="1:5" x14ac:dyDescent="0.25">
      <c r="A410">
        <v>8262517</v>
      </c>
      <c r="B410">
        <v>2978036</v>
      </c>
      <c r="C410" s="1">
        <v>42531</v>
      </c>
      <c r="D410" t="s">
        <v>25</v>
      </c>
      <c r="E410" t="str">
        <f>VLOOKUP(TRIM(D410), Catalogo_gestiones!$A:$B, 2, FALSE)</f>
        <v>N</v>
      </c>
    </row>
    <row r="411" spans="1:5" x14ac:dyDescent="0.25">
      <c r="A411">
        <v>8262593</v>
      </c>
      <c r="B411">
        <v>27011869</v>
      </c>
      <c r="C411" s="1">
        <v>42531</v>
      </c>
      <c r="D411" t="s">
        <v>28</v>
      </c>
      <c r="E411" t="str">
        <f>VLOOKUP(TRIM(D411), Catalogo_gestiones!$A:$B, 2, FALSE)</f>
        <v>N</v>
      </c>
    </row>
    <row r="412" spans="1:5" x14ac:dyDescent="0.25">
      <c r="A412">
        <v>8262593</v>
      </c>
      <c r="B412">
        <v>27012894</v>
      </c>
      <c r="C412" s="1">
        <v>42531</v>
      </c>
      <c r="D412" t="s">
        <v>26</v>
      </c>
      <c r="E412" t="str">
        <f>VLOOKUP(TRIM(D412), Catalogo_gestiones!$A:$B, 2, FALSE)</f>
        <v>N</v>
      </c>
    </row>
    <row r="413" spans="1:5" x14ac:dyDescent="0.25">
      <c r="A413">
        <v>8262993</v>
      </c>
      <c r="B413">
        <v>21194113</v>
      </c>
      <c r="C413" s="1">
        <v>42531</v>
      </c>
      <c r="D413" t="s">
        <v>34</v>
      </c>
      <c r="E413" t="str">
        <f>VLOOKUP(TRIM(D413), Catalogo_gestiones!$A:$B, 2, FALSE)</f>
        <v>N</v>
      </c>
    </row>
    <row r="414" spans="1:5" x14ac:dyDescent="0.25">
      <c r="A414">
        <v>8263081</v>
      </c>
      <c r="B414">
        <v>25950581</v>
      </c>
      <c r="C414" s="1">
        <v>42531</v>
      </c>
      <c r="D414" t="s">
        <v>26</v>
      </c>
      <c r="E414" t="str">
        <f>VLOOKUP(TRIM(D414), Catalogo_gestiones!$A:$B, 2, FALSE)</f>
        <v>N</v>
      </c>
    </row>
    <row r="415" spans="1:5" x14ac:dyDescent="0.25">
      <c r="A415">
        <v>8263349</v>
      </c>
      <c r="B415">
        <v>21676069</v>
      </c>
      <c r="C415" s="1">
        <v>42531</v>
      </c>
      <c r="D415" t="s">
        <v>25</v>
      </c>
      <c r="E415" t="str">
        <f>VLOOKUP(TRIM(D415), Catalogo_gestiones!$A:$B, 2, FALSE)</f>
        <v>N</v>
      </c>
    </row>
    <row r="416" spans="1:5" x14ac:dyDescent="0.25">
      <c r="A416">
        <v>8263349</v>
      </c>
      <c r="B416">
        <v>21676178</v>
      </c>
      <c r="C416" s="1">
        <v>42531</v>
      </c>
      <c r="D416" t="s">
        <v>28</v>
      </c>
      <c r="E416" t="str">
        <f>VLOOKUP(TRIM(D416), Catalogo_gestiones!$A:$B, 2, FALSE)</f>
        <v>N</v>
      </c>
    </row>
    <row r="417" spans="1:5" x14ac:dyDescent="0.25">
      <c r="A417">
        <v>8263349</v>
      </c>
      <c r="B417">
        <v>21676329</v>
      </c>
      <c r="C417" s="1">
        <v>42531</v>
      </c>
      <c r="D417" t="s">
        <v>26</v>
      </c>
      <c r="E417" t="str">
        <f>VLOOKUP(TRIM(D417), Catalogo_gestiones!$A:$B, 2, FALSE)</f>
        <v>N</v>
      </c>
    </row>
    <row r="418" spans="1:5" x14ac:dyDescent="0.25">
      <c r="A418">
        <v>8263436</v>
      </c>
      <c r="B418">
        <v>27653166</v>
      </c>
      <c r="C418" s="1">
        <v>42531</v>
      </c>
      <c r="D418" t="s">
        <v>34</v>
      </c>
      <c r="E418" t="str">
        <f>VLOOKUP(TRIM(D418), Catalogo_gestiones!$A:$B, 2, FALSE)</f>
        <v>N</v>
      </c>
    </row>
    <row r="419" spans="1:5" x14ac:dyDescent="0.25">
      <c r="A419">
        <v>8263516</v>
      </c>
      <c r="B419">
        <v>15578869</v>
      </c>
      <c r="C419" s="1">
        <v>42531</v>
      </c>
      <c r="D419" t="s">
        <v>26</v>
      </c>
      <c r="E419" t="str">
        <f>VLOOKUP(TRIM(D419), Catalogo_gestiones!$A:$B, 2, FALSE)</f>
        <v>N</v>
      </c>
    </row>
    <row r="420" spans="1:5" x14ac:dyDescent="0.25">
      <c r="A420">
        <v>8263672</v>
      </c>
      <c r="B420">
        <v>15202553</v>
      </c>
      <c r="C420" s="1">
        <v>42531</v>
      </c>
      <c r="D420" t="s">
        <v>25</v>
      </c>
      <c r="E420" t="str">
        <f>VLOOKUP(TRIM(D420), Catalogo_gestiones!$A:$B, 2, FALSE)</f>
        <v>N</v>
      </c>
    </row>
    <row r="421" spans="1:5" x14ac:dyDescent="0.25">
      <c r="A421">
        <v>8263672</v>
      </c>
      <c r="B421">
        <v>20692962</v>
      </c>
      <c r="C421" s="1">
        <v>42522</v>
      </c>
      <c r="D421" t="s">
        <v>28</v>
      </c>
      <c r="E421" t="str">
        <f>VLOOKUP(TRIM(D421), Catalogo_gestiones!$A:$B, 2, FALSE)</f>
        <v>N</v>
      </c>
    </row>
    <row r="422" spans="1:5" x14ac:dyDescent="0.25">
      <c r="A422">
        <v>8263683</v>
      </c>
      <c r="B422">
        <v>25096884</v>
      </c>
      <c r="C422" s="1">
        <v>42531</v>
      </c>
      <c r="D422" t="s">
        <v>26</v>
      </c>
      <c r="E422" t="str">
        <f>VLOOKUP(TRIM(D422), Catalogo_gestiones!$A:$B, 2, FALSE)</f>
        <v>N</v>
      </c>
    </row>
    <row r="423" spans="1:5" x14ac:dyDescent="0.25">
      <c r="A423">
        <v>8263683</v>
      </c>
      <c r="B423">
        <v>25097831</v>
      </c>
      <c r="C423" s="1">
        <v>42531</v>
      </c>
      <c r="D423" t="s">
        <v>34</v>
      </c>
      <c r="E423" t="str">
        <f>VLOOKUP(TRIM(D423), Catalogo_gestiones!$A:$B, 2, FALSE)</f>
        <v>N</v>
      </c>
    </row>
    <row r="424" spans="1:5" x14ac:dyDescent="0.25">
      <c r="A424">
        <v>8290112</v>
      </c>
      <c r="B424">
        <v>25098094</v>
      </c>
      <c r="C424" s="1">
        <v>42531</v>
      </c>
      <c r="D424" t="s">
        <v>26</v>
      </c>
      <c r="E424" t="str">
        <f>VLOOKUP(TRIM(D424), Catalogo_gestiones!$A:$B, 2, FALSE)</f>
        <v>N</v>
      </c>
    </row>
    <row r="425" spans="1:5" x14ac:dyDescent="0.25">
      <c r="A425">
        <v>8290119</v>
      </c>
      <c r="B425">
        <v>25238974</v>
      </c>
      <c r="C425" s="1">
        <v>42522</v>
      </c>
      <c r="D425" t="s">
        <v>25</v>
      </c>
      <c r="E425" t="str">
        <f>VLOOKUP(TRIM(D425), Catalogo_gestiones!$A:$B, 2, FALSE)</f>
        <v>N</v>
      </c>
    </row>
    <row r="426" spans="1:5" x14ac:dyDescent="0.25">
      <c r="A426">
        <v>8290119</v>
      </c>
      <c r="B426">
        <v>26623589</v>
      </c>
      <c r="C426" s="1">
        <v>42522</v>
      </c>
      <c r="D426" t="s">
        <v>28</v>
      </c>
      <c r="E426" t="str">
        <f>VLOOKUP(TRIM(D426), Catalogo_gestiones!$A:$B, 2, FALSE)</f>
        <v>N</v>
      </c>
    </row>
    <row r="427" spans="1:5" x14ac:dyDescent="0.25">
      <c r="A427">
        <v>8290119</v>
      </c>
      <c r="B427">
        <v>27571222</v>
      </c>
      <c r="C427" s="1">
        <v>42522</v>
      </c>
      <c r="D427" t="s">
        <v>26</v>
      </c>
      <c r="E427" t="str">
        <f>VLOOKUP(TRIM(D427), Catalogo_gestiones!$A:$B, 2, FALSE)</f>
        <v>N</v>
      </c>
    </row>
    <row r="428" spans="1:5" x14ac:dyDescent="0.25">
      <c r="A428">
        <v>8290119</v>
      </c>
      <c r="B428">
        <v>27817138</v>
      </c>
      <c r="C428" s="1">
        <v>42522</v>
      </c>
      <c r="D428" t="s">
        <v>34</v>
      </c>
      <c r="E428" t="str">
        <f>VLOOKUP(TRIM(D428), Catalogo_gestiones!$A:$B, 2, FALSE)</f>
        <v>N</v>
      </c>
    </row>
    <row r="429" spans="1:5" x14ac:dyDescent="0.25">
      <c r="A429">
        <v>8290233</v>
      </c>
      <c r="B429">
        <v>4571968</v>
      </c>
      <c r="C429" s="1">
        <v>42531</v>
      </c>
      <c r="D429" t="s">
        <v>26</v>
      </c>
      <c r="E429" t="str">
        <f>VLOOKUP(TRIM(D429), Catalogo_gestiones!$A:$B, 2, FALSE)</f>
        <v>N</v>
      </c>
    </row>
    <row r="430" spans="1:5" x14ac:dyDescent="0.25">
      <c r="A430">
        <v>8290480</v>
      </c>
      <c r="B430">
        <v>25411228</v>
      </c>
      <c r="C430" s="1">
        <v>42531</v>
      </c>
      <c r="D430" t="s">
        <v>25</v>
      </c>
      <c r="E430" t="str">
        <f>VLOOKUP(TRIM(D430), Catalogo_gestiones!$A:$B, 2, FALSE)</f>
        <v>N</v>
      </c>
    </row>
    <row r="431" spans="1:5" x14ac:dyDescent="0.25">
      <c r="A431">
        <v>8290480</v>
      </c>
      <c r="B431">
        <v>28310909</v>
      </c>
      <c r="C431" s="1">
        <v>42531</v>
      </c>
      <c r="D431" t="s">
        <v>28</v>
      </c>
      <c r="E431" t="str">
        <f>VLOOKUP(TRIM(D431), Catalogo_gestiones!$A:$B, 2, FALSE)</f>
        <v>N</v>
      </c>
    </row>
    <row r="432" spans="1:5" x14ac:dyDescent="0.25">
      <c r="A432">
        <v>8290528</v>
      </c>
      <c r="B432">
        <v>24781042</v>
      </c>
      <c r="C432" s="1">
        <v>42531</v>
      </c>
      <c r="D432" t="s">
        <v>26</v>
      </c>
      <c r="E432" t="str">
        <f>VLOOKUP(TRIM(D432), Catalogo_gestiones!$A:$B, 2, FALSE)</f>
        <v>N</v>
      </c>
    </row>
    <row r="433" spans="1:5" x14ac:dyDescent="0.25">
      <c r="A433">
        <v>8290528</v>
      </c>
      <c r="B433">
        <v>24951190</v>
      </c>
      <c r="C433" s="1">
        <v>42531</v>
      </c>
      <c r="D433" t="s">
        <v>34</v>
      </c>
      <c r="E433" t="str">
        <f>VLOOKUP(TRIM(D433), Catalogo_gestiones!$A:$B, 2, FALSE)</f>
        <v>N</v>
      </c>
    </row>
    <row r="434" spans="1:5" x14ac:dyDescent="0.25">
      <c r="A434">
        <v>8290588</v>
      </c>
      <c r="B434">
        <v>28040498</v>
      </c>
      <c r="C434" s="1">
        <v>42531</v>
      </c>
      <c r="D434" t="s">
        <v>26</v>
      </c>
      <c r="E434" t="str">
        <f>VLOOKUP(TRIM(D434), Catalogo_gestiones!$A:$B, 2, FALSE)</f>
        <v>N</v>
      </c>
    </row>
    <row r="435" spans="1:5" x14ac:dyDescent="0.25">
      <c r="A435">
        <v>8290811</v>
      </c>
      <c r="B435">
        <v>21139953</v>
      </c>
      <c r="C435" s="1">
        <v>42531</v>
      </c>
      <c r="D435" t="s">
        <v>25</v>
      </c>
      <c r="E435" t="str">
        <f>VLOOKUP(TRIM(D435), Catalogo_gestiones!$A:$B, 2, FALSE)</f>
        <v>N</v>
      </c>
    </row>
    <row r="436" spans="1:5" x14ac:dyDescent="0.25">
      <c r="A436">
        <v>8290811</v>
      </c>
      <c r="B436">
        <v>22295364</v>
      </c>
      <c r="C436" s="1">
        <v>42529</v>
      </c>
      <c r="D436" t="s">
        <v>28</v>
      </c>
      <c r="E436" t="str">
        <f>VLOOKUP(TRIM(D436), Catalogo_gestiones!$A:$B, 2, FALSE)</f>
        <v>N</v>
      </c>
    </row>
    <row r="437" spans="1:5" x14ac:dyDescent="0.25">
      <c r="A437">
        <v>8290882</v>
      </c>
      <c r="B437">
        <v>23606029</v>
      </c>
      <c r="C437" s="1">
        <v>42531</v>
      </c>
      <c r="D437" t="s">
        <v>26</v>
      </c>
      <c r="E437" t="str">
        <f>VLOOKUP(TRIM(D437), Catalogo_gestiones!$A:$B, 2, FALSE)</f>
        <v>N</v>
      </c>
    </row>
    <row r="438" spans="1:5" x14ac:dyDescent="0.25">
      <c r="A438">
        <v>8290882</v>
      </c>
      <c r="B438">
        <v>24187730</v>
      </c>
      <c r="C438" s="1">
        <v>42531</v>
      </c>
      <c r="D438" t="s">
        <v>34</v>
      </c>
      <c r="E438" t="str">
        <f>VLOOKUP(TRIM(D438), Catalogo_gestiones!$A:$B, 2, FALSE)</f>
        <v>N</v>
      </c>
    </row>
    <row r="439" spans="1:5" x14ac:dyDescent="0.25">
      <c r="A439">
        <v>8290902</v>
      </c>
      <c r="B439">
        <v>23811559</v>
      </c>
      <c r="C439" s="1">
        <v>42531</v>
      </c>
      <c r="D439" t="s">
        <v>26</v>
      </c>
      <c r="E439" t="str">
        <f>VLOOKUP(TRIM(D439), Catalogo_gestiones!$A:$B, 2, FALSE)</f>
        <v>N</v>
      </c>
    </row>
    <row r="440" spans="1:5" x14ac:dyDescent="0.25">
      <c r="A440">
        <v>8291182</v>
      </c>
      <c r="B440">
        <v>27917878</v>
      </c>
      <c r="C440" s="1">
        <v>42531</v>
      </c>
      <c r="D440" t="s">
        <v>25</v>
      </c>
      <c r="E440" t="str">
        <f>VLOOKUP(TRIM(D440), Catalogo_gestiones!$A:$B, 2, FALSE)</f>
        <v>N</v>
      </c>
    </row>
    <row r="441" spans="1:5" x14ac:dyDescent="0.25">
      <c r="A441">
        <v>8291274</v>
      </c>
      <c r="B441">
        <v>22367717</v>
      </c>
      <c r="C441" s="1">
        <v>42531</v>
      </c>
      <c r="D441" t="s">
        <v>28</v>
      </c>
      <c r="E441" t="str">
        <f>VLOOKUP(TRIM(D441), Catalogo_gestiones!$A:$B, 2, FALSE)</f>
        <v>N</v>
      </c>
    </row>
    <row r="442" spans="1:5" x14ac:dyDescent="0.25">
      <c r="A442">
        <v>8291307</v>
      </c>
      <c r="B442">
        <v>19789068</v>
      </c>
      <c r="C442" s="1">
        <v>42531</v>
      </c>
      <c r="D442" t="s">
        <v>26</v>
      </c>
      <c r="E442" t="str">
        <f>VLOOKUP(TRIM(D442), Catalogo_gestiones!$A:$B, 2, FALSE)</f>
        <v>N</v>
      </c>
    </row>
    <row r="443" spans="1:5" x14ac:dyDescent="0.25">
      <c r="A443">
        <v>8291401</v>
      </c>
      <c r="B443">
        <v>26664011</v>
      </c>
      <c r="C443" s="1">
        <v>42531</v>
      </c>
      <c r="D443" t="s">
        <v>34</v>
      </c>
      <c r="E443" t="str">
        <f>VLOOKUP(TRIM(D443), Catalogo_gestiones!$A:$B, 2, FALSE)</f>
        <v>N</v>
      </c>
    </row>
    <row r="444" spans="1:5" x14ac:dyDescent="0.25">
      <c r="A444">
        <v>8291401</v>
      </c>
      <c r="B444">
        <v>27049838</v>
      </c>
      <c r="C444" s="1">
        <v>42531</v>
      </c>
      <c r="D444" t="s">
        <v>26</v>
      </c>
      <c r="E444" t="str">
        <f>VLOOKUP(TRIM(D444), Catalogo_gestiones!$A:$B, 2, FALSE)</f>
        <v>N</v>
      </c>
    </row>
    <row r="445" spans="1:5" x14ac:dyDescent="0.25">
      <c r="A445">
        <v>8291401</v>
      </c>
      <c r="B445">
        <v>27785613</v>
      </c>
      <c r="C445" s="1">
        <v>42524</v>
      </c>
      <c r="D445" t="s">
        <v>25</v>
      </c>
      <c r="E445" t="str">
        <f>VLOOKUP(TRIM(D445), Catalogo_gestiones!$A:$B, 2, FALSE)</f>
        <v>N</v>
      </c>
    </row>
    <row r="446" spans="1:5" x14ac:dyDescent="0.25">
      <c r="A446">
        <v>8291427</v>
      </c>
      <c r="B446">
        <v>22621938</v>
      </c>
      <c r="C446" s="1">
        <v>42531</v>
      </c>
      <c r="D446" t="s">
        <v>28</v>
      </c>
      <c r="E446" t="str">
        <f>VLOOKUP(TRIM(D446), Catalogo_gestiones!$A:$B, 2, FALSE)</f>
        <v>N</v>
      </c>
    </row>
    <row r="447" spans="1:5" x14ac:dyDescent="0.25">
      <c r="A447">
        <v>8291467</v>
      </c>
      <c r="B447">
        <v>27243058</v>
      </c>
      <c r="C447" s="1">
        <v>42531</v>
      </c>
      <c r="D447" t="s">
        <v>26</v>
      </c>
      <c r="E447" t="str">
        <f>VLOOKUP(TRIM(D447), Catalogo_gestiones!$A:$B, 2, FALSE)</f>
        <v>N</v>
      </c>
    </row>
    <row r="448" spans="1:5" x14ac:dyDescent="0.25">
      <c r="A448">
        <v>8291545</v>
      </c>
      <c r="B448">
        <v>27047202</v>
      </c>
      <c r="C448" s="1">
        <v>42531</v>
      </c>
      <c r="D448" t="s">
        <v>34</v>
      </c>
      <c r="E448" t="str">
        <f>VLOOKUP(TRIM(D448), Catalogo_gestiones!$A:$B, 2, FALSE)</f>
        <v>N</v>
      </c>
    </row>
    <row r="449" spans="1:5" x14ac:dyDescent="0.25">
      <c r="A449">
        <v>8291631</v>
      </c>
      <c r="B449">
        <v>25284857</v>
      </c>
      <c r="C449" s="1">
        <v>42531</v>
      </c>
      <c r="D449" t="s">
        <v>26</v>
      </c>
      <c r="E449" t="str">
        <f>VLOOKUP(TRIM(D449), Catalogo_gestiones!$A:$B, 2, FALSE)</f>
        <v>N</v>
      </c>
    </row>
    <row r="450" spans="1:5" x14ac:dyDescent="0.25">
      <c r="A450">
        <v>8291662</v>
      </c>
      <c r="B450">
        <v>27245072</v>
      </c>
      <c r="C450" s="1">
        <v>42531</v>
      </c>
      <c r="D450" t="s">
        <v>25</v>
      </c>
      <c r="E450" t="str">
        <f>VLOOKUP(TRIM(D450), Catalogo_gestiones!$A:$B, 2, FALSE)</f>
        <v>N</v>
      </c>
    </row>
    <row r="451" spans="1:5" x14ac:dyDescent="0.25">
      <c r="A451">
        <v>8291666</v>
      </c>
      <c r="B451">
        <v>25136314</v>
      </c>
      <c r="C451" s="1">
        <v>42531</v>
      </c>
      <c r="D451" t="s">
        <v>28</v>
      </c>
      <c r="E451" t="str">
        <f>VLOOKUP(TRIM(D451), Catalogo_gestiones!$A:$B, 2, FALSE)</f>
        <v>N</v>
      </c>
    </row>
    <row r="452" spans="1:5" x14ac:dyDescent="0.25">
      <c r="A452">
        <v>8291695</v>
      </c>
      <c r="B452">
        <v>23721045</v>
      </c>
      <c r="C452" s="1">
        <v>42531</v>
      </c>
      <c r="D452" t="s">
        <v>26</v>
      </c>
      <c r="E452" t="str">
        <f>VLOOKUP(TRIM(D452), Catalogo_gestiones!$A:$B, 2, FALSE)</f>
        <v>N</v>
      </c>
    </row>
    <row r="453" spans="1:5" x14ac:dyDescent="0.25">
      <c r="A453">
        <v>8291734</v>
      </c>
      <c r="B453">
        <v>26115306</v>
      </c>
      <c r="C453" s="1">
        <v>42531</v>
      </c>
      <c r="D453" t="s">
        <v>34</v>
      </c>
      <c r="E453" t="str">
        <f>VLOOKUP(TRIM(D453), Catalogo_gestiones!$A:$B, 2, FALSE)</f>
        <v>N</v>
      </c>
    </row>
    <row r="454" spans="1:5" x14ac:dyDescent="0.25">
      <c r="A454">
        <v>8291748</v>
      </c>
      <c r="B454">
        <v>26162028</v>
      </c>
      <c r="C454" s="1">
        <v>42531</v>
      </c>
      <c r="D454" t="s">
        <v>26</v>
      </c>
      <c r="E454" t="str">
        <f>VLOOKUP(TRIM(D454), Catalogo_gestiones!$A:$B, 2, FALSE)</f>
        <v>N</v>
      </c>
    </row>
    <row r="455" spans="1:5" x14ac:dyDescent="0.25">
      <c r="A455">
        <v>8291785</v>
      </c>
      <c r="B455">
        <v>22084852</v>
      </c>
      <c r="C455" s="1">
        <v>42531</v>
      </c>
      <c r="D455" t="s">
        <v>25</v>
      </c>
      <c r="E455" t="str">
        <f>VLOOKUP(TRIM(D455), Catalogo_gestiones!$A:$B, 2, FALSE)</f>
        <v>N</v>
      </c>
    </row>
    <row r="456" spans="1:5" x14ac:dyDescent="0.25">
      <c r="A456">
        <v>8291961</v>
      </c>
      <c r="B456">
        <v>22494166</v>
      </c>
      <c r="C456" s="1">
        <v>42531</v>
      </c>
      <c r="D456" t="s">
        <v>28</v>
      </c>
      <c r="E456" t="str">
        <f>VLOOKUP(TRIM(D456), Catalogo_gestiones!$A:$B, 2, FALSE)</f>
        <v>N</v>
      </c>
    </row>
    <row r="457" spans="1:5" x14ac:dyDescent="0.25">
      <c r="A457">
        <v>8291961</v>
      </c>
      <c r="B457">
        <v>24906889</v>
      </c>
      <c r="C457" s="1">
        <v>42531</v>
      </c>
      <c r="D457" t="s">
        <v>26</v>
      </c>
      <c r="E457" t="str">
        <f>VLOOKUP(TRIM(D457), Catalogo_gestiones!$A:$B, 2, FALSE)</f>
        <v>N</v>
      </c>
    </row>
    <row r="458" spans="1:5" x14ac:dyDescent="0.25">
      <c r="A458">
        <v>8292187</v>
      </c>
      <c r="B458">
        <v>27077731</v>
      </c>
      <c r="C458" s="1">
        <v>42531</v>
      </c>
      <c r="D458" t="s">
        <v>34</v>
      </c>
      <c r="E458" t="str">
        <f>VLOOKUP(TRIM(D458), Catalogo_gestiones!$A:$B, 2, FALSE)</f>
        <v>N</v>
      </c>
    </row>
    <row r="459" spans="1:5" x14ac:dyDescent="0.25">
      <c r="A459">
        <v>8292187</v>
      </c>
      <c r="B459">
        <v>27136580</v>
      </c>
      <c r="C459" s="1">
        <v>42531</v>
      </c>
      <c r="D459" t="s">
        <v>26</v>
      </c>
      <c r="E459" t="str">
        <f>VLOOKUP(TRIM(D459), Catalogo_gestiones!$A:$B, 2, FALSE)</f>
        <v>N</v>
      </c>
    </row>
    <row r="460" spans="1:5" x14ac:dyDescent="0.25">
      <c r="A460">
        <v>8292203</v>
      </c>
      <c r="B460">
        <v>26723896</v>
      </c>
      <c r="C460" s="1">
        <v>42531</v>
      </c>
      <c r="D460" t="s">
        <v>25</v>
      </c>
      <c r="E460" t="str">
        <f>VLOOKUP(TRIM(D460), Catalogo_gestiones!$A:$B, 2, FALSE)</f>
        <v>N</v>
      </c>
    </row>
    <row r="461" spans="1:5" x14ac:dyDescent="0.25">
      <c r="A461">
        <v>8292203</v>
      </c>
      <c r="B461">
        <v>26725887</v>
      </c>
      <c r="C461" s="1">
        <v>42531</v>
      </c>
      <c r="D461" t="s">
        <v>28</v>
      </c>
      <c r="E461" t="str">
        <f>VLOOKUP(TRIM(D461), Catalogo_gestiones!$A:$B, 2, FALSE)</f>
        <v>N</v>
      </c>
    </row>
    <row r="462" spans="1:5" x14ac:dyDescent="0.25">
      <c r="A462">
        <v>8292243</v>
      </c>
      <c r="B462">
        <v>25479795</v>
      </c>
      <c r="C462" s="1">
        <v>42531</v>
      </c>
      <c r="D462" t="s">
        <v>26</v>
      </c>
      <c r="E462" t="str">
        <f>VLOOKUP(TRIM(D462), Catalogo_gestiones!$A:$B, 2, FALSE)</f>
        <v>N</v>
      </c>
    </row>
    <row r="463" spans="1:5" x14ac:dyDescent="0.25">
      <c r="A463">
        <v>8292285</v>
      </c>
      <c r="B463">
        <v>21276240</v>
      </c>
      <c r="C463" s="1">
        <v>42531</v>
      </c>
      <c r="D463" t="s">
        <v>34</v>
      </c>
      <c r="E463" t="str">
        <f>VLOOKUP(TRIM(D463), Catalogo_gestiones!$A:$B, 2, FALSE)</f>
        <v>N</v>
      </c>
    </row>
    <row r="464" spans="1:5" x14ac:dyDescent="0.25">
      <c r="A464">
        <v>8292287</v>
      </c>
      <c r="B464">
        <v>25270652</v>
      </c>
      <c r="C464" s="1">
        <v>42531</v>
      </c>
      <c r="D464" t="s">
        <v>26</v>
      </c>
      <c r="E464" t="str">
        <f>VLOOKUP(TRIM(D464), Catalogo_gestiones!$A:$B, 2, FALSE)</f>
        <v>N</v>
      </c>
    </row>
    <row r="465" spans="1:5" x14ac:dyDescent="0.25">
      <c r="A465">
        <v>8292341</v>
      </c>
      <c r="B465">
        <v>22512363</v>
      </c>
      <c r="C465" s="1">
        <v>42531</v>
      </c>
      <c r="D465" t="s">
        <v>25</v>
      </c>
      <c r="E465" t="str">
        <f>VLOOKUP(TRIM(D465), Catalogo_gestiones!$A:$B, 2, FALSE)</f>
        <v>N</v>
      </c>
    </row>
    <row r="466" spans="1:5" x14ac:dyDescent="0.25">
      <c r="A466">
        <v>8292341</v>
      </c>
      <c r="B466">
        <v>23583782</v>
      </c>
      <c r="C466" s="1">
        <v>42531</v>
      </c>
      <c r="D466" t="s">
        <v>28</v>
      </c>
      <c r="E466" t="str">
        <f>VLOOKUP(TRIM(D466), Catalogo_gestiones!$A:$B, 2, FALSE)</f>
        <v>N</v>
      </c>
    </row>
    <row r="467" spans="1:5" x14ac:dyDescent="0.25">
      <c r="A467">
        <v>8292460</v>
      </c>
      <c r="B467">
        <v>26369115</v>
      </c>
      <c r="C467" s="1">
        <v>42531</v>
      </c>
      <c r="D467" t="s">
        <v>26</v>
      </c>
      <c r="E467" t="str">
        <f>VLOOKUP(TRIM(D467), Catalogo_gestiones!$A:$B, 2, FALSE)</f>
        <v>N</v>
      </c>
    </row>
    <row r="468" spans="1:5" x14ac:dyDescent="0.25">
      <c r="A468">
        <v>8292460</v>
      </c>
      <c r="B468">
        <v>26370820</v>
      </c>
      <c r="C468" s="1">
        <v>42531</v>
      </c>
      <c r="D468" t="s">
        <v>34</v>
      </c>
      <c r="E468" t="str">
        <f>VLOOKUP(TRIM(D468), Catalogo_gestiones!$A:$B, 2, FALSE)</f>
        <v>N</v>
      </c>
    </row>
    <row r="469" spans="1:5" x14ac:dyDescent="0.25">
      <c r="A469">
        <v>8292560</v>
      </c>
      <c r="B469">
        <v>21245444</v>
      </c>
      <c r="C469" s="1">
        <v>42531</v>
      </c>
      <c r="D469" t="s">
        <v>26</v>
      </c>
      <c r="E469" t="str">
        <f>VLOOKUP(TRIM(D469), Catalogo_gestiones!$A:$B, 2, FALSE)</f>
        <v>N</v>
      </c>
    </row>
    <row r="470" spans="1:5" x14ac:dyDescent="0.25">
      <c r="A470">
        <v>8292560</v>
      </c>
      <c r="B470">
        <v>24257181</v>
      </c>
      <c r="C470" s="1">
        <v>42531</v>
      </c>
      <c r="D470" t="s">
        <v>25</v>
      </c>
      <c r="E470" t="str">
        <f>VLOOKUP(TRIM(D470), Catalogo_gestiones!$A:$B, 2, FALSE)</f>
        <v>N</v>
      </c>
    </row>
    <row r="471" spans="1:5" x14ac:dyDescent="0.25">
      <c r="A471">
        <v>8292688</v>
      </c>
      <c r="B471">
        <v>21904033</v>
      </c>
      <c r="C471" s="1">
        <v>42531</v>
      </c>
      <c r="D471" t="s">
        <v>28</v>
      </c>
      <c r="E471" t="str">
        <f>VLOOKUP(TRIM(D471), Catalogo_gestiones!$A:$B, 2, FALSE)</f>
        <v>N</v>
      </c>
    </row>
    <row r="472" spans="1:5" x14ac:dyDescent="0.25">
      <c r="A472">
        <v>8292689</v>
      </c>
      <c r="B472">
        <v>27077359</v>
      </c>
      <c r="C472" s="1">
        <v>42531</v>
      </c>
      <c r="D472" t="s">
        <v>26</v>
      </c>
      <c r="E472" t="str">
        <f>VLOOKUP(TRIM(D472), Catalogo_gestiones!$A:$B, 2, FALSE)</f>
        <v>N</v>
      </c>
    </row>
    <row r="473" spans="1:5" x14ac:dyDescent="0.25">
      <c r="A473">
        <v>8292740</v>
      </c>
      <c r="B473">
        <v>25350877</v>
      </c>
      <c r="C473" s="1">
        <v>42531</v>
      </c>
      <c r="D473" t="s">
        <v>34</v>
      </c>
      <c r="E473" t="str">
        <f>VLOOKUP(TRIM(D473), Catalogo_gestiones!$A:$B, 2, FALSE)</f>
        <v>N</v>
      </c>
    </row>
    <row r="474" spans="1:5" x14ac:dyDescent="0.25">
      <c r="A474">
        <v>8292842</v>
      </c>
      <c r="B474">
        <v>17344821</v>
      </c>
      <c r="C474" s="1">
        <v>42531</v>
      </c>
      <c r="D474" t="s">
        <v>26</v>
      </c>
      <c r="E474" t="str">
        <f>VLOOKUP(TRIM(D474), Catalogo_gestiones!$A:$B, 2, FALSE)</f>
        <v>N</v>
      </c>
    </row>
    <row r="475" spans="1:5" x14ac:dyDescent="0.25">
      <c r="A475">
        <v>8292855</v>
      </c>
      <c r="B475">
        <v>16975449</v>
      </c>
      <c r="C475" s="1">
        <v>42531</v>
      </c>
      <c r="D475" t="s">
        <v>25</v>
      </c>
      <c r="E475" t="str">
        <f>VLOOKUP(TRIM(D475), Catalogo_gestiones!$A:$B, 2, FALSE)</f>
        <v>N</v>
      </c>
    </row>
    <row r="476" spans="1:5" x14ac:dyDescent="0.25">
      <c r="A476">
        <v>8292862</v>
      </c>
      <c r="B476">
        <v>19916764</v>
      </c>
      <c r="C476" s="1">
        <v>42531</v>
      </c>
      <c r="D476" t="s">
        <v>28</v>
      </c>
      <c r="E476" t="str">
        <f>VLOOKUP(TRIM(D476), Catalogo_gestiones!$A:$B, 2, FALSE)</f>
        <v>N</v>
      </c>
    </row>
    <row r="477" spans="1:5" x14ac:dyDescent="0.25">
      <c r="A477">
        <v>8292896</v>
      </c>
      <c r="B477">
        <v>26273017</v>
      </c>
      <c r="C477" s="1">
        <v>42531</v>
      </c>
      <c r="D477" t="s">
        <v>26</v>
      </c>
      <c r="E477" t="str">
        <f>VLOOKUP(TRIM(D477), Catalogo_gestiones!$A:$B, 2, FALSE)</f>
        <v>N</v>
      </c>
    </row>
    <row r="478" spans="1:5" x14ac:dyDescent="0.25">
      <c r="A478">
        <v>8292902</v>
      </c>
      <c r="B478">
        <v>27040978</v>
      </c>
      <c r="C478" s="1">
        <v>42531</v>
      </c>
      <c r="D478" t="s">
        <v>34</v>
      </c>
      <c r="E478" t="str">
        <f>VLOOKUP(TRIM(D478), Catalogo_gestiones!$A:$B, 2, FALSE)</f>
        <v>N</v>
      </c>
    </row>
    <row r="479" spans="1:5" x14ac:dyDescent="0.25">
      <c r="A479">
        <v>8292978</v>
      </c>
      <c r="B479">
        <v>26491653</v>
      </c>
      <c r="C479" s="1">
        <v>42531</v>
      </c>
      <c r="D479" t="s">
        <v>26</v>
      </c>
      <c r="E479" t="str">
        <f>VLOOKUP(TRIM(D479), Catalogo_gestiones!$A:$B, 2, FALSE)</f>
        <v>N</v>
      </c>
    </row>
    <row r="480" spans="1:5" x14ac:dyDescent="0.25">
      <c r="A480">
        <v>8293153</v>
      </c>
      <c r="B480">
        <v>28586833</v>
      </c>
      <c r="C480" s="1">
        <v>42524</v>
      </c>
      <c r="D480" t="s">
        <v>25</v>
      </c>
      <c r="E480" t="str">
        <f>VLOOKUP(TRIM(D480), Catalogo_gestiones!$A:$B, 2, FALSE)</f>
        <v>N</v>
      </c>
    </row>
    <row r="481" spans="1:5" x14ac:dyDescent="0.25">
      <c r="A481">
        <v>8293228</v>
      </c>
      <c r="B481">
        <v>21674961</v>
      </c>
      <c r="C481" s="1">
        <v>42531</v>
      </c>
      <c r="D481" t="s">
        <v>28</v>
      </c>
      <c r="E481" t="str">
        <f>VLOOKUP(TRIM(D481), Catalogo_gestiones!$A:$B, 2, FALSE)</f>
        <v>N</v>
      </c>
    </row>
    <row r="482" spans="1:5" x14ac:dyDescent="0.25">
      <c r="A482">
        <v>8293228</v>
      </c>
      <c r="B482">
        <v>25179756</v>
      </c>
      <c r="C482" s="1">
        <v>42531</v>
      </c>
      <c r="D482" t="s">
        <v>26</v>
      </c>
      <c r="E482" t="str">
        <f>VLOOKUP(TRIM(D482), Catalogo_gestiones!$A:$B, 2, FALSE)</f>
        <v>N</v>
      </c>
    </row>
    <row r="483" spans="1:5" x14ac:dyDescent="0.25">
      <c r="A483">
        <v>8293228</v>
      </c>
      <c r="B483">
        <v>27864553</v>
      </c>
      <c r="C483" s="1">
        <v>42531</v>
      </c>
      <c r="D483" t="s">
        <v>34</v>
      </c>
      <c r="E483" t="str">
        <f>VLOOKUP(TRIM(D483), Catalogo_gestiones!$A:$B, 2, FALSE)</f>
        <v>N</v>
      </c>
    </row>
    <row r="484" spans="1:5" x14ac:dyDescent="0.25">
      <c r="A484">
        <v>8293235</v>
      </c>
      <c r="B484">
        <v>26262840</v>
      </c>
      <c r="C484" s="1">
        <v>42531</v>
      </c>
      <c r="D484" t="s">
        <v>26</v>
      </c>
      <c r="E484" t="str">
        <f>VLOOKUP(TRIM(D484), Catalogo_gestiones!$A:$B, 2, FALSE)</f>
        <v>N</v>
      </c>
    </row>
    <row r="485" spans="1:5" x14ac:dyDescent="0.25">
      <c r="A485">
        <v>8293244</v>
      </c>
      <c r="B485">
        <v>19738680</v>
      </c>
      <c r="C485" s="1">
        <v>42523</v>
      </c>
      <c r="D485" t="s">
        <v>25</v>
      </c>
      <c r="E485" t="str">
        <f>VLOOKUP(TRIM(D485), Catalogo_gestiones!$A:$B, 2, FALSE)</f>
        <v>N</v>
      </c>
    </row>
    <row r="486" spans="1:5" x14ac:dyDescent="0.25">
      <c r="A486">
        <v>8293244</v>
      </c>
      <c r="B486">
        <v>21786213</v>
      </c>
      <c r="C486" s="1">
        <v>42531</v>
      </c>
      <c r="D486" t="s">
        <v>28</v>
      </c>
      <c r="E486" t="str">
        <f>VLOOKUP(TRIM(D486), Catalogo_gestiones!$A:$B, 2, FALSE)</f>
        <v>N</v>
      </c>
    </row>
    <row r="487" spans="1:5" x14ac:dyDescent="0.25">
      <c r="A487">
        <v>8293299</v>
      </c>
      <c r="B487">
        <v>27039509</v>
      </c>
      <c r="C487" s="1">
        <v>42524</v>
      </c>
      <c r="D487" t="s">
        <v>26</v>
      </c>
      <c r="E487" t="str">
        <f>VLOOKUP(TRIM(D487), Catalogo_gestiones!$A:$B, 2, FALSE)</f>
        <v>N</v>
      </c>
    </row>
    <row r="488" spans="1:5" x14ac:dyDescent="0.25">
      <c r="A488">
        <v>8293299</v>
      </c>
      <c r="B488">
        <v>27969594</v>
      </c>
      <c r="C488" s="1">
        <v>42531</v>
      </c>
      <c r="D488" t="s">
        <v>34</v>
      </c>
      <c r="E488" t="str">
        <f>VLOOKUP(TRIM(D488), Catalogo_gestiones!$A:$B, 2, FALSE)</f>
        <v>N</v>
      </c>
    </row>
    <row r="489" spans="1:5" x14ac:dyDescent="0.25">
      <c r="A489">
        <v>8293546</v>
      </c>
      <c r="B489">
        <v>21634560</v>
      </c>
      <c r="C489" s="1">
        <v>42531</v>
      </c>
      <c r="D489" t="s">
        <v>26</v>
      </c>
      <c r="E489" t="str">
        <f>VLOOKUP(TRIM(D489), Catalogo_gestiones!$A:$B, 2, FALSE)</f>
        <v>N</v>
      </c>
    </row>
    <row r="490" spans="1:5" x14ac:dyDescent="0.25">
      <c r="A490">
        <v>8293546</v>
      </c>
      <c r="B490">
        <v>26029145</v>
      </c>
      <c r="C490" s="1">
        <v>42529</v>
      </c>
      <c r="D490" t="s">
        <v>25</v>
      </c>
      <c r="E490" t="str">
        <f>VLOOKUP(TRIM(D490), Catalogo_gestiones!$A:$B, 2, FALSE)</f>
        <v>N</v>
      </c>
    </row>
    <row r="491" spans="1:5" x14ac:dyDescent="0.25">
      <c r="A491">
        <v>8293564</v>
      </c>
      <c r="B491">
        <v>26443276</v>
      </c>
      <c r="C491" s="1">
        <v>42531</v>
      </c>
      <c r="D491" t="s">
        <v>28</v>
      </c>
      <c r="E491" t="str">
        <f>VLOOKUP(TRIM(D491), Catalogo_gestiones!$A:$B, 2, FALSE)</f>
        <v>N</v>
      </c>
    </row>
    <row r="492" spans="1:5" x14ac:dyDescent="0.25">
      <c r="A492">
        <v>8293662</v>
      </c>
      <c r="B492">
        <v>25834952</v>
      </c>
      <c r="C492" s="1">
        <v>42531</v>
      </c>
      <c r="D492" t="s">
        <v>26</v>
      </c>
      <c r="E492" t="str">
        <f>VLOOKUP(TRIM(D492), Catalogo_gestiones!$A:$B, 2, FALSE)</f>
        <v>N</v>
      </c>
    </row>
    <row r="493" spans="1:5" x14ac:dyDescent="0.25">
      <c r="A493">
        <v>8293714</v>
      </c>
      <c r="B493">
        <v>21486272</v>
      </c>
      <c r="C493" s="1">
        <v>42531</v>
      </c>
      <c r="D493" t="s">
        <v>34</v>
      </c>
      <c r="E493" t="str">
        <f>VLOOKUP(TRIM(D493), Catalogo_gestiones!$A:$B, 2, FALSE)</f>
        <v>N</v>
      </c>
    </row>
    <row r="494" spans="1:5" x14ac:dyDescent="0.25">
      <c r="A494">
        <v>8293734</v>
      </c>
      <c r="B494">
        <v>28582640</v>
      </c>
      <c r="C494" s="1">
        <v>42524</v>
      </c>
      <c r="D494" t="s">
        <v>26</v>
      </c>
      <c r="E494" t="str">
        <f>VLOOKUP(TRIM(D494), Catalogo_gestiones!$A:$B, 2, FALSE)</f>
        <v>N</v>
      </c>
    </row>
    <row r="495" spans="1:5" x14ac:dyDescent="0.25">
      <c r="A495">
        <v>8293781</v>
      </c>
      <c r="B495">
        <v>25151473</v>
      </c>
      <c r="C495" s="1">
        <v>42531</v>
      </c>
      <c r="D495" t="s">
        <v>25</v>
      </c>
      <c r="E495" t="str">
        <f>VLOOKUP(TRIM(D495), Catalogo_gestiones!$A:$B, 2, FALSE)</f>
        <v>N</v>
      </c>
    </row>
    <row r="496" spans="1:5" x14ac:dyDescent="0.25">
      <c r="A496">
        <v>8293793</v>
      </c>
      <c r="B496">
        <v>27730431</v>
      </c>
      <c r="C496" s="1">
        <v>42522</v>
      </c>
      <c r="D496" t="s">
        <v>28</v>
      </c>
      <c r="E496" t="str">
        <f>VLOOKUP(TRIM(D496), Catalogo_gestiones!$A:$B, 2, FALSE)</f>
        <v>N</v>
      </c>
    </row>
    <row r="497" spans="1:5" x14ac:dyDescent="0.25">
      <c r="A497">
        <v>8293815</v>
      </c>
      <c r="B497">
        <v>26238609</v>
      </c>
      <c r="C497" s="1">
        <v>42531</v>
      </c>
      <c r="D497" t="s">
        <v>26</v>
      </c>
      <c r="E497" t="str">
        <f>VLOOKUP(TRIM(D497), Catalogo_gestiones!$A:$B, 2, FALSE)</f>
        <v>N</v>
      </c>
    </row>
    <row r="498" spans="1:5" x14ac:dyDescent="0.25">
      <c r="A498">
        <v>8293818</v>
      </c>
      <c r="B498">
        <v>28252699</v>
      </c>
      <c r="C498" s="1">
        <v>42531</v>
      </c>
      <c r="D498" t="s">
        <v>34</v>
      </c>
      <c r="E498" t="str">
        <f>VLOOKUP(TRIM(D498), Catalogo_gestiones!$A:$B, 2, FALSE)</f>
        <v>N</v>
      </c>
    </row>
    <row r="499" spans="1:5" x14ac:dyDescent="0.25">
      <c r="A499">
        <v>8293949</v>
      </c>
      <c r="B499">
        <v>26857064</v>
      </c>
      <c r="C499" s="1">
        <v>42531</v>
      </c>
      <c r="D499" t="s">
        <v>26</v>
      </c>
      <c r="E499" t="str">
        <f>VLOOKUP(TRIM(D499), Catalogo_gestiones!$A:$B, 2, FALSE)</f>
        <v>N</v>
      </c>
    </row>
    <row r="500" spans="1:5" x14ac:dyDescent="0.25">
      <c r="A500">
        <v>8294114</v>
      </c>
      <c r="B500">
        <v>21353303</v>
      </c>
      <c r="C500" s="1">
        <v>42531</v>
      </c>
      <c r="D500" t="s">
        <v>25</v>
      </c>
      <c r="E500" t="str">
        <f>VLOOKUP(TRIM(D500), Catalogo_gestiones!$A:$B, 2, FALSE)</f>
        <v>N</v>
      </c>
    </row>
    <row r="501" spans="1:5" x14ac:dyDescent="0.25">
      <c r="A501">
        <v>8294206</v>
      </c>
      <c r="B501">
        <v>27648242</v>
      </c>
      <c r="C501" s="1">
        <v>42531</v>
      </c>
      <c r="D501" t="s">
        <v>28</v>
      </c>
      <c r="E501" t="str">
        <f>VLOOKUP(TRIM(D501), Catalogo_gestiones!$A:$B, 2, FALSE)</f>
        <v>N</v>
      </c>
    </row>
    <row r="502" spans="1:5" x14ac:dyDescent="0.25">
      <c r="A502">
        <v>8294211</v>
      </c>
      <c r="B502">
        <v>20248889</v>
      </c>
      <c r="C502" s="1">
        <v>42531</v>
      </c>
      <c r="D502" t="s">
        <v>26</v>
      </c>
      <c r="E502" t="str">
        <f>VLOOKUP(TRIM(D502), Catalogo_gestiones!$A:$B, 2, FALSE)</f>
        <v>N</v>
      </c>
    </row>
    <row r="503" spans="1:5" x14ac:dyDescent="0.25">
      <c r="A503">
        <v>8294211</v>
      </c>
      <c r="B503">
        <v>20249908</v>
      </c>
      <c r="C503" s="1">
        <v>42531</v>
      </c>
      <c r="D503" t="s">
        <v>34</v>
      </c>
      <c r="E503" t="str">
        <f>VLOOKUP(TRIM(D503), Catalogo_gestiones!$A:$B, 2, FALSE)</f>
        <v>N</v>
      </c>
    </row>
    <row r="504" spans="1:5" x14ac:dyDescent="0.25">
      <c r="A504">
        <v>8294261</v>
      </c>
      <c r="B504">
        <v>27755425</v>
      </c>
      <c r="C504" s="1">
        <v>42531</v>
      </c>
      <c r="D504" t="s">
        <v>26</v>
      </c>
      <c r="E504" t="str">
        <f>VLOOKUP(TRIM(D504), Catalogo_gestiones!$A:$B, 2, FALSE)</f>
        <v>N</v>
      </c>
    </row>
    <row r="505" spans="1:5" x14ac:dyDescent="0.25">
      <c r="A505">
        <v>8294375</v>
      </c>
      <c r="B505">
        <v>25479266</v>
      </c>
      <c r="C505" s="1">
        <v>42531</v>
      </c>
      <c r="D505" t="s">
        <v>25</v>
      </c>
      <c r="E505" t="str">
        <f>VLOOKUP(TRIM(D505), Catalogo_gestiones!$A:$B, 2, FALSE)</f>
        <v>N</v>
      </c>
    </row>
    <row r="506" spans="1:5" x14ac:dyDescent="0.25">
      <c r="A506">
        <v>8294415</v>
      </c>
      <c r="B506">
        <v>25073407</v>
      </c>
      <c r="C506" s="1">
        <v>42531</v>
      </c>
      <c r="D506" t="s">
        <v>28</v>
      </c>
      <c r="E506" t="str">
        <f>VLOOKUP(TRIM(D506), Catalogo_gestiones!$A:$B, 2, FALSE)</f>
        <v>N</v>
      </c>
    </row>
    <row r="507" spans="1:5" x14ac:dyDescent="0.25">
      <c r="A507">
        <v>8294415</v>
      </c>
      <c r="B507">
        <v>25086883</v>
      </c>
      <c r="C507" s="1">
        <v>42531</v>
      </c>
      <c r="D507" t="s">
        <v>26</v>
      </c>
      <c r="E507" t="str">
        <f>VLOOKUP(TRIM(D507), Catalogo_gestiones!$A:$B, 2, FALSE)</f>
        <v>N</v>
      </c>
    </row>
    <row r="508" spans="1:5" x14ac:dyDescent="0.25">
      <c r="A508">
        <v>8294415</v>
      </c>
      <c r="B508">
        <v>26921845</v>
      </c>
      <c r="C508" s="1">
        <v>42531</v>
      </c>
      <c r="D508" t="s">
        <v>34</v>
      </c>
      <c r="E508" t="str">
        <f>VLOOKUP(TRIM(D508), Catalogo_gestiones!$A:$B, 2, FALSE)</f>
        <v>N</v>
      </c>
    </row>
    <row r="509" spans="1:5" x14ac:dyDescent="0.25">
      <c r="A509">
        <v>8294415</v>
      </c>
      <c r="B509">
        <v>27029677</v>
      </c>
      <c r="C509" s="1">
        <v>42531</v>
      </c>
      <c r="D509" t="s">
        <v>26</v>
      </c>
      <c r="E509" t="str">
        <f>VLOOKUP(TRIM(D509), Catalogo_gestiones!$A:$B, 2, FALSE)</f>
        <v>N</v>
      </c>
    </row>
    <row r="510" spans="1:5" x14ac:dyDescent="0.25">
      <c r="A510">
        <v>8294415</v>
      </c>
      <c r="B510">
        <v>27475022</v>
      </c>
      <c r="C510" s="1">
        <v>42531</v>
      </c>
      <c r="D510" t="s">
        <v>25</v>
      </c>
      <c r="E510" t="str">
        <f>VLOOKUP(TRIM(D510), Catalogo_gestiones!$A:$B, 2, FALSE)</f>
        <v>N</v>
      </c>
    </row>
    <row r="511" spans="1:5" x14ac:dyDescent="0.25">
      <c r="A511">
        <v>8294415</v>
      </c>
      <c r="B511">
        <v>27494159</v>
      </c>
      <c r="C511" s="1">
        <v>42531</v>
      </c>
      <c r="D511" t="s">
        <v>28</v>
      </c>
      <c r="E511" t="str">
        <f>VLOOKUP(TRIM(D511), Catalogo_gestiones!$A:$B, 2, FALSE)</f>
        <v>N</v>
      </c>
    </row>
    <row r="512" spans="1:5" x14ac:dyDescent="0.25">
      <c r="A512">
        <v>8294415</v>
      </c>
      <c r="B512">
        <v>27650008</v>
      </c>
      <c r="C512" s="1">
        <v>42531</v>
      </c>
      <c r="D512" t="s">
        <v>26</v>
      </c>
      <c r="E512" t="str">
        <f>VLOOKUP(TRIM(D512), Catalogo_gestiones!$A:$B, 2, FALSE)</f>
        <v>N</v>
      </c>
    </row>
    <row r="513" spans="1:5" x14ac:dyDescent="0.25">
      <c r="A513">
        <v>8294415</v>
      </c>
      <c r="B513">
        <v>28151154</v>
      </c>
      <c r="C513" s="1">
        <v>42531</v>
      </c>
      <c r="D513" t="s">
        <v>34</v>
      </c>
      <c r="E513" t="str">
        <f>VLOOKUP(TRIM(D513), Catalogo_gestiones!$A:$B, 2, FALSE)</f>
        <v>N</v>
      </c>
    </row>
    <row r="514" spans="1:5" x14ac:dyDescent="0.25">
      <c r="A514">
        <v>8294415</v>
      </c>
      <c r="B514">
        <v>28151320</v>
      </c>
      <c r="C514" s="1">
        <v>42531</v>
      </c>
      <c r="D514" t="s">
        <v>26</v>
      </c>
      <c r="E514" t="str">
        <f>VLOOKUP(TRIM(D514), Catalogo_gestiones!$A:$B, 2, FALSE)</f>
        <v>N</v>
      </c>
    </row>
    <row r="515" spans="1:5" x14ac:dyDescent="0.25">
      <c r="A515">
        <v>8294415</v>
      </c>
      <c r="B515">
        <v>28154208</v>
      </c>
      <c r="C515" s="1">
        <v>42531</v>
      </c>
      <c r="D515" t="s">
        <v>25</v>
      </c>
      <c r="E515" t="str">
        <f>VLOOKUP(TRIM(D515), Catalogo_gestiones!$A:$B, 2, FALSE)</f>
        <v>N</v>
      </c>
    </row>
    <row r="516" spans="1:5" x14ac:dyDescent="0.25">
      <c r="A516">
        <v>8294465</v>
      </c>
      <c r="B516">
        <v>25276855</v>
      </c>
      <c r="C516" s="1">
        <v>42531</v>
      </c>
      <c r="D516" t="s">
        <v>28</v>
      </c>
      <c r="E516" t="str">
        <f>VLOOKUP(TRIM(D516), Catalogo_gestiones!$A:$B, 2, FALSE)</f>
        <v>N</v>
      </c>
    </row>
    <row r="517" spans="1:5" x14ac:dyDescent="0.25">
      <c r="A517">
        <v>8294484</v>
      </c>
      <c r="B517">
        <v>26897548</v>
      </c>
      <c r="C517" s="1">
        <v>42531</v>
      </c>
      <c r="D517" t="s">
        <v>26</v>
      </c>
      <c r="E517" t="str">
        <f>VLOOKUP(TRIM(D517), Catalogo_gestiones!$A:$B, 2, FALSE)</f>
        <v>N</v>
      </c>
    </row>
    <row r="518" spans="1:5" x14ac:dyDescent="0.25">
      <c r="A518">
        <v>8307776</v>
      </c>
      <c r="B518">
        <v>26204227</v>
      </c>
      <c r="C518" s="1">
        <v>42531</v>
      </c>
      <c r="D518" t="s">
        <v>34</v>
      </c>
      <c r="E518" t="str">
        <f>VLOOKUP(TRIM(D518), Catalogo_gestiones!$A:$B, 2, FALSE)</f>
        <v>N</v>
      </c>
    </row>
    <row r="519" spans="1:5" x14ac:dyDescent="0.25">
      <c r="A519">
        <v>8316522</v>
      </c>
      <c r="B519">
        <v>22697628</v>
      </c>
      <c r="C519" s="1">
        <v>42531</v>
      </c>
      <c r="D519" t="s">
        <v>26</v>
      </c>
      <c r="E519" t="str">
        <f>VLOOKUP(TRIM(D519), Catalogo_gestiones!$A:$B, 2, FALSE)</f>
        <v>N</v>
      </c>
    </row>
    <row r="520" spans="1:5" x14ac:dyDescent="0.25">
      <c r="A520">
        <v>8316522</v>
      </c>
      <c r="B520">
        <v>25377657</v>
      </c>
      <c r="C520" s="1">
        <v>42523</v>
      </c>
      <c r="D520" t="s">
        <v>25</v>
      </c>
      <c r="E520" t="str">
        <f>VLOOKUP(TRIM(D520), Catalogo_gestiones!$A:$B, 2, FALSE)</f>
        <v>N</v>
      </c>
    </row>
    <row r="521" spans="1:5" x14ac:dyDescent="0.25">
      <c r="A521">
        <v>8322016</v>
      </c>
      <c r="B521">
        <v>28234540</v>
      </c>
      <c r="C521" s="1">
        <v>42522</v>
      </c>
      <c r="D521" t="s">
        <v>28</v>
      </c>
      <c r="E521" t="str">
        <f>VLOOKUP(TRIM(D521), Catalogo_gestiones!$A:$B, 2, FALSE)</f>
        <v>N</v>
      </c>
    </row>
    <row r="522" spans="1:5" x14ac:dyDescent="0.25">
      <c r="A522">
        <v>8322484</v>
      </c>
      <c r="B522">
        <v>16140274</v>
      </c>
      <c r="C522" s="1">
        <v>42531</v>
      </c>
      <c r="D522" t="s">
        <v>26</v>
      </c>
      <c r="E522" t="str">
        <f>VLOOKUP(TRIM(D522), Catalogo_gestiones!$A:$B, 2, FALSE)</f>
        <v>N</v>
      </c>
    </row>
    <row r="523" spans="1:5" x14ac:dyDescent="0.25">
      <c r="A523">
        <v>8322484</v>
      </c>
      <c r="B523">
        <v>21785894</v>
      </c>
      <c r="C523" s="1">
        <v>42531</v>
      </c>
      <c r="D523" t="s">
        <v>34</v>
      </c>
      <c r="E523" t="str">
        <f>VLOOKUP(TRIM(D523), Catalogo_gestiones!$A:$B, 2, FALSE)</f>
        <v>N</v>
      </c>
    </row>
    <row r="524" spans="1:5" x14ac:dyDescent="0.25">
      <c r="A524">
        <v>8349062</v>
      </c>
      <c r="B524">
        <v>25859215</v>
      </c>
      <c r="C524" s="1">
        <v>42531</v>
      </c>
      <c r="D524" t="s">
        <v>26</v>
      </c>
      <c r="E524" t="str">
        <f>VLOOKUP(TRIM(D524), Catalogo_gestiones!$A:$B, 2, FALSE)</f>
        <v>N</v>
      </c>
    </row>
    <row r="525" spans="1:5" x14ac:dyDescent="0.25">
      <c r="A525">
        <v>8349681</v>
      </c>
      <c r="B525">
        <v>24807405</v>
      </c>
      <c r="C525" s="1">
        <v>42531</v>
      </c>
      <c r="D525" t="s">
        <v>25</v>
      </c>
      <c r="E525" t="str">
        <f>VLOOKUP(TRIM(D525), Catalogo_gestiones!$A:$B, 2, FALSE)</f>
        <v>N</v>
      </c>
    </row>
    <row r="526" spans="1:5" x14ac:dyDescent="0.25">
      <c r="A526">
        <v>8350430</v>
      </c>
      <c r="B526">
        <v>26724769</v>
      </c>
      <c r="C526" s="1">
        <v>42531</v>
      </c>
      <c r="D526" t="s">
        <v>28</v>
      </c>
      <c r="E526" t="str">
        <f>VLOOKUP(TRIM(D526), Catalogo_gestiones!$A:$B, 2, FALSE)</f>
        <v>N</v>
      </c>
    </row>
    <row r="527" spans="1:5" x14ac:dyDescent="0.25">
      <c r="A527">
        <v>8350430</v>
      </c>
      <c r="B527">
        <v>26726954</v>
      </c>
      <c r="C527" s="1">
        <v>42531</v>
      </c>
      <c r="D527" t="s">
        <v>26</v>
      </c>
      <c r="E527" t="str">
        <f>VLOOKUP(TRIM(D527), Catalogo_gestiones!$A:$B, 2, FALSE)</f>
        <v>N</v>
      </c>
    </row>
    <row r="528" spans="1:5" x14ac:dyDescent="0.25">
      <c r="A528">
        <v>8350710</v>
      </c>
      <c r="B528">
        <v>26378338</v>
      </c>
      <c r="C528" s="1">
        <v>42531</v>
      </c>
      <c r="D528" t="s">
        <v>34</v>
      </c>
      <c r="E528" t="str">
        <f>VLOOKUP(TRIM(D528), Catalogo_gestiones!$A:$B, 2, FALSE)</f>
        <v>N</v>
      </c>
    </row>
    <row r="529" spans="1:5" x14ac:dyDescent="0.25">
      <c r="A529">
        <v>8350978</v>
      </c>
      <c r="B529">
        <v>23577494</v>
      </c>
      <c r="C529" s="1">
        <v>42531</v>
      </c>
      <c r="D529" t="s">
        <v>26</v>
      </c>
      <c r="E529" t="str">
        <f>VLOOKUP(TRIM(D529), Catalogo_gestiones!$A:$B, 2, FALSE)</f>
        <v>N</v>
      </c>
    </row>
    <row r="530" spans="1:5" x14ac:dyDescent="0.25">
      <c r="A530">
        <v>8351047</v>
      </c>
      <c r="B530">
        <v>24368978</v>
      </c>
      <c r="C530" s="1">
        <v>42531</v>
      </c>
      <c r="D530" t="s">
        <v>25</v>
      </c>
      <c r="E530" t="str">
        <f>VLOOKUP(TRIM(D530), Catalogo_gestiones!$A:$B, 2, FALSE)</f>
        <v>N</v>
      </c>
    </row>
    <row r="531" spans="1:5" x14ac:dyDescent="0.25">
      <c r="A531">
        <v>8356945</v>
      </c>
      <c r="B531">
        <v>23046024</v>
      </c>
      <c r="C531" s="1">
        <v>42531</v>
      </c>
      <c r="D531" t="s">
        <v>28</v>
      </c>
      <c r="E531" t="str">
        <f>VLOOKUP(TRIM(D531), Catalogo_gestiones!$A:$B, 2, FALSE)</f>
        <v>N</v>
      </c>
    </row>
    <row r="532" spans="1:5" x14ac:dyDescent="0.25">
      <c r="A532">
        <v>8357219</v>
      </c>
      <c r="B532">
        <v>27217004</v>
      </c>
      <c r="C532" s="1">
        <v>42531</v>
      </c>
      <c r="D532" t="s">
        <v>26</v>
      </c>
      <c r="E532" t="str">
        <f>VLOOKUP(TRIM(D532), Catalogo_gestiones!$A:$B, 2, FALSE)</f>
        <v>N</v>
      </c>
    </row>
    <row r="533" spans="1:5" x14ac:dyDescent="0.25">
      <c r="A533">
        <v>8357219</v>
      </c>
      <c r="B533">
        <v>27253545</v>
      </c>
      <c r="C533" s="1">
        <v>42531</v>
      </c>
      <c r="D533" t="s">
        <v>34</v>
      </c>
      <c r="E533" t="str">
        <f>VLOOKUP(TRIM(D533), Catalogo_gestiones!$A:$B, 2, FALSE)</f>
        <v>N</v>
      </c>
    </row>
    <row r="534" spans="1:5" x14ac:dyDescent="0.25">
      <c r="A534">
        <v>8357227</v>
      </c>
      <c r="B534">
        <v>26369502</v>
      </c>
      <c r="C534" s="1">
        <v>42531</v>
      </c>
      <c r="D534" t="s">
        <v>26</v>
      </c>
      <c r="E534" t="str">
        <f>VLOOKUP(TRIM(D534), Catalogo_gestiones!$A:$B, 2, FALSE)</f>
        <v>N</v>
      </c>
    </row>
    <row r="535" spans="1:5" x14ac:dyDescent="0.25">
      <c r="A535">
        <v>8357241</v>
      </c>
      <c r="B535">
        <v>21744609</v>
      </c>
      <c r="C535" s="1">
        <v>42531</v>
      </c>
      <c r="D535" t="s">
        <v>25</v>
      </c>
      <c r="E535" t="str">
        <f>VLOOKUP(TRIM(D535), Catalogo_gestiones!$A:$B, 2, FALSE)</f>
        <v>N</v>
      </c>
    </row>
    <row r="536" spans="1:5" x14ac:dyDescent="0.25">
      <c r="A536">
        <v>8357241</v>
      </c>
      <c r="B536">
        <v>22658475</v>
      </c>
      <c r="C536" s="1">
        <v>42531</v>
      </c>
      <c r="D536" t="s">
        <v>28</v>
      </c>
      <c r="E536" t="str">
        <f>VLOOKUP(TRIM(D536), Catalogo_gestiones!$A:$B, 2, FALSE)</f>
        <v>N</v>
      </c>
    </row>
    <row r="537" spans="1:5" x14ac:dyDescent="0.25">
      <c r="A537">
        <v>8357529</v>
      </c>
      <c r="B537">
        <v>27995102</v>
      </c>
      <c r="C537" s="1">
        <v>42531</v>
      </c>
      <c r="D537" t="s">
        <v>26</v>
      </c>
      <c r="E537" t="str">
        <f>VLOOKUP(TRIM(D537), Catalogo_gestiones!$A:$B, 2, FALSE)</f>
        <v>N</v>
      </c>
    </row>
    <row r="538" spans="1:5" x14ac:dyDescent="0.25">
      <c r="A538">
        <v>8360977</v>
      </c>
      <c r="B538">
        <v>26011555</v>
      </c>
      <c r="C538" s="1">
        <v>42531</v>
      </c>
      <c r="D538" t="s">
        <v>34</v>
      </c>
      <c r="E538" t="str">
        <f>VLOOKUP(TRIM(D538), Catalogo_gestiones!$A:$B, 2, FALSE)</f>
        <v>N</v>
      </c>
    </row>
    <row r="539" spans="1:5" x14ac:dyDescent="0.25">
      <c r="A539">
        <v>8361878</v>
      </c>
      <c r="B539">
        <v>1051371</v>
      </c>
      <c r="C539" s="1">
        <v>42531</v>
      </c>
      <c r="D539" t="s">
        <v>26</v>
      </c>
      <c r="E539" t="str">
        <f>VLOOKUP(TRIM(D539), Catalogo_gestiones!$A:$B, 2, FALSE)</f>
        <v>N</v>
      </c>
    </row>
    <row r="540" spans="1:5" x14ac:dyDescent="0.25">
      <c r="A540">
        <v>8362506</v>
      </c>
      <c r="B540">
        <v>26696130</v>
      </c>
      <c r="C540" s="1">
        <v>42531</v>
      </c>
      <c r="D540" t="s">
        <v>25</v>
      </c>
      <c r="E540" t="str">
        <f>VLOOKUP(TRIM(D540), Catalogo_gestiones!$A:$B, 2, FALSE)</f>
        <v>N</v>
      </c>
    </row>
    <row r="541" spans="1:5" x14ac:dyDescent="0.25">
      <c r="A541">
        <v>8362506</v>
      </c>
      <c r="B541">
        <v>26696578</v>
      </c>
      <c r="C541" s="1">
        <v>42531</v>
      </c>
      <c r="D541" t="s">
        <v>28</v>
      </c>
      <c r="E541" t="str">
        <f>VLOOKUP(TRIM(D541), Catalogo_gestiones!$A:$B, 2, FALSE)</f>
        <v>N</v>
      </c>
    </row>
    <row r="542" spans="1:5" x14ac:dyDescent="0.25">
      <c r="A542">
        <v>8363386</v>
      </c>
      <c r="B542">
        <v>27479573</v>
      </c>
      <c r="C542" s="1">
        <v>42531</v>
      </c>
      <c r="D542" t="s">
        <v>26</v>
      </c>
      <c r="E542" t="str">
        <f>VLOOKUP(TRIM(D542), Catalogo_gestiones!$A:$B, 2, FALSE)</f>
        <v>N</v>
      </c>
    </row>
    <row r="543" spans="1:5" x14ac:dyDescent="0.25">
      <c r="A543">
        <v>8364034</v>
      </c>
      <c r="B543">
        <v>2328145</v>
      </c>
      <c r="C543" s="1">
        <v>42531</v>
      </c>
      <c r="D543" t="s">
        <v>34</v>
      </c>
      <c r="E543" t="str">
        <f>VLOOKUP(TRIM(D543), Catalogo_gestiones!$A:$B, 2, FALSE)</f>
        <v>N</v>
      </c>
    </row>
    <row r="544" spans="1:5" x14ac:dyDescent="0.25">
      <c r="A544">
        <v>8364034</v>
      </c>
      <c r="B544">
        <v>26406536</v>
      </c>
      <c r="C544" s="1">
        <v>42531</v>
      </c>
      <c r="D544" t="s">
        <v>26</v>
      </c>
      <c r="E544" t="str">
        <f>VLOOKUP(TRIM(D544), Catalogo_gestiones!$A:$B, 2, FALSE)</f>
        <v>N</v>
      </c>
    </row>
    <row r="545" spans="1:5" x14ac:dyDescent="0.25">
      <c r="A545">
        <v>8364712</v>
      </c>
      <c r="B545">
        <v>1460358</v>
      </c>
      <c r="C545" s="1">
        <v>42531</v>
      </c>
      <c r="D545" t="s">
        <v>25</v>
      </c>
      <c r="E545" t="str">
        <f>VLOOKUP(TRIM(D545), Catalogo_gestiones!$A:$B, 2, FALSE)</f>
        <v>N</v>
      </c>
    </row>
    <row r="546" spans="1:5" x14ac:dyDescent="0.25">
      <c r="A546">
        <v>8365097</v>
      </c>
      <c r="B546">
        <v>3651053</v>
      </c>
      <c r="C546" s="1">
        <v>42531</v>
      </c>
      <c r="D546" t="s">
        <v>28</v>
      </c>
      <c r="E546" t="str">
        <f>VLOOKUP(TRIM(D546), Catalogo_gestiones!$A:$B, 2, FALSE)</f>
        <v>N</v>
      </c>
    </row>
    <row r="547" spans="1:5" x14ac:dyDescent="0.25">
      <c r="A547">
        <v>8365309</v>
      </c>
      <c r="B547">
        <v>26944546</v>
      </c>
      <c r="C547" s="1">
        <v>42522</v>
      </c>
      <c r="D547" t="s">
        <v>26</v>
      </c>
      <c r="E547" t="str">
        <f>VLOOKUP(TRIM(D547), Catalogo_gestiones!$A:$B, 2, FALSE)</f>
        <v>N</v>
      </c>
    </row>
    <row r="548" spans="1:5" x14ac:dyDescent="0.25">
      <c r="A548">
        <v>8366056</v>
      </c>
      <c r="B548">
        <v>26064932</v>
      </c>
      <c r="C548" s="1">
        <v>42531</v>
      </c>
      <c r="D548" t="s">
        <v>34</v>
      </c>
      <c r="E548" t="str">
        <f>VLOOKUP(TRIM(D548), Catalogo_gestiones!$A:$B, 2, FALSE)</f>
        <v>N</v>
      </c>
    </row>
    <row r="549" spans="1:5" x14ac:dyDescent="0.25">
      <c r="A549">
        <v>8366056</v>
      </c>
      <c r="B549">
        <v>27054787</v>
      </c>
      <c r="C549" s="1">
        <v>42531</v>
      </c>
      <c r="D549" t="s">
        <v>26</v>
      </c>
      <c r="E549" t="str">
        <f>VLOOKUP(TRIM(D549), Catalogo_gestiones!$A:$B, 2, FALSE)</f>
        <v>N</v>
      </c>
    </row>
    <row r="550" spans="1:5" x14ac:dyDescent="0.25">
      <c r="A550">
        <v>8366256</v>
      </c>
      <c r="B550">
        <v>25706312</v>
      </c>
      <c r="C550" s="1">
        <v>42528</v>
      </c>
      <c r="D550" t="s">
        <v>25</v>
      </c>
      <c r="E550" t="str">
        <f>VLOOKUP(TRIM(D550), Catalogo_gestiones!$A:$B, 2, FALSE)</f>
        <v>N</v>
      </c>
    </row>
    <row r="551" spans="1:5" x14ac:dyDescent="0.25">
      <c r="A551">
        <v>8366454</v>
      </c>
      <c r="B551">
        <v>11221865</v>
      </c>
      <c r="C551" s="1">
        <v>42528</v>
      </c>
      <c r="D551" t="s">
        <v>28</v>
      </c>
      <c r="E551" t="str">
        <f>VLOOKUP(TRIM(D551), Catalogo_gestiones!$A:$B, 2, FALSE)</f>
        <v>N</v>
      </c>
    </row>
    <row r="552" spans="1:5" x14ac:dyDescent="0.25">
      <c r="A552">
        <v>8366773</v>
      </c>
      <c r="B552">
        <v>24385342</v>
      </c>
      <c r="C552" s="1">
        <v>42528</v>
      </c>
      <c r="D552" t="s">
        <v>26</v>
      </c>
      <c r="E552" t="str">
        <f>VLOOKUP(TRIM(D552), Catalogo_gestiones!$A:$B, 2, FALSE)</f>
        <v>N</v>
      </c>
    </row>
    <row r="553" spans="1:5" x14ac:dyDescent="0.25">
      <c r="A553">
        <v>8367150</v>
      </c>
      <c r="B553">
        <v>18627540</v>
      </c>
      <c r="C553" s="1">
        <v>42528</v>
      </c>
      <c r="D553" t="s">
        <v>34</v>
      </c>
      <c r="E553" t="str">
        <f>VLOOKUP(TRIM(D553), Catalogo_gestiones!$A:$B, 2, FALSE)</f>
        <v>N</v>
      </c>
    </row>
    <row r="554" spans="1:5" x14ac:dyDescent="0.25">
      <c r="A554">
        <v>8367150</v>
      </c>
      <c r="B554">
        <v>18628373</v>
      </c>
      <c r="C554" s="1">
        <v>42528</v>
      </c>
      <c r="D554" t="s">
        <v>26</v>
      </c>
      <c r="E554" t="str">
        <f>VLOOKUP(TRIM(D554), Catalogo_gestiones!$A:$B, 2, FALSE)</f>
        <v>N</v>
      </c>
    </row>
    <row r="555" spans="1:5" x14ac:dyDescent="0.25">
      <c r="A555">
        <v>8367187</v>
      </c>
      <c r="B555">
        <v>24358512</v>
      </c>
      <c r="C555" s="1">
        <v>42528</v>
      </c>
      <c r="D555" t="s">
        <v>25</v>
      </c>
      <c r="E555" t="str">
        <f>VLOOKUP(TRIM(D555), Catalogo_gestiones!$A:$B, 2, FALSE)</f>
        <v>N</v>
      </c>
    </row>
    <row r="556" spans="1:5" x14ac:dyDescent="0.25">
      <c r="A556">
        <v>8367911</v>
      </c>
      <c r="B556">
        <v>26796195</v>
      </c>
      <c r="C556" s="1">
        <v>42528</v>
      </c>
      <c r="D556" t="s">
        <v>28</v>
      </c>
      <c r="E556" t="str">
        <f>VLOOKUP(TRIM(D556), Catalogo_gestiones!$A:$B, 2, FALSE)</f>
        <v>N</v>
      </c>
    </row>
    <row r="557" spans="1:5" x14ac:dyDescent="0.25">
      <c r="A557">
        <v>8368470</v>
      </c>
      <c r="B557">
        <v>25990958</v>
      </c>
      <c r="C557" s="1">
        <v>42528</v>
      </c>
      <c r="D557" t="s">
        <v>26</v>
      </c>
      <c r="E557" t="str">
        <f>VLOOKUP(TRIM(D557), Catalogo_gestiones!$A:$B, 2, FALSE)</f>
        <v>N</v>
      </c>
    </row>
    <row r="558" spans="1:5" x14ac:dyDescent="0.25">
      <c r="A558">
        <v>8368568</v>
      </c>
      <c r="B558">
        <v>20786848</v>
      </c>
      <c r="C558" s="1">
        <v>42522</v>
      </c>
      <c r="D558" t="s">
        <v>34</v>
      </c>
      <c r="E558" t="str">
        <f>VLOOKUP(TRIM(D558), Catalogo_gestiones!$A:$B, 2, FALSE)</f>
        <v>N</v>
      </c>
    </row>
    <row r="559" spans="1:5" x14ac:dyDescent="0.25">
      <c r="A559">
        <v>8368568</v>
      </c>
      <c r="B559">
        <v>23353967</v>
      </c>
      <c r="C559" s="1">
        <v>42522</v>
      </c>
      <c r="D559" t="s">
        <v>26</v>
      </c>
      <c r="E559" t="str">
        <f>VLOOKUP(TRIM(D559), Catalogo_gestiones!$A:$B, 2, FALSE)</f>
        <v>N</v>
      </c>
    </row>
    <row r="560" spans="1:5" x14ac:dyDescent="0.25">
      <c r="A560">
        <v>8368826</v>
      </c>
      <c r="B560">
        <v>11200552</v>
      </c>
      <c r="C560" s="1">
        <v>42528</v>
      </c>
      <c r="D560" t="s">
        <v>25</v>
      </c>
      <c r="E560" t="str">
        <f>VLOOKUP(TRIM(D560), Catalogo_gestiones!$A:$B, 2, FALSE)</f>
        <v>N</v>
      </c>
    </row>
    <row r="561" spans="1:5" x14ac:dyDescent="0.25">
      <c r="A561">
        <v>8368917</v>
      </c>
      <c r="B561">
        <v>15643416</v>
      </c>
      <c r="C561" s="1">
        <v>42528</v>
      </c>
      <c r="D561" t="s">
        <v>28</v>
      </c>
      <c r="E561" t="str">
        <f>VLOOKUP(TRIM(D561), Catalogo_gestiones!$A:$B, 2, FALSE)</f>
        <v>N</v>
      </c>
    </row>
    <row r="562" spans="1:5" x14ac:dyDescent="0.25">
      <c r="A562">
        <v>8368917</v>
      </c>
      <c r="B562">
        <v>15644864</v>
      </c>
      <c r="C562" s="1">
        <v>42528</v>
      </c>
      <c r="D562" t="s">
        <v>26</v>
      </c>
      <c r="E562" t="str">
        <f>VLOOKUP(TRIM(D562), Catalogo_gestiones!$A:$B, 2, FALSE)</f>
        <v>N</v>
      </c>
    </row>
    <row r="563" spans="1:5" x14ac:dyDescent="0.25">
      <c r="A563">
        <v>8368961</v>
      </c>
      <c r="B563">
        <v>23801774</v>
      </c>
      <c r="C563" s="1">
        <v>42528</v>
      </c>
      <c r="D563" t="s">
        <v>34</v>
      </c>
      <c r="E563" t="str">
        <f>VLOOKUP(TRIM(D563), Catalogo_gestiones!$A:$B, 2, FALSE)</f>
        <v>N</v>
      </c>
    </row>
    <row r="564" spans="1:5" x14ac:dyDescent="0.25">
      <c r="A564">
        <v>8369021</v>
      </c>
      <c r="B564">
        <v>24967953</v>
      </c>
      <c r="C564" s="1">
        <v>42524</v>
      </c>
      <c r="D564" t="s">
        <v>26</v>
      </c>
      <c r="E564" t="str">
        <f>VLOOKUP(TRIM(D564), Catalogo_gestiones!$A:$B, 2, FALSE)</f>
        <v>N</v>
      </c>
    </row>
    <row r="565" spans="1:5" x14ac:dyDescent="0.25">
      <c r="A565">
        <v>8369548</v>
      </c>
      <c r="B565">
        <v>21722911</v>
      </c>
      <c r="C565" s="1">
        <v>42528</v>
      </c>
      <c r="D565" t="s">
        <v>25</v>
      </c>
      <c r="E565" t="str">
        <f>VLOOKUP(TRIM(D565), Catalogo_gestiones!$A:$B, 2, FALSE)</f>
        <v>N</v>
      </c>
    </row>
    <row r="566" spans="1:5" x14ac:dyDescent="0.25">
      <c r="A566">
        <v>8369921</v>
      </c>
      <c r="B566">
        <v>18804236</v>
      </c>
      <c r="C566" s="1">
        <v>42528</v>
      </c>
      <c r="D566" t="s">
        <v>28</v>
      </c>
      <c r="E566" t="str">
        <f>VLOOKUP(TRIM(D566), Catalogo_gestiones!$A:$B, 2, FALSE)</f>
        <v>N</v>
      </c>
    </row>
    <row r="567" spans="1:5" x14ac:dyDescent="0.25">
      <c r="A567">
        <v>8370142</v>
      </c>
      <c r="B567">
        <v>19935967</v>
      </c>
      <c r="C567" s="1">
        <v>42528</v>
      </c>
      <c r="D567" t="s">
        <v>26</v>
      </c>
      <c r="E567" t="str">
        <f>VLOOKUP(TRIM(D567), Catalogo_gestiones!$A:$B, 2, FALSE)</f>
        <v>N</v>
      </c>
    </row>
    <row r="568" spans="1:5" x14ac:dyDescent="0.25">
      <c r="A568">
        <v>8370142</v>
      </c>
      <c r="B568">
        <v>19937520</v>
      </c>
      <c r="C568" s="1">
        <v>42528</v>
      </c>
      <c r="D568" t="s">
        <v>34</v>
      </c>
      <c r="E568" t="str">
        <f>VLOOKUP(TRIM(D568), Catalogo_gestiones!$A:$B, 2, FALSE)</f>
        <v>N</v>
      </c>
    </row>
    <row r="569" spans="1:5" x14ac:dyDescent="0.25">
      <c r="A569">
        <v>8370436</v>
      </c>
      <c r="B569">
        <v>25911475</v>
      </c>
      <c r="C569" s="1">
        <v>42528</v>
      </c>
      <c r="D569" t="s">
        <v>26</v>
      </c>
      <c r="E569" t="str">
        <f>VLOOKUP(TRIM(D569), Catalogo_gestiones!$A:$B, 2, FALSE)</f>
        <v>N</v>
      </c>
    </row>
    <row r="570" spans="1:5" x14ac:dyDescent="0.25">
      <c r="A570">
        <v>8370964</v>
      </c>
      <c r="B570">
        <v>14853592</v>
      </c>
      <c r="C570" s="1">
        <v>42528</v>
      </c>
      <c r="D570" t="s">
        <v>25</v>
      </c>
      <c r="E570" t="str">
        <f>VLOOKUP(TRIM(D570), Catalogo_gestiones!$A:$B, 2, FALSE)</f>
        <v>N</v>
      </c>
    </row>
    <row r="571" spans="1:5" x14ac:dyDescent="0.25">
      <c r="A571">
        <v>8371020</v>
      </c>
      <c r="B571">
        <v>26228993</v>
      </c>
      <c r="C571" s="1">
        <v>42528</v>
      </c>
      <c r="D571" t="s">
        <v>28</v>
      </c>
      <c r="E571" t="str">
        <f>VLOOKUP(TRIM(D571), Catalogo_gestiones!$A:$B, 2, FALSE)</f>
        <v>N</v>
      </c>
    </row>
    <row r="572" spans="1:5" x14ac:dyDescent="0.25">
      <c r="A572">
        <v>8371143</v>
      </c>
      <c r="B572">
        <v>2778342</v>
      </c>
      <c r="C572" s="1">
        <v>42523</v>
      </c>
      <c r="D572" t="s">
        <v>26</v>
      </c>
      <c r="E572" t="str">
        <f>VLOOKUP(TRIM(D572), Catalogo_gestiones!$A:$B, 2, FALSE)</f>
        <v>N</v>
      </c>
    </row>
    <row r="573" spans="1:5" x14ac:dyDescent="0.25">
      <c r="A573">
        <v>8371143</v>
      </c>
      <c r="B573">
        <v>4910388</v>
      </c>
      <c r="C573" s="1">
        <v>42523</v>
      </c>
      <c r="D573" t="s">
        <v>34</v>
      </c>
      <c r="E573" t="str">
        <f>VLOOKUP(TRIM(D573), Catalogo_gestiones!$A:$B, 2, FALSE)</f>
        <v>N</v>
      </c>
    </row>
    <row r="574" spans="1:5" x14ac:dyDescent="0.25">
      <c r="A574">
        <v>8371487</v>
      </c>
      <c r="B574">
        <v>14446684</v>
      </c>
      <c r="C574" s="1">
        <v>42522</v>
      </c>
      <c r="D574" t="s">
        <v>26</v>
      </c>
      <c r="E574" t="str">
        <f>VLOOKUP(TRIM(D574), Catalogo_gestiones!$A:$B, 2, FALSE)</f>
        <v>N</v>
      </c>
    </row>
    <row r="575" spans="1:5" x14ac:dyDescent="0.25">
      <c r="A575">
        <v>8372113</v>
      </c>
      <c r="B575">
        <v>12527109</v>
      </c>
      <c r="C575" s="1">
        <v>42528</v>
      </c>
      <c r="D575" t="s">
        <v>25</v>
      </c>
      <c r="E575" t="str">
        <f>VLOOKUP(TRIM(D575), Catalogo_gestiones!$A:$B, 2, FALSE)</f>
        <v>N</v>
      </c>
    </row>
    <row r="576" spans="1:5" x14ac:dyDescent="0.25">
      <c r="A576">
        <v>8372113</v>
      </c>
      <c r="B576">
        <v>20852636</v>
      </c>
      <c r="C576" s="1">
        <v>42528</v>
      </c>
      <c r="D576" t="s">
        <v>28</v>
      </c>
      <c r="E576" t="str">
        <f>VLOOKUP(TRIM(D576), Catalogo_gestiones!$A:$B, 2, FALSE)</f>
        <v>N</v>
      </c>
    </row>
    <row r="577" spans="1:5" x14ac:dyDescent="0.25">
      <c r="A577">
        <v>8372113</v>
      </c>
      <c r="B577">
        <v>21187094</v>
      </c>
      <c r="C577" s="1">
        <v>42528</v>
      </c>
      <c r="D577" t="s">
        <v>26</v>
      </c>
      <c r="E577" t="str">
        <f>VLOOKUP(TRIM(D577), Catalogo_gestiones!$A:$B, 2, FALSE)</f>
        <v>N</v>
      </c>
    </row>
    <row r="578" spans="1:5" x14ac:dyDescent="0.25">
      <c r="A578">
        <v>8372113</v>
      </c>
      <c r="B578">
        <v>23287162</v>
      </c>
      <c r="C578" s="1">
        <v>42528</v>
      </c>
      <c r="D578" t="s">
        <v>34</v>
      </c>
      <c r="E578" t="str">
        <f>VLOOKUP(TRIM(D578), Catalogo_gestiones!$A:$B, 2, FALSE)</f>
        <v>N</v>
      </c>
    </row>
    <row r="579" spans="1:5" x14ac:dyDescent="0.25">
      <c r="A579">
        <v>8372256</v>
      </c>
      <c r="B579">
        <v>24368698</v>
      </c>
      <c r="C579" s="1">
        <v>42528</v>
      </c>
      <c r="D579" t="s">
        <v>26</v>
      </c>
      <c r="E579" t="str">
        <f>VLOOKUP(TRIM(D579), Catalogo_gestiones!$A:$B, 2, FALSE)</f>
        <v>N</v>
      </c>
    </row>
    <row r="580" spans="1:5" x14ac:dyDescent="0.25">
      <c r="A580">
        <v>8372294</v>
      </c>
      <c r="B580">
        <v>26217632</v>
      </c>
      <c r="C580" s="1">
        <v>42528</v>
      </c>
      <c r="D580" t="s">
        <v>25</v>
      </c>
      <c r="E580" t="str">
        <f>VLOOKUP(TRIM(D580), Catalogo_gestiones!$A:$B, 2, FALSE)</f>
        <v>N</v>
      </c>
    </row>
    <row r="581" spans="1:5" x14ac:dyDescent="0.25">
      <c r="A581">
        <v>8372484</v>
      </c>
      <c r="B581">
        <v>19916641</v>
      </c>
      <c r="C581" s="1">
        <v>42528</v>
      </c>
      <c r="D581" t="s">
        <v>28</v>
      </c>
      <c r="E581" t="str">
        <f>VLOOKUP(TRIM(D581), Catalogo_gestiones!$A:$B, 2, FALSE)</f>
        <v>N</v>
      </c>
    </row>
    <row r="582" spans="1:5" x14ac:dyDescent="0.25">
      <c r="A582">
        <v>8372759</v>
      </c>
      <c r="B582">
        <v>11400568</v>
      </c>
      <c r="C582" s="1">
        <v>42528</v>
      </c>
      <c r="D582" t="s">
        <v>26</v>
      </c>
      <c r="E582" t="str">
        <f>VLOOKUP(TRIM(D582), Catalogo_gestiones!$A:$B, 2, FALSE)</f>
        <v>N</v>
      </c>
    </row>
    <row r="583" spans="1:5" x14ac:dyDescent="0.25">
      <c r="A583">
        <v>8372819</v>
      </c>
      <c r="B583">
        <v>23753030</v>
      </c>
      <c r="C583" s="1">
        <v>42528</v>
      </c>
      <c r="D583" t="s">
        <v>34</v>
      </c>
      <c r="E583" t="str">
        <f>VLOOKUP(TRIM(D583), Catalogo_gestiones!$A:$B, 2, FALSE)</f>
        <v>N</v>
      </c>
    </row>
    <row r="584" spans="1:5" x14ac:dyDescent="0.25">
      <c r="A584">
        <v>8372852</v>
      </c>
      <c r="B584">
        <v>23768795</v>
      </c>
      <c r="C584" s="1">
        <v>42528</v>
      </c>
      <c r="D584" t="s">
        <v>26</v>
      </c>
      <c r="E584" t="str">
        <f>VLOOKUP(TRIM(D584), Catalogo_gestiones!$A:$B, 2, FALSE)</f>
        <v>N</v>
      </c>
    </row>
    <row r="585" spans="1:5" x14ac:dyDescent="0.25">
      <c r="A585">
        <v>8372876</v>
      </c>
      <c r="B585">
        <v>27056383</v>
      </c>
      <c r="C585" s="1">
        <v>42528</v>
      </c>
      <c r="D585" t="s">
        <v>25</v>
      </c>
      <c r="E585" t="str">
        <f>VLOOKUP(TRIM(D585), Catalogo_gestiones!$A:$B, 2, FALSE)</f>
        <v>N</v>
      </c>
    </row>
    <row r="586" spans="1:5" x14ac:dyDescent="0.25">
      <c r="A586">
        <v>8373109</v>
      </c>
      <c r="B586">
        <v>25110940</v>
      </c>
      <c r="C586" s="1">
        <v>42528</v>
      </c>
      <c r="D586" t="s">
        <v>28</v>
      </c>
      <c r="E586" t="str">
        <f>VLOOKUP(TRIM(D586), Catalogo_gestiones!$A:$B, 2, FALSE)</f>
        <v>N</v>
      </c>
    </row>
    <row r="587" spans="1:5" x14ac:dyDescent="0.25">
      <c r="A587">
        <v>8373110</v>
      </c>
      <c r="B587">
        <v>20837646</v>
      </c>
      <c r="C587" s="1">
        <v>42528</v>
      </c>
      <c r="D587" t="s">
        <v>26</v>
      </c>
      <c r="E587" t="str">
        <f>VLOOKUP(TRIM(D587), Catalogo_gestiones!$A:$B, 2, FALSE)</f>
        <v>N</v>
      </c>
    </row>
    <row r="588" spans="1:5" x14ac:dyDescent="0.25">
      <c r="A588">
        <v>8373305</v>
      </c>
      <c r="B588">
        <v>21807022</v>
      </c>
      <c r="C588" s="1">
        <v>42528</v>
      </c>
      <c r="D588" t="s">
        <v>34</v>
      </c>
      <c r="E588" t="str">
        <f>VLOOKUP(TRIM(D588), Catalogo_gestiones!$A:$B, 2, FALSE)</f>
        <v>N</v>
      </c>
    </row>
    <row r="589" spans="1:5" x14ac:dyDescent="0.25">
      <c r="A589">
        <v>8373318</v>
      </c>
      <c r="B589">
        <v>23637560</v>
      </c>
      <c r="C589" s="1">
        <v>42528</v>
      </c>
      <c r="D589" t="s">
        <v>26</v>
      </c>
      <c r="E589" t="str">
        <f>VLOOKUP(TRIM(D589), Catalogo_gestiones!$A:$B, 2, FALSE)</f>
        <v>N</v>
      </c>
    </row>
    <row r="590" spans="1:5" x14ac:dyDescent="0.25">
      <c r="A590">
        <v>8373458</v>
      </c>
      <c r="B590">
        <v>26405269</v>
      </c>
      <c r="C590" s="1">
        <v>42528</v>
      </c>
      <c r="D590" t="s">
        <v>25</v>
      </c>
      <c r="E590" t="str">
        <f>VLOOKUP(TRIM(D590), Catalogo_gestiones!$A:$B, 2, FALSE)</f>
        <v>N</v>
      </c>
    </row>
    <row r="591" spans="1:5" x14ac:dyDescent="0.25">
      <c r="A591">
        <v>8373519</v>
      </c>
      <c r="B591">
        <v>26396786</v>
      </c>
      <c r="C591" s="1">
        <v>42528</v>
      </c>
      <c r="D591" t="s">
        <v>28</v>
      </c>
      <c r="E591" t="str">
        <f>VLOOKUP(TRIM(D591), Catalogo_gestiones!$A:$B, 2, FALSE)</f>
        <v>N</v>
      </c>
    </row>
    <row r="592" spans="1:5" x14ac:dyDescent="0.25">
      <c r="A592">
        <v>8373802</v>
      </c>
      <c r="B592">
        <v>15812251</v>
      </c>
      <c r="C592" s="1">
        <v>42528</v>
      </c>
      <c r="D592" t="s">
        <v>26</v>
      </c>
      <c r="E592" t="str">
        <f>VLOOKUP(TRIM(D592), Catalogo_gestiones!$A:$B, 2, FALSE)</f>
        <v>N</v>
      </c>
    </row>
    <row r="593" spans="1:5" x14ac:dyDescent="0.25">
      <c r="A593">
        <v>8373802</v>
      </c>
      <c r="B593">
        <v>17302927</v>
      </c>
      <c r="C593" s="1">
        <v>42528</v>
      </c>
      <c r="D593" t="s">
        <v>34</v>
      </c>
      <c r="E593" t="str">
        <f>VLOOKUP(TRIM(D593), Catalogo_gestiones!$A:$B, 2, FALSE)</f>
        <v>N</v>
      </c>
    </row>
    <row r="594" spans="1:5" x14ac:dyDescent="0.25">
      <c r="A594">
        <v>8373802</v>
      </c>
      <c r="B594">
        <v>25509330</v>
      </c>
      <c r="C594" s="1">
        <v>42528</v>
      </c>
      <c r="D594" t="s">
        <v>26</v>
      </c>
      <c r="E594" t="str">
        <f>VLOOKUP(TRIM(D594), Catalogo_gestiones!$A:$B, 2, FALSE)</f>
        <v>N</v>
      </c>
    </row>
    <row r="595" spans="1:5" x14ac:dyDescent="0.25">
      <c r="A595">
        <v>8373802</v>
      </c>
      <c r="B595">
        <v>27399471</v>
      </c>
      <c r="C595" s="1">
        <v>42528</v>
      </c>
      <c r="D595" t="s">
        <v>25</v>
      </c>
      <c r="E595" t="str">
        <f>VLOOKUP(TRIM(D595), Catalogo_gestiones!$A:$B, 2, FALSE)</f>
        <v>N</v>
      </c>
    </row>
    <row r="596" spans="1:5" x14ac:dyDescent="0.25">
      <c r="A596">
        <v>8373802</v>
      </c>
      <c r="B596">
        <v>27745139</v>
      </c>
      <c r="C596" s="1">
        <v>42528</v>
      </c>
      <c r="D596" t="s">
        <v>28</v>
      </c>
      <c r="E596" t="str">
        <f>VLOOKUP(TRIM(D596), Catalogo_gestiones!$A:$B, 2, FALSE)</f>
        <v>N</v>
      </c>
    </row>
    <row r="597" spans="1:5" x14ac:dyDescent="0.25">
      <c r="A597">
        <v>8373803</v>
      </c>
      <c r="B597">
        <v>16656839</v>
      </c>
      <c r="C597" s="1">
        <v>42528</v>
      </c>
      <c r="D597" t="s">
        <v>26</v>
      </c>
      <c r="E597" t="str">
        <f>VLOOKUP(TRIM(D597), Catalogo_gestiones!$A:$B, 2, FALSE)</f>
        <v>N</v>
      </c>
    </row>
    <row r="598" spans="1:5" x14ac:dyDescent="0.25">
      <c r="A598">
        <v>8373803</v>
      </c>
      <c r="B598">
        <v>24836538</v>
      </c>
      <c r="C598" s="1">
        <v>42528</v>
      </c>
      <c r="D598" t="s">
        <v>34</v>
      </c>
      <c r="E598" t="str">
        <f>VLOOKUP(TRIM(D598), Catalogo_gestiones!$A:$B, 2, FALSE)</f>
        <v>N</v>
      </c>
    </row>
    <row r="599" spans="1:5" x14ac:dyDescent="0.25">
      <c r="A599">
        <v>8373922</v>
      </c>
      <c r="B599">
        <v>15451183</v>
      </c>
      <c r="C599" s="1">
        <v>42528</v>
      </c>
      <c r="D599" t="s">
        <v>26</v>
      </c>
      <c r="E599" t="str">
        <f>VLOOKUP(TRIM(D599), Catalogo_gestiones!$A:$B, 2, FALSE)</f>
        <v>N</v>
      </c>
    </row>
    <row r="600" spans="1:5" x14ac:dyDescent="0.25">
      <c r="A600">
        <v>8373922</v>
      </c>
      <c r="B600">
        <v>15452026</v>
      </c>
      <c r="C600" s="1">
        <v>42528</v>
      </c>
      <c r="D600" t="s">
        <v>25</v>
      </c>
      <c r="E600" t="str">
        <f>VLOOKUP(TRIM(D600), Catalogo_gestiones!$A:$B, 2, FALSE)</f>
        <v>N</v>
      </c>
    </row>
    <row r="601" spans="1:5" x14ac:dyDescent="0.25">
      <c r="A601">
        <v>8374077</v>
      </c>
      <c r="B601">
        <v>27041563</v>
      </c>
      <c r="C601" s="1">
        <v>42528</v>
      </c>
      <c r="D601" t="s">
        <v>28</v>
      </c>
      <c r="E601" t="str">
        <f>VLOOKUP(TRIM(D601), Catalogo_gestiones!$A:$B, 2, FALSE)</f>
        <v>N</v>
      </c>
    </row>
    <row r="602" spans="1:5" x14ac:dyDescent="0.25">
      <c r="A602">
        <v>8374957</v>
      </c>
      <c r="B602">
        <v>26344716</v>
      </c>
      <c r="C602" s="1">
        <v>42528</v>
      </c>
      <c r="D602" t="s">
        <v>26</v>
      </c>
      <c r="E602" t="str">
        <f>VLOOKUP(TRIM(D602), Catalogo_gestiones!$A:$B, 2, FALSE)</f>
        <v>N</v>
      </c>
    </row>
    <row r="603" spans="1:5" x14ac:dyDescent="0.25">
      <c r="A603">
        <v>8374964</v>
      </c>
      <c r="B603">
        <v>27287287</v>
      </c>
      <c r="C603" s="1">
        <v>42528</v>
      </c>
      <c r="D603" t="s">
        <v>34</v>
      </c>
      <c r="E603" t="str">
        <f>VLOOKUP(TRIM(D603), Catalogo_gestiones!$A:$B, 2, FALSE)</f>
        <v>N</v>
      </c>
    </row>
    <row r="604" spans="1:5" x14ac:dyDescent="0.25">
      <c r="A604">
        <v>8375157</v>
      </c>
      <c r="B604">
        <v>10604639</v>
      </c>
      <c r="C604" s="1">
        <v>42528</v>
      </c>
      <c r="D604" t="s">
        <v>26</v>
      </c>
      <c r="E604" t="str">
        <f>VLOOKUP(TRIM(D604), Catalogo_gestiones!$A:$B, 2, FALSE)</f>
        <v>N</v>
      </c>
    </row>
    <row r="605" spans="1:5" x14ac:dyDescent="0.25">
      <c r="A605">
        <v>8375295</v>
      </c>
      <c r="B605">
        <v>23137609</v>
      </c>
      <c r="C605" s="1">
        <v>42528</v>
      </c>
      <c r="D605" t="s">
        <v>25</v>
      </c>
      <c r="E605" t="str">
        <f>VLOOKUP(TRIM(D605), Catalogo_gestiones!$A:$B, 2, FALSE)</f>
        <v>N</v>
      </c>
    </row>
    <row r="606" spans="1:5" x14ac:dyDescent="0.25">
      <c r="A606">
        <v>8375295</v>
      </c>
      <c r="B606">
        <v>23161693</v>
      </c>
      <c r="C606" s="1">
        <v>42528</v>
      </c>
      <c r="D606" t="s">
        <v>28</v>
      </c>
      <c r="E606" t="str">
        <f>VLOOKUP(TRIM(D606), Catalogo_gestiones!$A:$B, 2, FALSE)</f>
        <v>N</v>
      </c>
    </row>
    <row r="607" spans="1:5" x14ac:dyDescent="0.25">
      <c r="A607">
        <v>8375343</v>
      </c>
      <c r="B607">
        <v>22513953</v>
      </c>
      <c r="C607" s="1">
        <v>42528</v>
      </c>
      <c r="D607" t="s">
        <v>26</v>
      </c>
      <c r="E607" t="str">
        <f>VLOOKUP(TRIM(D607), Catalogo_gestiones!$A:$B, 2, FALSE)</f>
        <v>N</v>
      </c>
    </row>
    <row r="608" spans="1:5" x14ac:dyDescent="0.25">
      <c r="A608">
        <v>8375436</v>
      </c>
      <c r="B608">
        <v>25340832</v>
      </c>
      <c r="C608" s="1">
        <v>42522</v>
      </c>
      <c r="D608" t="s">
        <v>34</v>
      </c>
      <c r="E608" t="str">
        <f>VLOOKUP(TRIM(D608), Catalogo_gestiones!$A:$B, 2, FALSE)</f>
        <v>N</v>
      </c>
    </row>
    <row r="609" spans="1:5" x14ac:dyDescent="0.25">
      <c r="A609">
        <v>8375436</v>
      </c>
      <c r="B609">
        <v>28584174</v>
      </c>
      <c r="C609" s="1">
        <v>42523</v>
      </c>
      <c r="D609" t="s">
        <v>26</v>
      </c>
      <c r="E609" t="str">
        <f>VLOOKUP(TRIM(D609), Catalogo_gestiones!$A:$B, 2, FALSE)</f>
        <v>N</v>
      </c>
    </row>
    <row r="610" spans="1:5" x14ac:dyDescent="0.25">
      <c r="A610">
        <v>8375486</v>
      </c>
      <c r="B610">
        <v>15746667</v>
      </c>
      <c r="C610" s="1">
        <v>42528</v>
      </c>
      <c r="D610" t="s">
        <v>25</v>
      </c>
      <c r="E610" t="str">
        <f>VLOOKUP(TRIM(D610), Catalogo_gestiones!$A:$B, 2, FALSE)</f>
        <v>N</v>
      </c>
    </row>
    <row r="611" spans="1:5" x14ac:dyDescent="0.25">
      <c r="A611">
        <v>8375778</v>
      </c>
      <c r="B611">
        <v>16122004</v>
      </c>
      <c r="C611" s="1">
        <v>42528</v>
      </c>
      <c r="D611" t="s">
        <v>28</v>
      </c>
      <c r="E611" t="str">
        <f>VLOOKUP(TRIM(D611), Catalogo_gestiones!$A:$B, 2, FALSE)</f>
        <v>N</v>
      </c>
    </row>
    <row r="612" spans="1:5" x14ac:dyDescent="0.25">
      <c r="A612">
        <v>8375887</v>
      </c>
      <c r="B612">
        <v>21569268</v>
      </c>
      <c r="C612" s="1">
        <v>42528</v>
      </c>
      <c r="D612" t="s">
        <v>26</v>
      </c>
      <c r="E612" t="str">
        <f>VLOOKUP(TRIM(D612), Catalogo_gestiones!$A:$B, 2, FALSE)</f>
        <v>N</v>
      </c>
    </row>
    <row r="613" spans="1:5" x14ac:dyDescent="0.25">
      <c r="A613">
        <v>8375899</v>
      </c>
      <c r="B613">
        <v>25529213</v>
      </c>
      <c r="C613" s="1">
        <v>42528</v>
      </c>
      <c r="D613" t="s">
        <v>34</v>
      </c>
      <c r="E613" t="str">
        <f>VLOOKUP(TRIM(D613), Catalogo_gestiones!$A:$B, 2, FALSE)</f>
        <v>N</v>
      </c>
    </row>
    <row r="614" spans="1:5" x14ac:dyDescent="0.25">
      <c r="A614">
        <v>8376101</v>
      </c>
      <c r="B614">
        <v>26856140</v>
      </c>
      <c r="C614" s="1">
        <v>42528</v>
      </c>
      <c r="D614" t="s">
        <v>26</v>
      </c>
      <c r="E614" t="str">
        <f>VLOOKUP(TRIM(D614), Catalogo_gestiones!$A:$B, 2, FALSE)</f>
        <v>N</v>
      </c>
    </row>
    <row r="615" spans="1:5" x14ac:dyDescent="0.25">
      <c r="A615">
        <v>8376429</v>
      </c>
      <c r="B615">
        <v>2931482</v>
      </c>
      <c r="C615" s="1">
        <v>42528</v>
      </c>
      <c r="D615" t="s">
        <v>25</v>
      </c>
      <c r="E615" t="str">
        <f>VLOOKUP(TRIM(D615), Catalogo_gestiones!$A:$B, 2, FALSE)</f>
        <v>N</v>
      </c>
    </row>
    <row r="616" spans="1:5" x14ac:dyDescent="0.25">
      <c r="A616">
        <v>8376429</v>
      </c>
      <c r="B616">
        <v>11036696</v>
      </c>
      <c r="C616" s="1">
        <v>42528</v>
      </c>
      <c r="D616" t="s">
        <v>28</v>
      </c>
      <c r="E616" t="str">
        <f>VLOOKUP(TRIM(D616), Catalogo_gestiones!$A:$B, 2, FALSE)</f>
        <v>N</v>
      </c>
    </row>
    <row r="617" spans="1:5" x14ac:dyDescent="0.25">
      <c r="A617">
        <v>8376469</v>
      </c>
      <c r="B617">
        <v>27404462</v>
      </c>
      <c r="C617" s="1">
        <v>42528</v>
      </c>
      <c r="D617" t="s">
        <v>26</v>
      </c>
      <c r="E617" t="str">
        <f>VLOOKUP(TRIM(D617), Catalogo_gestiones!$A:$B, 2, FALSE)</f>
        <v>N</v>
      </c>
    </row>
    <row r="618" spans="1:5" x14ac:dyDescent="0.25">
      <c r="A618">
        <v>8376705</v>
      </c>
      <c r="B618">
        <v>26836468</v>
      </c>
      <c r="C618" s="1">
        <v>42528</v>
      </c>
      <c r="D618" t="s">
        <v>34</v>
      </c>
      <c r="E618" t="str">
        <f>VLOOKUP(TRIM(D618), Catalogo_gestiones!$A:$B, 2, FALSE)</f>
        <v>N</v>
      </c>
    </row>
    <row r="619" spans="1:5" x14ac:dyDescent="0.25">
      <c r="A619">
        <v>8376794</v>
      </c>
      <c r="B619">
        <v>23391044</v>
      </c>
      <c r="C619" s="1">
        <v>42528</v>
      </c>
      <c r="D619" t="s">
        <v>26</v>
      </c>
      <c r="E619" t="str">
        <f>VLOOKUP(TRIM(D619), Catalogo_gestiones!$A:$B, 2, FALSE)</f>
        <v>N</v>
      </c>
    </row>
    <row r="620" spans="1:5" x14ac:dyDescent="0.25">
      <c r="A620">
        <v>8376794</v>
      </c>
      <c r="B620">
        <v>23391228</v>
      </c>
      <c r="C620" s="1">
        <v>42528</v>
      </c>
      <c r="D620" t="s">
        <v>25</v>
      </c>
      <c r="E620" t="str">
        <f>VLOOKUP(TRIM(D620), Catalogo_gestiones!$A:$B, 2, FALSE)</f>
        <v>N</v>
      </c>
    </row>
    <row r="621" spans="1:5" x14ac:dyDescent="0.25">
      <c r="A621">
        <v>8376794</v>
      </c>
      <c r="B621">
        <v>23812937</v>
      </c>
      <c r="C621" s="1">
        <v>42528</v>
      </c>
      <c r="D621" t="s">
        <v>28</v>
      </c>
      <c r="E621" t="str">
        <f>VLOOKUP(TRIM(D621), Catalogo_gestiones!$A:$B, 2, FALSE)</f>
        <v>N</v>
      </c>
    </row>
    <row r="622" spans="1:5" x14ac:dyDescent="0.25">
      <c r="A622">
        <v>8376891</v>
      </c>
      <c r="B622">
        <v>19336726</v>
      </c>
      <c r="C622" s="1">
        <v>42528</v>
      </c>
      <c r="D622" t="s">
        <v>26</v>
      </c>
      <c r="E622" t="str">
        <f>VLOOKUP(TRIM(D622), Catalogo_gestiones!$A:$B, 2, FALSE)</f>
        <v>N</v>
      </c>
    </row>
    <row r="623" spans="1:5" x14ac:dyDescent="0.25">
      <c r="A623">
        <v>8377130</v>
      </c>
      <c r="B623">
        <v>26512445</v>
      </c>
      <c r="C623" s="1">
        <v>42528</v>
      </c>
      <c r="D623" t="s">
        <v>34</v>
      </c>
      <c r="E623" t="str">
        <f>VLOOKUP(TRIM(D623), Catalogo_gestiones!$A:$B, 2, FALSE)</f>
        <v>N</v>
      </c>
    </row>
    <row r="624" spans="1:5" x14ac:dyDescent="0.25">
      <c r="A624">
        <v>8377227</v>
      </c>
      <c r="B624">
        <v>24816925</v>
      </c>
      <c r="C624" s="1">
        <v>42528</v>
      </c>
      <c r="D624" t="s">
        <v>26</v>
      </c>
      <c r="E624" t="str">
        <f>VLOOKUP(TRIM(D624), Catalogo_gestiones!$A:$B, 2, FALSE)</f>
        <v>N</v>
      </c>
    </row>
    <row r="625" spans="1:5" x14ac:dyDescent="0.25">
      <c r="A625">
        <v>8377292</v>
      </c>
      <c r="B625">
        <v>26246020</v>
      </c>
      <c r="C625" s="1">
        <v>42524</v>
      </c>
      <c r="D625" t="s">
        <v>25</v>
      </c>
      <c r="E625" t="str">
        <f>VLOOKUP(TRIM(D625), Catalogo_gestiones!$A:$B, 2, FALSE)</f>
        <v>N</v>
      </c>
    </row>
    <row r="626" spans="1:5" x14ac:dyDescent="0.25">
      <c r="A626">
        <v>8377553</v>
      </c>
      <c r="B626">
        <v>25413634</v>
      </c>
      <c r="C626" s="1">
        <v>42528</v>
      </c>
      <c r="D626" t="s">
        <v>28</v>
      </c>
      <c r="E626" t="str">
        <f>VLOOKUP(TRIM(D626), Catalogo_gestiones!$A:$B, 2, FALSE)</f>
        <v>N</v>
      </c>
    </row>
    <row r="627" spans="1:5" x14ac:dyDescent="0.25">
      <c r="A627">
        <v>8377553</v>
      </c>
      <c r="B627">
        <v>26862382</v>
      </c>
      <c r="C627" s="1">
        <v>42528</v>
      </c>
      <c r="D627" t="s">
        <v>26</v>
      </c>
      <c r="E627" t="str">
        <f>VLOOKUP(TRIM(D627), Catalogo_gestiones!$A:$B, 2, FALSE)</f>
        <v>N</v>
      </c>
    </row>
    <row r="628" spans="1:5" x14ac:dyDescent="0.25">
      <c r="A628">
        <v>8377729</v>
      </c>
      <c r="B628">
        <v>21626178</v>
      </c>
      <c r="C628" s="1">
        <v>42528</v>
      </c>
      <c r="D628" t="s">
        <v>34</v>
      </c>
      <c r="E628" t="str">
        <f>VLOOKUP(TRIM(D628), Catalogo_gestiones!$A:$B, 2, FALSE)</f>
        <v>N</v>
      </c>
    </row>
    <row r="629" spans="1:5" x14ac:dyDescent="0.25">
      <c r="A629">
        <v>8377815</v>
      </c>
      <c r="B629">
        <v>23968455</v>
      </c>
      <c r="C629" s="1">
        <v>42528</v>
      </c>
      <c r="D629" t="s">
        <v>26</v>
      </c>
      <c r="E629" t="str">
        <f>VLOOKUP(TRIM(D629), Catalogo_gestiones!$A:$B, 2, FALSE)</f>
        <v>N</v>
      </c>
    </row>
    <row r="630" spans="1:5" x14ac:dyDescent="0.25">
      <c r="A630">
        <v>8377851</v>
      </c>
      <c r="B630">
        <v>23919595</v>
      </c>
      <c r="C630" s="1">
        <v>42528</v>
      </c>
      <c r="D630" t="s">
        <v>25</v>
      </c>
      <c r="E630" t="str">
        <f>VLOOKUP(TRIM(D630), Catalogo_gestiones!$A:$B, 2, FALSE)</f>
        <v>N</v>
      </c>
    </row>
    <row r="631" spans="1:5" x14ac:dyDescent="0.25">
      <c r="A631">
        <v>8377968</v>
      </c>
      <c r="B631">
        <v>27872972</v>
      </c>
      <c r="C631" s="1">
        <v>42528</v>
      </c>
      <c r="D631" t="s">
        <v>28</v>
      </c>
      <c r="E631" t="str">
        <f>VLOOKUP(TRIM(D631), Catalogo_gestiones!$A:$B, 2, FALSE)</f>
        <v>N</v>
      </c>
    </row>
    <row r="632" spans="1:5" x14ac:dyDescent="0.25">
      <c r="A632">
        <v>8378091</v>
      </c>
      <c r="B632">
        <v>26261467</v>
      </c>
      <c r="C632" s="1">
        <v>42528</v>
      </c>
      <c r="D632" t="s">
        <v>26</v>
      </c>
      <c r="E632" t="str">
        <f>VLOOKUP(TRIM(D632), Catalogo_gestiones!$A:$B, 2, FALSE)</f>
        <v>N</v>
      </c>
    </row>
    <row r="633" spans="1:5" x14ac:dyDescent="0.25">
      <c r="A633">
        <v>8378283</v>
      </c>
      <c r="B633">
        <v>25804857</v>
      </c>
      <c r="C633" s="1">
        <v>42528</v>
      </c>
      <c r="D633" t="s">
        <v>34</v>
      </c>
      <c r="E633" t="str">
        <f>VLOOKUP(TRIM(D633), Catalogo_gestiones!$A:$B, 2, FALSE)</f>
        <v>N</v>
      </c>
    </row>
    <row r="634" spans="1:5" x14ac:dyDescent="0.25">
      <c r="A634">
        <v>8378400</v>
      </c>
      <c r="B634">
        <v>26843926</v>
      </c>
      <c r="C634" s="1">
        <v>42528</v>
      </c>
      <c r="D634" t="s">
        <v>26</v>
      </c>
      <c r="E634" t="str">
        <f>VLOOKUP(TRIM(D634), Catalogo_gestiones!$A:$B, 2, FALSE)</f>
        <v>N</v>
      </c>
    </row>
    <row r="635" spans="1:5" x14ac:dyDescent="0.25">
      <c r="A635">
        <v>8378400</v>
      </c>
      <c r="B635">
        <v>26843927</v>
      </c>
      <c r="C635" s="1">
        <v>42528</v>
      </c>
      <c r="D635" t="s">
        <v>25</v>
      </c>
      <c r="E635" t="str">
        <f>VLOOKUP(TRIM(D635), Catalogo_gestiones!$A:$B, 2, FALSE)</f>
        <v>N</v>
      </c>
    </row>
    <row r="636" spans="1:5" x14ac:dyDescent="0.25">
      <c r="A636">
        <v>8378538</v>
      </c>
      <c r="B636">
        <v>26023462</v>
      </c>
      <c r="C636" s="1">
        <v>42528</v>
      </c>
      <c r="D636" t="s">
        <v>28</v>
      </c>
      <c r="E636" t="str">
        <f>VLOOKUP(TRIM(D636), Catalogo_gestiones!$A:$B, 2, FALSE)</f>
        <v>N</v>
      </c>
    </row>
    <row r="637" spans="1:5" x14ac:dyDescent="0.25">
      <c r="A637">
        <v>8378787</v>
      </c>
      <c r="B637">
        <v>25360109</v>
      </c>
      <c r="C637" s="1">
        <v>42528</v>
      </c>
      <c r="D637" t="s">
        <v>26</v>
      </c>
      <c r="E637" t="str">
        <f>VLOOKUP(TRIM(D637), Catalogo_gestiones!$A:$B, 2, FALSE)</f>
        <v>N</v>
      </c>
    </row>
    <row r="638" spans="1:5" x14ac:dyDescent="0.25">
      <c r="A638">
        <v>8378787</v>
      </c>
      <c r="B638">
        <v>28167829</v>
      </c>
      <c r="C638" s="1">
        <v>42528</v>
      </c>
      <c r="D638" t="s">
        <v>34</v>
      </c>
      <c r="E638" t="str">
        <f>VLOOKUP(TRIM(D638), Catalogo_gestiones!$A:$B, 2, FALSE)</f>
        <v>N</v>
      </c>
    </row>
    <row r="639" spans="1:5" x14ac:dyDescent="0.25">
      <c r="A639">
        <v>8378871</v>
      </c>
      <c r="B639">
        <v>21194808</v>
      </c>
      <c r="C639" s="1">
        <v>42528</v>
      </c>
      <c r="D639" t="s">
        <v>26</v>
      </c>
      <c r="E639" t="str">
        <f>VLOOKUP(TRIM(D639), Catalogo_gestiones!$A:$B, 2, FALSE)</f>
        <v>N</v>
      </c>
    </row>
    <row r="640" spans="1:5" x14ac:dyDescent="0.25">
      <c r="A640">
        <v>8379217</v>
      </c>
      <c r="B640">
        <v>25899951</v>
      </c>
      <c r="C640" s="1">
        <v>42528</v>
      </c>
      <c r="D640" t="s">
        <v>25</v>
      </c>
      <c r="E640" t="str">
        <f>VLOOKUP(TRIM(D640), Catalogo_gestiones!$A:$B, 2, FALSE)</f>
        <v>N</v>
      </c>
    </row>
    <row r="641" spans="1:5" x14ac:dyDescent="0.25">
      <c r="A641">
        <v>8379217</v>
      </c>
      <c r="B641">
        <v>25904477</v>
      </c>
      <c r="C641" s="1">
        <v>42528</v>
      </c>
      <c r="D641" t="s">
        <v>28</v>
      </c>
      <c r="E641" t="str">
        <f>VLOOKUP(TRIM(D641), Catalogo_gestiones!$A:$B, 2, FALSE)</f>
        <v>N</v>
      </c>
    </row>
    <row r="642" spans="1:5" x14ac:dyDescent="0.25">
      <c r="A642">
        <v>8379238</v>
      </c>
      <c r="B642">
        <v>27262178</v>
      </c>
      <c r="C642" s="1">
        <v>42528</v>
      </c>
      <c r="D642" t="s">
        <v>26</v>
      </c>
      <c r="E642" t="str">
        <f>VLOOKUP(TRIM(D642), Catalogo_gestiones!$A:$B, 2, FALSE)</f>
        <v>N</v>
      </c>
    </row>
    <row r="643" spans="1:5" x14ac:dyDescent="0.25">
      <c r="A643">
        <v>8379989</v>
      </c>
      <c r="B643">
        <v>25836165</v>
      </c>
      <c r="C643" s="1">
        <v>42528</v>
      </c>
      <c r="D643" t="s">
        <v>34</v>
      </c>
      <c r="E643" t="str">
        <f>VLOOKUP(TRIM(D643), Catalogo_gestiones!$A:$B, 2, FALSE)</f>
        <v>N</v>
      </c>
    </row>
    <row r="644" spans="1:5" x14ac:dyDescent="0.25">
      <c r="A644">
        <v>8379989</v>
      </c>
      <c r="B644">
        <v>25855320</v>
      </c>
      <c r="C644" s="1">
        <v>42528</v>
      </c>
      <c r="D644" t="s">
        <v>26</v>
      </c>
      <c r="E644" t="str">
        <f>VLOOKUP(TRIM(D644), Catalogo_gestiones!$A:$B, 2, FALSE)</f>
        <v>N</v>
      </c>
    </row>
    <row r="645" spans="1:5" x14ac:dyDescent="0.25">
      <c r="A645">
        <v>8380002</v>
      </c>
      <c r="B645">
        <v>26293617</v>
      </c>
      <c r="C645" s="1">
        <v>42528</v>
      </c>
      <c r="D645" t="s">
        <v>25</v>
      </c>
      <c r="E645" t="str">
        <f>VLOOKUP(TRIM(D645), Catalogo_gestiones!$A:$B, 2, FALSE)</f>
        <v>N</v>
      </c>
    </row>
    <row r="646" spans="1:5" x14ac:dyDescent="0.25">
      <c r="A646">
        <v>8380063</v>
      </c>
      <c r="B646">
        <v>20479677</v>
      </c>
      <c r="C646" s="1">
        <v>42528</v>
      </c>
      <c r="D646" t="s">
        <v>28</v>
      </c>
      <c r="E646" t="str">
        <f>VLOOKUP(TRIM(D646), Catalogo_gestiones!$A:$B, 2, FALSE)</f>
        <v>N</v>
      </c>
    </row>
    <row r="647" spans="1:5" x14ac:dyDescent="0.25">
      <c r="A647">
        <v>8380316</v>
      </c>
      <c r="B647">
        <v>26082987</v>
      </c>
      <c r="C647" s="1">
        <v>42528</v>
      </c>
      <c r="D647" t="s">
        <v>26</v>
      </c>
      <c r="E647" t="str">
        <f>VLOOKUP(TRIM(D647), Catalogo_gestiones!$A:$B, 2, FALSE)</f>
        <v>N</v>
      </c>
    </row>
    <row r="648" spans="1:5" x14ac:dyDescent="0.25">
      <c r="A648">
        <v>8380316</v>
      </c>
      <c r="B648">
        <v>27691424</v>
      </c>
      <c r="C648" s="1">
        <v>42528</v>
      </c>
      <c r="D648" t="s">
        <v>34</v>
      </c>
      <c r="E648" t="str">
        <f>VLOOKUP(TRIM(D648), Catalogo_gestiones!$A:$B, 2, FALSE)</f>
        <v>N</v>
      </c>
    </row>
    <row r="649" spans="1:5" x14ac:dyDescent="0.25">
      <c r="A649">
        <v>8380574</v>
      </c>
      <c r="B649">
        <v>25284380</v>
      </c>
      <c r="C649" s="1">
        <v>42528</v>
      </c>
      <c r="D649" t="s">
        <v>26</v>
      </c>
      <c r="E649" t="str">
        <f>VLOOKUP(TRIM(D649), Catalogo_gestiones!$A:$B, 2, FALSE)</f>
        <v>N</v>
      </c>
    </row>
    <row r="650" spans="1:5" x14ac:dyDescent="0.25">
      <c r="A650">
        <v>8380574</v>
      </c>
      <c r="B650">
        <v>26028156</v>
      </c>
      <c r="C650" s="1">
        <v>42528</v>
      </c>
      <c r="D650" t="s">
        <v>25</v>
      </c>
      <c r="E650" t="str">
        <f>VLOOKUP(TRIM(D650), Catalogo_gestiones!$A:$B, 2, FALSE)</f>
        <v>N</v>
      </c>
    </row>
    <row r="651" spans="1:5" x14ac:dyDescent="0.25">
      <c r="A651">
        <v>8380574</v>
      </c>
      <c r="B651">
        <v>26216119</v>
      </c>
      <c r="C651" s="1">
        <v>42528</v>
      </c>
      <c r="D651" t="s">
        <v>28</v>
      </c>
      <c r="E651" t="str">
        <f>VLOOKUP(TRIM(D651), Catalogo_gestiones!$A:$B, 2, FALSE)</f>
        <v>N</v>
      </c>
    </row>
    <row r="652" spans="1:5" x14ac:dyDescent="0.25">
      <c r="A652">
        <v>8380574</v>
      </c>
      <c r="B652">
        <v>26787345</v>
      </c>
      <c r="C652" s="1">
        <v>42528</v>
      </c>
      <c r="D652" t="s">
        <v>26</v>
      </c>
      <c r="E652" t="str">
        <f>VLOOKUP(TRIM(D652), Catalogo_gestiones!$A:$B, 2, FALSE)</f>
        <v>N</v>
      </c>
    </row>
    <row r="653" spans="1:5" x14ac:dyDescent="0.25">
      <c r="A653">
        <v>8380574</v>
      </c>
      <c r="B653">
        <v>26880957</v>
      </c>
      <c r="C653" s="1">
        <v>42528</v>
      </c>
      <c r="D653" t="s">
        <v>34</v>
      </c>
      <c r="E653" t="str">
        <f>VLOOKUP(TRIM(D653), Catalogo_gestiones!$A:$B, 2, FALSE)</f>
        <v>N</v>
      </c>
    </row>
    <row r="654" spans="1:5" x14ac:dyDescent="0.25">
      <c r="A654">
        <v>8380657</v>
      </c>
      <c r="B654">
        <v>20821058</v>
      </c>
      <c r="C654" s="1">
        <v>42528</v>
      </c>
      <c r="D654" t="s">
        <v>26</v>
      </c>
      <c r="E654" t="str">
        <f>VLOOKUP(TRIM(D654), Catalogo_gestiones!$A:$B, 2, FALSE)</f>
        <v>N</v>
      </c>
    </row>
    <row r="655" spans="1:5" x14ac:dyDescent="0.25">
      <c r="A655">
        <v>8380807</v>
      </c>
      <c r="B655">
        <v>2687964</v>
      </c>
      <c r="C655" s="1">
        <v>42528</v>
      </c>
      <c r="D655" t="s">
        <v>25</v>
      </c>
      <c r="E655" t="str">
        <f>VLOOKUP(TRIM(D655), Catalogo_gestiones!$A:$B, 2, FALSE)</f>
        <v>N</v>
      </c>
    </row>
    <row r="656" spans="1:5" x14ac:dyDescent="0.25">
      <c r="A656">
        <v>8380807</v>
      </c>
      <c r="B656">
        <v>26376544</v>
      </c>
      <c r="C656" s="1">
        <v>42528</v>
      </c>
      <c r="D656" t="s">
        <v>28</v>
      </c>
      <c r="E656" t="str">
        <f>VLOOKUP(TRIM(D656), Catalogo_gestiones!$A:$B, 2, FALSE)</f>
        <v>N</v>
      </c>
    </row>
    <row r="657" spans="1:5" x14ac:dyDescent="0.25">
      <c r="A657">
        <v>8381332</v>
      </c>
      <c r="B657">
        <v>20591909</v>
      </c>
      <c r="C657" s="1">
        <v>42528</v>
      </c>
      <c r="D657" t="s">
        <v>26</v>
      </c>
      <c r="E657" t="str">
        <f>VLOOKUP(TRIM(D657), Catalogo_gestiones!$A:$B, 2, FALSE)</f>
        <v>N</v>
      </c>
    </row>
    <row r="658" spans="1:5" x14ac:dyDescent="0.25">
      <c r="A658">
        <v>8381336</v>
      </c>
      <c r="B658">
        <v>25292675</v>
      </c>
      <c r="C658" s="1">
        <v>42528</v>
      </c>
      <c r="D658" t="s">
        <v>34</v>
      </c>
      <c r="E658" t="str">
        <f>VLOOKUP(TRIM(D658), Catalogo_gestiones!$A:$B, 2, FALSE)</f>
        <v>N</v>
      </c>
    </row>
    <row r="659" spans="1:5" x14ac:dyDescent="0.25">
      <c r="A659">
        <v>8381346</v>
      </c>
      <c r="B659">
        <v>26705594</v>
      </c>
      <c r="C659" s="1">
        <v>42528</v>
      </c>
      <c r="D659" t="s">
        <v>26</v>
      </c>
      <c r="E659" t="str">
        <f>VLOOKUP(TRIM(D659), Catalogo_gestiones!$A:$B, 2, FALSE)</f>
        <v>N</v>
      </c>
    </row>
    <row r="660" spans="1:5" x14ac:dyDescent="0.25">
      <c r="A660">
        <v>8381346</v>
      </c>
      <c r="B660">
        <v>26706135</v>
      </c>
      <c r="C660" s="1">
        <v>42528</v>
      </c>
      <c r="D660" t="s">
        <v>25</v>
      </c>
      <c r="E660" t="str">
        <f>VLOOKUP(TRIM(D660), Catalogo_gestiones!$A:$B, 2, FALSE)</f>
        <v>N</v>
      </c>
    </row>
    <row r="661" spans="1:5" x14ac:dyDescent="0.25">
      <c r="A661">
        <v>8381369</v>
      </c>
      <c r="B661">
        <v>18458736</v>
      </c>
      <c r="C661" s="1">
        <v>42529</v>
      </c>
      <c r="D661" t="s">
        <v>28</v>
      </c>
      <c r="E661" t="str">
        <f>VLOOKUP(TRIM(D661), Catalogo_gestiones!$A:$B, 2, FALSE)</f>
        <v>N</v>
      </c>
    </row>
    <row r="662" spans="1:5" x14ac:dyDescent="0.25">
      <c r="A662">
        <v>8381369</v>
      </c>
      <c r="B662">
        <v>18847819</v>
      </c>
      <c r="C662" s="1">
        <v>42529</v>
      </c>
      <c r="D662" t="s">
        <v>26</v>
      </c>
      <c r="E662" t="str">
        <f>VLOOKUP(TRIM(D662), Catalogo_gestiones!$A:$B, 2, FALSE)</f>
        <v>N</v>
      </c>
    </row>
    <row r="663" spans="1:5" x14ac:dyDescent="0.25">
      <c r="A663">
        <v>8381369</v>
      </c>
      <c r="B663">
        <v>25138580</v>
      </c>
      <c r="C663" s="1">
        <v>42529</v>
      </c>
      <c r="D663" t="s">
        <v>34</v>
      </c>
      <c r="E663" t="str">
        <f>VLOOKUP(TRIM(D663), Catalogo_gestiones!$A:$B, 2, FALSE)</f>
        <v>N</v>
      </c>
    </row>
    <row r="664" spans="1:5" x14ac:dyDescent="0.25">
      <c r="A664">
        <v>8381369</v>
      </c>
      <c r="B664">
        <v>25452876</v>
      </c>
      <c r="C664" s="1">
        <v>42529</v>
      </c>
      <c r="D664" t="s">
        <v>26</v>
      </c>
      <c r="E664" t="str">
        <f>VLOOKUP(TRIM(D664), Catalogo_gestiones!$A:$B, 2, FALSE)</f>
        <v>N</v>
      </c>
    </row>
    <row r="665" spans="1:5" x14ac:dyDescent="0.25">
      <c r="A665">
        <v>8381369</v>
      </c>
      <c r="B665">
        <v>25783645</v>
      </c>
      <c r="C665" s="1">
        <v>42529</v>
      </c>
      <c r="D665" t="s">
        <v>25</v>
      </c>
      <c r="E665" t="str">
        <f>VLOOKUP(TRIM(D665), Catalogo_gestiones!$A:$B, 2, FALSE)</f>
        <v>N</v>
      </c>
    </row>
    <row r="666" spans="1:5" x14ac:dyDescent="0.25">
      <c r="A666">
        <v>8381369</v>
      </c>
      <c r="B666">
        <v>26266777</v>
      </c>
      <c r="C666" s="1">
        <v>42529</v>
      </c>
      <c r="D666" t="s">
        <v>28</v>
      </c>
      <c r="E666" t="str">
        <f>VLOOKUP(TRIM(D666), Catalogo_gestiones!$A:$B, 2, FALSE)</f>
        <v>N</v>
      </c>
    </row>
    <row r="667" spans="1:5" x14ac:dyDescent="0.25">
      <c r="A667">
        <v>8381475</v>
      </c>
      <c r="B667">
        <v>14190251</v>
      </c>
      <c r="C667" s="1">
        <v>42524</v>
      </c>
      <c r="D667" t="s">
        <v>26</v>
      </c>
      <c r="E667" t="str">
        <f>VLOOKUP(TRIM(D667), Catalogo_gestiones!$A:$B, 2, FALSE)</f>
        <v>N</v>
      </c>
    </row>
    <row r="668" spans="1:5" x14ac:dyDescent="0.25">
      <c r="A668">
        <v>8381475</v>
      </c>
      <c r="B668">
        <v>16298674</v>
      </c>
      <c r="C668" s="1">
        <v>42528</v>
      </c>
      <c r="D668" t="s">
        <v>34</v>
      </c>
      <c r="E668" t="str">
        <f>VLOOKUP(TRIM(D668), Catalogo_gestiones!$A:$B, 2, FALSE)</f>
        <v>N</v>
      </c>
    </row>
    <row r="669" spans="1:5" x14ac:dyDescent="0.25">
      <c r="A669">
        <v>8381475</v>
      </c>
      <c r="B669">
        <v>16300086</v>
      </c>
      <c r="C669" s="1">
        <v>42528</v>
      </c>
      <c r="D669" t="s">
        <v>26</v>
      </c>
      <c r="E669" t="str">
        <f>VLOOKUP(TRIM(D669), Catalogo_gestiones!$A:$B, 2, FALSE)</f>
        <v>N</v>
      </c>
    </row>
    <row r="670" spans="1:5" x14ac:dyDescent="0.25">
      <c r="A670">
        <v>8381475</v>
      </c>
      <c r="B670">
        <v>28582935</v>
      </c>
      <c r="C670" s="1">
        <v>42523</v>
      </c>
      <c r="D670" t="s">
        <v>25</v>
      </c>
      <c r="E670" t="str">
        <f>VLOOKUP(TRIM(D670), Catalogo_gestiones!$A:$B, 2, FALSE)</f>
        <v>N</v>
      </c>
    </row>
    <row r="671" spans="1:5" x14ac:dyDescent="0.25">
      <c r="A671">
        <v>8381515</v>
      </c>
      <c r="B671">
        <v>14729284</v>
      </c>
      <c r="C671" s="1">
        <v>42528</v>
      </c>
      <c r="D671" t="s">
        <v>28</v>
      </c>
      <c r="E671" t="str">
        <f>VLOOKUP(TRIM(D671), Catalogo_gestiones!$A:$B, 2, FALSE)</f>
        <v>N</v>
      </c>
    </row>
    <row r="672" spans="1:5" x14ac:dyDescent="0.25">
      <c r="A672">
        <v>8381515</v>
      </c>
      <c r="B672">
        <v>14731171</v>
      </c>
      <c r="C672" s="1">
        <v>42528</v>
      </c>
      <c r="D672" t="s">
        <v>26</v>
      </c>
      <c r="E672" t="str">
        <f>VLOOKUP(TRIM(D672), Catalogo_gestiones!$A:$B, 2, FALSE)</f>
        <v>N</v>
      </c>
    </row>
    <row r="673" spans="1:5" x14ac:dyDescent="0.25">
      <c r="A673">
        <v>8381524</v>
      </c>
      <c r="B673">
        <v>19335684</v>
      </c>
      <c r="C673" s="1">
        <v>42528</v>
      </c>
      <c r="D673" t="s">
        <v>34</v>
      </c>
      <c r="E673" t="str">
        <f>VLOOKUP(TRIM(D673), Catalogo_gestiones!$A:$B, 2, FALSE)</f>
        <v>N</v>
      </c>
    </row>
    <row r="674" spans="1:5" x14ac:dyDescent="0.25">
      <c r="A674">
        <v>8381568</v>
      </c>
      <c r="B674">
        <v>16242367</v>
      </c>
      <c r="C674" s="1">
        <v>42528</v>
      </c>
      <c r="D674" t="s">
        <v>26</v>
      </c>
      <c r="E674" t="str">
        <f>VLOOKUP(TRIM(D674), Catalogo_gestiones!$A:$B, 2, FALSE)</f>
        <v>N</v>
      </c>
    </row>
    <row r="675" spans="1:5" x14ac:dyDescent="0.25">
      <c r="A675">
        <v>8381568</v>
      </c>
      <c r="B675">
        <v>23075902</v>
      </c>
      <c r="C675" s="1">
        <v>42528</v>
      </c>
      <c r="D675" t="s">
        <v>25</v>
      </c>
      <c r="E675" t="str">
        <f>VLOOKUP(TRIM(D675), Catalogo_gestiones!$A:$B, 2, FALSE)</f>
        <v>N</v>
      </c>
    </row>
    <row r="676" spans="1:5" x14ac:dyDescent="0.25">
      <c r="A676">
        <v>8381568</v>
      </c>
      <c r="B676">
        <v>24024759</v>
      </c>
      <c r="C676" s="1">
        <v>42528</v>
      </c>
      <c r="D676" t="s">
        <v>28</v>
      </c>
      <c r="E676" t="str">
        <f>VLOOKUP(TRIM(D676), Catalogo_gestiones!$A:$B, 2, FALSE)</f>
        <v>N</v>
      </c>
    </row>
    <row r="677" spans="1:5" x14ac:dyDescent="0.25">
      <c r="A677">
        <v>8381582</v>
      </c>
      <c r="B677">
        <v>1600919</v>
      </c>
      <c r="C677" s="1">
        <v>42528</v>
      </c>
      <c r="D677" t="s">
        <v>26</v>
      </c>
      <c r="E677" t="str">
        <f>VLOOKUP(TRIM(D677), Catalogo_gestiones!$A:$B, 2, FALSE)</f>
        <v>N</v>
      </c>
    </row>
    <row r="678" spans="1:5" x14ac:dyDescent="0.25">
      <c r="A678">
        <v>8382938</v>
      </c>
      <c r="B678">
        <v>25819135</v>
      </c>
      <c r="C678" s="1">
        <v>42528</v>
      </c>
      <c r="D678" t="s">
        <v>34</v>
      </c>
      <c r="E678" t="str">
        <f>VLOOKUP(TRIM(D678), Catalogo_gestiones!$A:$B, 2, FALSE)</f>
        <v>N</v>
      </c>
    </row>
    <row r="679" spans="1:5" x14ac:dyDescent="0.25">
      <c r="A679">
        <v>8383104</v>
      </c>
      <c r="B679">
        <v>26888580</v>
      </c>
      <c r="C679" s="1">
        <v>42522</v>
      </c>
      <c r="D679" t="s">
        <v>26</v>
      </c>
      <c r="E679" t="str">
        <f>VLOOKUP(TRIM(D679), Catalogo_gestiones!$A:$B, 2, FALSE)</f>
        <v>N</v>
      </c>
    </row>
    <row r="680" spans="1:5" x14ac:dyDescent="0.25">
      <c r="A680">
        <v>8383131</v>
      </c>
      <c r="B680">
        <v>28586777</v>
      </c>
      <c r="C680" s="1">
        <v>42524</v>
      </c>
      <c r="D680" t="s">
        <v>25</v>
      </c>
      <c r="E680" t="str">
        <f>VLOOKUP(TRIM(D680), Catalogo_gestiones!$A:$B, 2, FALSE)</f>
        <v>N</v>
      </c>
    </row>
    <row r="681" spans="1:5" x14ac:dyDescent="0.25">
      <c r="A681">
        <v>8383281</v>
      </c>
      <c r="B681">
        <v>27039709</v>
      </c>
      <c r="C681" s="1">
        <v>42528</v>
      </c>
      <c r="D681" t="s">
        <v>28</v>
      </c>
      <c r="E681" t="str">
        <f>VLOOKUP(TRIM(D681), Catalogo_gestiones!$A:$B, 2, FALSE)</f>
        <v>N</v>
      </c>
    </row>
    <row r="682" spans="1:5" x14ac:dyDescent="0.25">
      <c r="A682">
        <v>8383527</v>
      </c>
      <c r="B682">
        <v>25219269</v>
      </c>
      <c r="C682" s="1">
        <v>42528</v>
      </c>
      <c r="D682" t="s">
        <v>26</v>
      </c>
      <c r="E682" t="str">
        <f>VLOOKUP(TRIM(D682), Catalogo_gestiones!$A:$B, 2, FALSE)</f>
        <v>N</v>
      </c>
    </row>
    <row r="683" spans="1:5" x14ac:dyDescent="0.25">
      <c r="A683">
        <v>8383527</v>
      </c>
      <c r="B683">
        <v>25848524</v>
      </c>
      <c r="C683" s="1">
        <v>42528</v>
      </c>
      <c r="D683" t="s">
        <v>34</v>
      </c>
      <c r="E683" t="str">
        <f>VLOOKUP(TRIM(D683), Catalogo_gestiones!$A:$B, 2, FALSE)</f>
        <v>N</v>
      </c>
    </row>
    <row r="684" spans="1:5" x14ac:dyDescent="0.25">
      <c r="A684">
        <v>8383627</v>
      </c>
      <c r="B684">
        <v>23902937</v>
      </c>
      <c r="C684" s="1">
        <v>42528</v>
      </c>
      <c r="D684" t="s">
        <v>26</v>
      </c>
      <c r="E684" t="str">
        <f>VLOOKUP(TRIM(D684), Catalogo_gestiones!$A:$B, 2, FALSE)</f>
        <v>N</v>
      </c>
    </row>
    <row r="685" spans="1:5" x14ac:dyDescent="0.25">
      <c r="A685">
        <v>8383673</v>
      </c>
      <c r="B685">
        <v>28556606</v>
      </c>
      <c r="C685" s="1">
        <v>42524</v>
      </c>
      <c r="D685" t="s">
        <v>25</v>
      </c>
      <c r="E685" t="str">
        <f>VLOOKUP(TRIM(D685), Catalogo_gestiones!$A:$B, 2, FALSE)</f>
        <v>N</v>
      </c>
    </row>
    <row r="686" spans="1:5" x14ac:dyDescent="0.25">
      <c r="A686">
        <v>8383674</v>
      </c>
      <c r="B686">
        <v>12272527</v>
      </c>
      <c r="C686" s="1">
        <v>42528</v>
      </c>
      <c r="D686" t="s">
        <v>28</v>
      </c>
      <c r="E686" t="str">
        <f>VLOOKUP(TRIM(D686), Catalogo_gestiones!$A:$B, 2, FALSE)</f>
        <v>N</v>
      </c>
    </row>
    <row r="687" spans="1:5" x14ac:dyDescent="0.25">
      <c r="A687">
        <v>8383790</v>
      </c>
      <c r="B687">
        <v>20615340</v>
      </c>
      <c r="C687" s="1">
        <v>42528</v>
      </c>
      <c r="D687" t="s">
        <v>26</v>
      </c>
      <c r="E687" t="str">
        <f>VLOOKUP(TRIM(D687), Catalogo_gestiones!$A:$B, 2, FALSE)</f>
        <v>N</v>
      </c>
    </row>
    <row r="688" spans="1:5" x14ac:dyDescent="0.25">
      <c r="A688">
        <v>8383790</v>
      </c>
      <c r="B688">
        <v>23064001</v>
      </c>
      <c r="C688" s="1">
        <v>42528</v>
      </c>
      <c r="D688" t="s">
        <v>34</v>
      </c>
      <c r="E688" t="str">
        <f>VLOOKUP(TRIM(D688), Catalogo_gestiones!$A:$B, 2, FALSE)</f>
        <v>N</v>
      </c>
    </row>
    <row r="689" spans="1:5" x14ac:dyDescent="0.25">
      <c r="A689">
        <v>8386841</v>
      </c>
      <c r="B689">
        <v>27903220</v>
      </c>
      <c r="C689" s="1">
        <v>42528</v>
      </c>
      <c r="D689" t="s">
        <v>26</v>
      </c>
      <c r="E689" t="str">
        <f>VLOOKUP(TRIM(D689), Catalogo_gestiones!$A:$B, 2, FALSE)</f>
        <v>N</v>
      </c>
    </row>
    <row r="690" spans="1:5" x14ac:dyDescent="0.25">
      <c r="A690">
        <v>8386894</v>
      </c>
      <c r="B690">
        <v>28557300</v>
      </c>
      <c r="C690" s="1">
        <v>42524</v>
      </c>
      <c r="D690" t="s">
        <v>25</v>
      </c>
      <c r="E690" t="str">
        <f>VLOOKUP(TRIM(D690), Catalogo_gestiones!$A:$B, 2, FALSE)</f>
        <v>N</v>
      </c>
    </row>
    <row r="691" spans="1:5" x14ac:dyDescent="0.25">
      <c r="A691">
        <v>8430809</v>
      </c>
      <c r="B691">
        <v>28586844</v>
      </c>
      <c r="C691" s="1">
        <v>42524</v>
      </c>
      <c r="D691" t="s">
        <v>28</v>
      </c>
      <c r="E691" t="str">
        <f>VLOOKUP(TRIM(D691), Catalogo_gestiones!$A:$B, 2, FALSE)</f>
        <v>N</v>
      </c>
    </row>
    <row r="692" spans="1:5" x14ac:dyDescent="0.25">
      <c r="A692">
        <v>8430812</v>
      </c>
      <c r="B692">
        <v>28586366</v>
      </c>
      <c r="C692" s="1">
        <v>42524</v>
      </c>
      <c r="D692" t="s">
        <v>26</v>
      </c>
      <c r="E692" t="str">
        <f>VLOOKUP(TRIM(D692), Catalogo_gestiones!$A:$B, 2, FALSE)</f>
        <v>N</v>
      </c>
    </row>
    <row r="693" spans="1:5" x14ac:dyDescent="0.25">
      <c r="A693">
        <v>8440122</v>
      </c>
      <c r="B693">
        <v>22624325</v>
      </c>
      <c r="C693" s="1">
        <v>42528</v>
      </c>
      <c r="D693" t="s">
        <v>34</v>
      </c>
      <c r="E693" t="str">
        <f>VLOOKUP(TRIM(D693), Catalogo_gestiones!$A:$B, 2, FALSE)</f>
        <v>N</v>
      </c>
    </row>
    <row r="694" spans="1:5" x14ac:dyDescent="0.25">
      <c r="A694">
        <v>8443989</v>
      </c>
      <c r="B694">
        <v>28249575</v>
      </c>
      <c r="C694" s="1">
        <v>42528</v>
      </c>
      <c r="D694" t="s">
        <v>26</v>
      </c>
      <c r="E694" t="str">
        <f>VLOOKUP(TRIM(D694), Catalogo_gestiones!$A:$B, 2, FALSE)</f>
        <v>N</v>
      </c>
    </row>
    <row r="695" spans="1:5" x14ac:dyDescent="0.25">
      <c r="A695">
        <v>8444004</v>
      </c>
      <c r="B695">
        <v>2718004</v>
      </c>
      <c r="C695" s="1">
        <v>42524</v>
      </c>
      <c r="D695" t="s">
        <v>25</v>
      </c>
      <c r="E695" t="str">
        <f>VLOOKUP(TRIM(D695), Catalogo_gestiones!$A:$B, 2, FALSE)</f>
        <v>N</v>
      </c>
    </row>
    <row r="696" spans="1:5" x14ac:dyDescent="0.25">
      <c r="A696">
        <v>8457400</v>
      </c>
      <c r="B696">
        <v>21487456</v>
      </c>
      <c r="C696" s="1">
        <v>42528</v>
      </c>
      <c r="D696" t="s">
        <v>28</v>
      </c>
      <c r="E696" t="str">
        <f>VLOOKUP(TRIM(D696), Catalogo_gestiones!$A:$B, 2, FALSE)</f>
        <v>N</v>
      </c>
    </row>
    <row r="697" spans="1:5" x14ac:dyDescent="0.25">
      <c r="A697">
        <v>8457400</v>
      </c>
      <c r="B697">
        <v>26021997</v>
      </c>
      <c r="C697" s="1">
        <v>42528</v>
      </c>
      <c r="D697" t="s">
        <v>26</v>
      </c>
      <c r="E697" t="str">
        <f>VLOOKUP(TRIM(D697), Catalogo_gestiones!$A:$B, 2, FALSE)</f>
        <v>N</v>
      </c>
    </row>
    <row r="698" spans="1:5" x14ac:dyDescent="0.25">
      <c r="A698">
        <v>8457400</v>
      </c>
      <c r="B698">
        <v>26021998</v>
      </c>
      <c r="C698" s="1">
        <v>42528</v>
      </c>
      <c r="D698" t="s">
        <v>34</v>
      </c>
      <c r="E698" t="str">
        <f>VLOOKUP(TRIM(D698), Catalogo_gestiones!$A:$B, 2, FALSE)</f>
        <v>N</v>
      </c>
    </row>
    <row r="699" spans="1:5" x14ac:dyDescent="0.25">
      <c r="A699">
        <v>8457400</v>
      </c>
      <c r="B699">
        <v>26023265</v>
      </c>
      <c r="C699" s="1">
        <v>42528</v>
      </c>
      <c r="D699" t="s">
        <v>26</v>
      </c>
      <c r="E699" t="str">
        <f>VLOOKUP(TRIM(D699), Catalogo_gestiones!$A:$B, 2, FALSE)</f>
        <v>N</v>
      </c>
    </row>
    <row r="700" spans="1:5" x14ac:dyDescent="0.25">
      <c r="A700">
        <v>8465959</v>
      </c>
      <c r="B700">
        <v>14265420</v>
      </c>
      <c r="C700" s="1">
        <v>42528</v>
      </c>
      <c r="D700" t="s">
        <v>25</v>
      </c>
      <c r="E700" t="str">
        <f>VLOOKUP(TRIM(D700), Catalogo_gestiones!$A:$B, 2, FALSE)</f>
        <v>N</v>
      </c>
    </row>
    <row r="701" spans="1:5" x14ac:dyDescent="0.25">
      <c r="A701">
        <v>8465959</v>
      </c>
      <c r="B701">
        <v>21268933</v>
      </c>
      <c r="C701" s="1">
        <v>42528</v>
      </c>
      <c r="D701" t="s">
        <v>28</v>
      </c>
      <c r="E701" t="str">
        <f>VLOOKUP(TRIM(D701), Catalogo_gestiones!$A:$B, 2, FALSE)</f>
        <v>N</v>
      </c>
    </row>
    <row r="702" spans="1:5" x14ac:dyDescent="0.25">
      <c r="A702">
        <v>8465980</v>
      </c>
      <c r="B702">
        <v>23671050</v>
      </c>
      <c r="C702" s="1">
        <v>42528</v>
      </c>
      <c r="D702" t="s">
        <v>26</v>
      </c>
      <c r="E702" t="str">
        <f>VLOOKUP(TRIM(D702), Catalogo_gestiones!$A:$B, 2, FALSE)</f>
        <v>N</v>
      </c>
    </row>
    <row r="703" spans="1:5" x14ac:dyDescent="0.25">
      <c r="A703">
        <v>8466023</v>
      </c>
      <c r="B703">
        <v>23657184</v>
      </c>
      <c r="C703" s="1">
        <v>42528</v>
      </c>
      <c r="D703" t="s">
        <v>34</v>
      </c>
      <c r="E703" t="str">
        <f>VLOOKUP(TRIM(D703), Catalogo_gestiones!$A:$B, 2, FALSE)</f>
        <v>N</v>
      </c>
    </row>
    <row r="704" spans="1:5" x14ac:dyDescent="0.25">
      <c r="A704">
        <v>8466023</v>
      </c>
      <c r="B704">
        <v>23657673</v>
      </c>
      <c r="C704" s="1">
        <v>42528</v>
      </c>
      <c r="D704" t="s">
        <v>26</v>
      </c>
      <c r="E704" t="str">
        <f>VLOOKUP(TRIM(D704), Catalogo_gestiones!$A:$B, 2, FALSE)</f>
        <v>N</v>
      </c>
    </row>
    <row r="705" spans="1:5" x14ac:dyDescent="0.25">
      <c r="A705">
        <v>8466043</v>
      </c>
      <c r="B705">
        <v>20875844</v>
      </c>
      <c r="C705" s="1">
        <v>42528</v>
      </c>
      <c r="D705" t="s">
        <v>25</v>
      </c>
      <c r="E705" t="str">
        <f>VLOOKUP(TRIM(D705), Catalogo_gestiones!$A:$B, 2, FALSE)</f>
        <v>N</v>
      </c>
    </row>
    <row r="706" spans="1:5" x14ac:dyDescent="0.25">
      <c r="A706">
        <v>8466043</v>
      </c>
      <c r="B706">
        <v>22082240</v>
      </c>
      <c r="C706" s="1">
        <v>42528</v>
      </c>
      <c r="D706" t="s">
        <v>28</v>
      </c>
      <c r="E706" t="str">
        <f>VLOOKUP(TRIM(D706), Catalogo_gestiones!$A:$B, 2, FALSE)</f>
        <v>N</v>
      </c>
    </row>
    <row r="707" spans="1:5" x14ac:dyDescent="0.25">
      <c r="A707">
        <v>8466043</v>
      </c>
      <c r="B707">
        <v>23974043</v>
      </c>
      <c r="C707" s="1">
        <v>42528</v>
      </c>
      <c r="D707" t="s">
        <v>26</v>
      </c>
      <c r="E707" t="str">
        <f>VLOOKUP(TRIM(D707), Catalogo_gestiones!$A:$B, 2, FALSE)</f>
        <v>N</v>
      </c>
    </row>
    <row r="708" spans="1:5" x14ac:dyDescent="0.25">
      <c r="A708">
        <v>8466043</v>
      </c>
      <c r="B708">
        <v>24033068</v>
      </c>
      <c r="C708" s="1">
        <v>42528</v>
      </c>
      <c r="D708" t="s">
        <v>34</v>
      </c>
      <c r="E708" t="str">
        <f>VLOOKUP(TRIM(D708), Catalogo_gestiones!$A:$B, 2, FALSE)</f>
        <v>N</v>
      </c>
    </row>
    <row r="709" spans="1:5" x14ac:dyDescent="0.25">
      <c r="A709">
        <v>8466082</v>
      </c>
      <c r="B709">
        <v>21029378</v>
      </c>
      <c r="C709" s="1">
        <v>42522</v>
      </c>
      <c r="D709" t="s">
        <v>26</v>
      </c>
      <c r="E709" t="str">
        <f>VLOOKUP(TRIM(D709), Catalogo_gestiones!$A:$B, 2, FALSE)</f>
        <v>N</v>
      </c>
    </row>
    <row r="710" spans="1:5" x14ac:dyDescent="0.25">
      <c r="A710">
        <v>8470835</v>
      </c>
      <c r="B710">
        <v>27193657</v>
      </c>
      <c r="C710" s="1">
        <v>42528</v>
      </c>
      <c r="D710" t="s">
        <v>25</v>
      </c>
      <c r="E710" t="str">
        <f>VLOOKUP(TRIM(D710), Catalogo_gestiones!$A:$B, 2, FALSE)</f>
        <v>N</v>
      </c>
    </row>
    <row r="711" spans="1:5" x14ac:dyDescent="0.25">
      <c r="A711">
        <v>8470894</v>
      </c>
      <c r="B711">
        <v>24320598</v>
      </c>
      <c r="C711" s="1">
        <v>42522</v>
      </c>
      <c r="D711" t="s">
        <v>28</v>
      </c>
      <c r="E711" t="str">
        <f>VLOOKUP(TRIM(D711), Catalogo_gestiones!$A:$B, 2, FALSE)</f>
        <v>N</v>
      </c>
    </row>
    <row r="712" spans="1:5" x14ac:dyDescent="0.25">
      <c r="A712">
        <v>8471172</v>
      </c>
      <c r="B712">
        <v>18354113</v>
      </c>
      <c r="C712" s="1">
        <v>42528</v>
      </c>
      <c r="D712" t="s">
        <v>26</v>
      </c>
      <c r="E712" t="str">
        <f>VLOOKUP(TRIM(D712), Catalogo_gestiones!$A:$B, 2, FALSE)</f>
        <v>N</v>
      </c>
    </row>
    <row r="713" spans="1:5" x14ac:dyDescent="0.25">
      <c r="A713">
        <v>8471455</v>
      </c>
      <c r="B713">
        <v>22923812</v>
      </c>
      <c r="C713" s="1">
        <v>42528</v>
      </c>
      <c r="D713" t="s">
        <v>34</v>
      </c>
      <c r="E713" t="str">
        <f>VLOOKUP(TRIM(D713), Catalogo_gestiones!$A:$B, 2, FALSE)</f>
        <v>N</v>
      </c>
    </row>
    <row r="714" spans="1:5" x14ac:dyDescent="0.25">
      <c r="A714">
        <v>8483919</v>
      </c>
      <c r="B714">
        <v>26346244</v>
      </c>
      <c r="C714" s="1">
        <v>42522</v>
      </c>
      <c r="D714" t="s">
        <v>26</v>
      </c>
      <c r="E714" t="str">
        <f>VLOOKUP(TRIM(D714), Catalogo_gestiones!$A:$B, 2, FALSE)</f>
        <v>N</v>
      </c>
    </row>
    <row r="715" spans="1:5" x14ac:dyDescent="0.25">
      <c r="A715">
        <v>8484108</v>
      </c>
      <c r="B715">
        <v>24010205</v>
      </c>
      <c r="C715" s="1">
        <v>42528</v>
      </c>
      <c r="D715" t="s">
        <v>25</v>
      </c>
      <c r="E715" t="str">
        <f>VLOOKUP(TRIM(D715), Catalogo_gestiones!$A:$B, 2, FALSE)</f>
        <v>N</v>
      </c>
    </row>
    <row r="716" spans="1:5" x14ac:dyDescent="0.25">
      <c r="A716">
        <v>8485525</v>
      </c>
      <c r="B716">
        <v>1469200</v>
      </c>
      <c r="C716" s="1">
        <v>42528</v>
      </c>
      <c r="D716" t="s">
        <v>28</v>
      </c>
      <c r="E716" t="str">
        <f>VLOOKUP(TRIM(D716), Catalogo_gestiones!$A:$B, 2, FALSE)</f>
        <v>N</v>
      </c>
    </row>
    <row r="717" spans="1:5" x14ac:dyDescent="0.25">
      <c r="A717">
        <v>8485525</v>
      </c>
      <c r="B717">
        <v>2407079</v>
      </c>
      <c r="C717" s="1">
        <v>42528</v>
      </c>
      <c r="D717" t="s">
        <v>26</v>
      </c>
      <c r="E717" t="str">
        <f>VLOOKUP(TRIM(D717), Catalogo_gestiones!$A:$B, 2, FALSE)</f>
        <v>N</v>
      </c>
    </row>
    <row r="718" spans="1:5" x14ac:dyDescent="0.25">
      <c r="A718">
        <v>8485525</v>
      </c>
      <c r="B718">
        <v>23930618</v>
      </c>
      <c r="C718" s="1">
        <v>42528</v>
      </c>
      <c r="D718" t="s">
        <v>34</v>
      </c>
      <c r="E718" t="str">
        <f>VLOOKUP(TRIM(D718), Catalogo_gestiones!$A:$B, 2, FALSE)</f>
        <v>N</v>
      </c>
    </row>
    <row r="719" spans="1:5" x14ac:dyDescent="0.25">
      <c r="A719">
        <v>8485525</v>
      </c>
      <c r="B719">
        <v>24887918</v>
      </c>
      <c r="C719" s="1">
        <v>42528</v>
      </c>
      <c r="D719" t="s">
        <v>26</v>
      </c>
      <c r="E719" t="str">
        <f>VLOOKUP(TRIM(D719), Catalogo_gestiones!$A:$B, 2, FALSE)</f>
        <v>N</v>
      </c>
    </row>
    <row r="720" spans="1:5" x14ac:dyDescent="0.25">
      <c r="A720">
        <v>8485525</v>
      </c>
      <c r="B720">
        <v>24947872</v>
      </c>
      <c r="C720" s="1">
        <v>42528</v>
      </c>
      <c r="D720" t="s">
        <v>25</v>
      </c>
      <c r="E720" t="str">
        <f>VLOOKUP(TRIM(D720), Catalogo_gestiones!$A:$B, 2, FALSE)</f>
        <v>N</v>
      </c>
    </row>
    <row r="721" spans="1:5" x14ac:dyDescent="0.25">
      <c r="A721">
        <v>8485525</v>
      </c>
      <c r="B721">
        <v>26183633</v>
      </c>
      <c r="C721" s="1">
        <v>42528</v>
      </c>
      <c r="D721" t="s">
        <v>28</v>
      </c>
      <c r="E721" t="str">
        <f>VLOOKUP(TRIM(D721), Catalogo_gestiones!$A:$B, 2, FALSE)</f>
        <v>N</v>
      </c>
    </row>
    <row r="722" spans="1:5" x14ac:dyDescent="0.25">
      <c r="A722">
        <v>8485525</v>
      </c>
      <c r="B722">
        <v>26547564</v>
      </c>
      <c r="C722" s="1">
        <v>42528</v>
      </c>
      <c r="D722" t="s">
        <v>26</v>
      </c>
      <c r="E722" t="str">
        <f>VLOOKUP(TRIM(D722), Catalogo_gestiones!$A:$B, 2, FALSE)</f>
        <v>N</v>
      </c>
    </row>
    <row r="723" spans="1:5" x14ac:dyDescent="0.25">
      <c r="A723">
        <v>8485525</v>
      </c>
      <c r="B723">
        <v>26839896</v>
      </c>
      <c r="C723" s="1">
        <v>42528</v>
      </c>
      <c r="D723" t="s">
        <v>34</v>
      </c>
      <c r="E723" t="str">
        <f>VLOOKUP(TRIM(D723), Catalogo_gestiones!$A:$B, 2, FALSE)</f>
        <v>N</v>
      </c>
    </row>
    <row r="724" spans="1:5" x14ac:dyDescent="0.25">
      <c r="A724">
        <v>8485611</v>
      </c>
      <c r="B724">
        <v>19639856</v>
      </c>
      <c r="C724" s="1">
        <v>42528</v>
      </c>
      <c r="D724" t="s">
        <v>26</v>
      </c>
      <c r="E724" t="str">
        <f>VLOOKUP(TRIM(D724), Catalogo_gestiones!$A:$B, 2, FALSE)</f>
        <v>N</v>
      </c>
    </row>
    <row r="725" spans="1:5" x14ac:dyDescent="0.25">
      <c r="A725">
        <v>8486068</v>
      </c>
      <c r="B725">
        <v>25445221</v>
      </c>
      <c r="C725" s="1">
        <v>42528</v>
      </c>
      <c r="D725" t="s">
        <v>25</v>
      </c>
      <c r="E725" t="str">
        <f>VLOOKUP(TRIM(D725), Catalogo_gestiones!$A:$B, 2, FALSE)</f>
        <v>N</v>
      </c>
    </row>
    <row r="726" spans="1:5" x14ac:dyDescent="0.25">
      <c r="A726">
        <v>8486068</v>
      </c>
      <c r="B726">
        <v>27085828</v>
      </c>
      <c r="C726" s="1">
        <v>42528</v>
      </c>
      <c r="D726" t="s">
        <v>28</v>
      </c>
      <c r="E726" t="str">
        <f>VLOOKUP(TRIM(D726), Catalogo_gestiones!$A:$B, 2, FALSE)</f>
        <v>N</v>
      </c>
    </row>
    <row r="727" spans="1:5" x14ac:dyDescent="0.25">
      <c r="A727">
        <v>8486233</v>
      </c>
      <c r="B727">
        <v>26369161</v>
      </c>
      <c r="C727" s="1">
        <v>42528</v>
      </c>
      <c r="D727" t="s">
        <v>26</v>
      </c>
      <c r="E727" t="str">
        <f>VLOOKUP(TRIM(D727), Catalogo_gestiones!$A:$B, 2, FALSE)</f>
        <v>N</v>
      </c>
    </row>
    <row r="728" spans="1:5" x14ac:dyDescent="0.25">
      <c r="A728">
        <v>8486527</v>
      </c>
      <c r="B728">
        <v>23843578</v>
      </c>
      <c r="C728" s="1">
        <v>42528</v>
      </c>
      <c r="D728" t="s">
        <v>34</v>
      </c>
      <c r="E728" t="str">
        <f>VLOOKUP(TRIM(D728), Catalogo_gestiones!$A:$B, 2, FALSE)</f>
        <v>N</v>
      </c>
    </row>
    <row r="729" spans="1:5" x14ac:dyDescent="0.25">
      <c r="A729">
        <v>8486527</v>
      </c>
      <c r="B729">
        <v>23868894</v>
      </c>
      <c r="C729" s="1">
        <v>42528</v>
      </c>
      <c r="D729" t="s">
        <v>26</v>
      </c>
      <c r="E729" t="str">
        <f>VLOOKUP(TRIM(D729), Catalogo_gestiones!$A:$B, 2, FALSE)</f>
        <v>N</v>
      </c>
    </row>
    <row r="730" spans="1:5" x14ac:dyDescent="0.25">
      <c r="A730">
        <v>8486527</v>
      </c>
      <c r="B730">
        <v>24371347</v>
      </c>
      <c r="C730" s="1">
        <v>42528</v>
      </c>
      <c r="D730" t="s">
        <v>25</v>
      </c>
      <c r="E730" t="str">
        <f>VLOOKUP(TRIM(D730), Catalogo_gestiones!$A:$B, 2, FALSE)</f>
        <v>N</v>
      </c>
    </row>
    <row r="731" spans="1:5" x14ac:dyDescent="0.25">
      <c r="A731">
        <v>8486686</v>
      </c>
      <c r="B731">
        <v>16157140</v>
      </c>
      <c r="C731" s="1">
        <v>42528</v>
      </c>
      <c r="D731" t="s">
        <v>28</v>
      </c>
      <c r="E731" t="str">
        <f>VLOOKUP(TRIM(D731), Catalogo_gestiones!$A:$B, 2, FALSE)</f>
        <v>N</v>
      </c>
    </row>
    <row r="732" spans="1:5" x14ac:dyDescent="0.25">
      <c r="A732">
        <v>8486807</v>
      </c>
      <c r="B732">
        <v>27598664</v>
      </c>
      <c r="C732" s="1">
        <v>42528</v>
      </c>
      <c r="D732" t="s">
        <v>26</v>
      </c>
      <c r="E732" t="str">
        <f>VLOOKUP(TRIM(D732), Catalogo_gestiones!$A:$B, 2, FALSE)</f>
        <v>N</v>
      </c>
    </row>
    <row r="733" spans="1:5" x14ac:dyDescent="0.25">
      <c r="A733">
        <v>8487330</v>
      </c>
      <c r="B733">
        <v>22547293</v>
      </c>
      <c r="C733" s="1">
        <v>42528</v>
      </c>
      <c r="D733" t="s">
        <v>34</v>
      </c>
      <c r="E733" t="str">
        <f>VLOOKUP(TRIM(D733), Catalogo_gestiones!$A:$B, 2, FALSE)</f>
        <v>N</v>
      </c>
    </row>
    <row r="734" spans="1:5" x14ac:dyDescent="0.25">
      <c r="A734">
        <v>8487332</v>
      </c>
      <c r="B734">
        <v>4441692</v>
      </c>
      <c r="C734" s="1">
        <v>42528</v>
      </c>
      <c r="D734" t="s">
        <v>26</v>
      </c>
      <c r="E734" t="str">
        <f>VLOOKUP(TRIM(D734), Catalogo_gestiones!$A:$B, 2, FALSE)</f>
        <v>N</v>
      </c>
    </row>
    <row r="735" spans="1:5" x14ac:dyDescent="0.25">
      <c r="A735">
        <v>8487332</v>
      </c>
      <c r="B735">
        <v>21577757</v>
      </c>
      <c r="C735" s="1">
        <v>42529</v>
      </c>
      <c r="D735" t="s">
        <v>25</v>
      </c>
      <c r="E735" t="str">
        <f>VLOOKUP(TRIM(D735), Catalogo_gestiones!$A:$B, 2, FALSE)</f>
        <v>N</v>
      </c>
    </row>
    <row r="736" spans="1:5" x14ac:dyDescent="0.25">
      <c r="A736">
        <v>8487669</v>
      </c>
      <c r="B736">
        <v>24385491</v>
      </c>
      <c r="C736" s="1">
        <v>42528</v>
      </c>
      <c r="D736" t="s">
        <v>28</v>
      </c>
      <c r="E736" t="str">
        <f>VLOOKUP(TRIM(D736), Catalogo_gestiones!$A:$B, 2, FALSE)</f>
        <v>N</v>
      </c>
    </row>
    <row r="737" spans="1:5" x14ac:dyDescent="0.25">
      <c r="A737">
        <v>8487742</v>
      </c>
      <c r="B737">
        <v>22273203</v>
      </c>
      <c r="C737" s="1">
        <v>42528</v>
      </c>
      <c r="D737" t="s">
        <v>26</v>
      </c>
      <c r="E737" t="str">
        <f>VLOOKUP(TRIM(D737), Catalogo_gestiones!$A:$B, 2, FALSE)</f>
        <v>N</v>
      </c>
    </row>
    <row r="738" spans="1:5" x14ac:dyDescent="0.25">
      <c r="A738">
        <v>8487795</v>
      </c>
      <c r="B738">
        <v>25989548</v>
      </c>
      <c r="C738" s="1">
        <v>42528</v>
      </c>
      <c r="D738" t="s">
        <v>34</v>
      </c>
      <c r="E738" t="str">
        <f>VLOOKUP(TRIM(D738), Catalogo_gestiones!$A:$B, 2, FALSE)</f>
        <v>N</v>
      </c>
    </row>
    <row r="739" spans="1:5" x14ac:dyDescent="0.25">
      <c r="A739">
        <v>8488069</v>
      </c>
      <c r="B739">
        <v>26845371</v>
      </c>
      <c r="C739" s="1">
        <v>42528</v>
      </c>
      <c r="D739" t="s">
        <v>26</v>
      </c>
      <c r="E739" t="str">
        <f>VLOOKUP(TRIM(D739), Catalogo_gestiones!$A:$B, 2, FALSE)</f>
        <v>N</v>
      </c>
    </row>
    <row r="740" spans="1:5" x14ac:dyDescent="0.25">
      <c r="A740">
        <v>8488114</v>
      </c>
      <c r="B740">
        <v>25928078</v>
      </c>
      <c r="C740" s="1">
        <v>42528</v>
      </c>
      <c r="D740" t="s">
        <v>25</v>
      </c>
      <c r="E740" t="str">
        <f>VLOOKUP(TRIM(D740), Catalogo_gestiones!$A:$B, 2, FALSE)</f>
        <v>N</v>
      </c>
    </row>
    <row r="741" spans="1:5" x14ac:dyDescent="0.25">
      <c r="A741">
        <v>8488114</v>
      </c>
      <c r="B741">
        <v>25929542</v>
      </c>
      <c r="C741" s="1">
        <v>42528</v>
      </c>
      <c r="D741" t="s">
        <v>28</v>
      </c>
      <c r="E741" t="str">
        <f>VLOOKUP(TRIM(D741), Catalogo_gestiones!$A:$B, 2, FALSE)</f>
        <v>N</v>
      </c>
    </row>
    <row r="742" spans="1:5" x14ac:dyDescent="0.25">
      <c r="A742">
        <v>8488151</v>
      </c>
      <c r="B742">
        <v>27177262</v>
      </c>
      <c r="C742" s="1">
        <v>42528</v>
      </c>
      <c r="D742" t="s">
        <v>26</v>
      </c>
      <c r="E742" t="str">
        <f>VLOOKUP(TRIM(D742), Catalogo_gestiones!$A:$B, 2, FALSE)</f>
        <v>N</v>
      </c>
    </row>
    <row r="743" spans="1:5" x14ac:dyDescent="0.25">
      <c r="A743">
        <v>8488441</v>
      </c>
      <c r="B743">
        <v>19581466</v>
      </c>
      <c r="C743" s="1">
        <v>42528</v>
      </c>
      <c r="D743" t="s">
        <v>34</v>
      </c>
      <c r="E743" t="str">
        <f>VLOOKUP(TRIM(D743), Catalogo_gestiones!$A:$B, 2, FALSE)</f>
        <v>N</v>
      </c>
    </row>
    <row r="744" spans="1:5" x14ac:dyDescent="0.25">
      <c r="A744">
        <v>8488549</v>
      </c>
      <c r="B744">
        <v>21549880</v>
      </c>
      <c r="C744" s="1">
        <v>42529</v>
      </c>
      <c r="D744" t="s">
        <v>26</v>
      </c>
      <c r="E744" t="str">
        <f>VLOOKUP(TRIM(D744), Catalogo_gestiones!$A:$B, 2, FALSE)</f>
        <v>N</v>
      </c>
    </row>
    <row r="745" spans="1:5" x14ac:dyDescent="0.25">
      <c r="A745">
        <v>8488549</v>
      </c>
      <c r="B745">
        <v>26419172</v>
      </c>
      <c r="C745" s="1">
        <v>42529</v>
      </c>
      <c r="D745" t="s">
        <v>25</v>
      </c>
      <c r="E745" t="str">
        <f>VLOOKUP(TRIM(D745), Catalogo_gestiones!$A:$B, 2, FALSE)</f>
        <v>N</v>
      </c>
    </row>
    <row r="746" spans="1:5" x14ac:dyDescent="0.25">
      <c r="A746">
        <v>8488607</v>
      </c>
      <c r="B746">
        <v>15630098</v>
      </c>
      <c r="C746" s="1">
        <v>42528</v>
      </c>
      <c r="D746" t="s">
        <v>28</v>
      </c>
      <c r="E746" t="str">
        <f>VLOOKUP(TRIM(D746), Catalogo_gestiones!$A:$B, 2, FALSE)</f>
        <v>N</v>
      </c>
    </row>
    <row r="747" spans="1:5" x14ac:dyDescent="0.25">
      <c r="A747">
        <v>8488607</v>
      </c>
      <c r="B747">
        <v>16298760</v>
      </c>
      <c r="C747" s="1">
        <v>42528</v>
      </c>
      <c r="D747" t="s">
        <v>26</v>
      </c>
      <c r="E747" t="str">
        <f>VLOOKUP(TRIM(D747), Catalogo_gestiones!$A:$B, 2, FALSE)</f>
        <v>N</v>
      </c>
    </row>
    <row r="748" spans="1:5" x14ac:dyDescent="0.25">
      <c r="A748">
        <v>8488607</v>
      </c>
      <c r="B748">
        <v>25367323</v>
      </c>
      <c r="C748" s="1">
        <v>42528</v>
      </c>
      <c r="D748" t="s">
        <v>34</v>
      </c>
      <c r="E748" t="str">
        <f>VLOOKUP(TRIM(D748), Catalogo_gestiones!$A:$B, 2, FALSE)</f>
        <v>N</v>
      </c>
    </row>
    <row r="749" spans="1:5" x14ac:dyDescent="0.25">
      <c r="A749">
        <v>8488668</v>
      </c>
      <c r="B749">
        <v>25472034</v>
      </c>
      <c r="C749" s="1">
        <v>42528</v>
      </c>
      <c r="D749" t="s">
        <v>26</v>
      </c>
      <c r="E749" t="str">
        <f>VLOOKUP(TRIM(D749), Catalogo_gestiones!$A:$B, 2, FALSE)</f>
        <v>N</v>
      </c>
    </row>
    <row r="750" spans="1:5" x14ac:dyDescent="0.25">
      <c r="A750">
        <v>8488668</v>
      </c>
      <c r="B750">
        <v>25483738</v>
      </c>
      <c r="C750" s="1">
        <v>42528</v>
      </c>
      <c r="D750" t="s">
        <v>25</v>
      </c>
      <c r="E750" t="str">
        <f>VLOOKUP(TRIM(D750), Catalogo_gestiones!$A:$B, 2, FALSE)</f>
        <v>N</v>
      </c>
    </row>
    <row r="751" spans="1:5" x14ac:dyDescent="0.25">
      <c r="A751">
        <v>8488982</v>
      </c>
      <c r="B751">
        <v>24163017</v>
      </c>
      <c r="C751" s="1">
        <v>42528</v>
      </c>
      <c r="D751" t="s">
        <v>28</v>
      </c>
      <c r="E751" t="str">
        <f>VLOOKUP(TRIM(D751), Catalogo_gestiones!$A:$B, 2, FALSE)</f>
        <v>N</v>
      </c>
    </row>
    <row r="752" spans="1:5" x14ac:dyDescent="0.25">
      <c r="A752">
        <v>8489163</v>
      </c>
      <c r="B752">
        <v>25275656</v>
      </c>
      <c r="C752" s="1">
        <v>42528</v>
      </c>
      <c r="D752" t="s">
        <v>26</v>
      </c>
      <c r="E752" t="str">
        <f>VLOOKUP(TRIM(D752), Catalogo_gestiones!$A:$B, 2, FALSE)</f>
        <v>N</v>
      </c>
    </row>
    <row r="753" spans="1:5" x14ac:dyDescent="0.25">
      <c r="A753">
        <v>8489318</v>
      </c>
      <c r="B753">
        <v>25471498</v>
      </c>
      <c r="C753" s="1">
        <v>42528</v>
      </c>
      <c r="D753" t="s">
        <v>34</v>
      </c>
      <c r="E753" t="str">
        <f>VLOOKUP(TRIM(D753), Catalogo_gestiones!$A:$B, 2, FALSE)</f>
        <v>N</v>
      </c>
    </row>
    <row r="754" spans="1:5" x14ac:dyDescent="0.25">
      <c r="A754">
        <v>8489458</v>
      </c>
      <c r="B754">
        <v>25194912</v>
      </c>
      <c r="C754" s="1">
        <v>42528</v>
      </c>
      <c r="D754" t="s">
        <v>26</v>
      </c>
      <c r="E754" t="str">
        <f>VLOOKUP(TRIM(D754), Catalogo_gestiones!$A:$B, 2, FALSE)</f>
        <v>N</v>
      </c>
    </row>
    <row r="755" spans="1:5" x14ac:dyDescent="0.25">
      <c r="A755">
        <v>8489458</v>
      </c>
      <c r="B755">
        <v>26251506</v>
      </c>
      <c r="C755" s="1">
        <v>42528</v>
      </c>
      <c r="D755" t="s">
        <v>25</v>
      </c>
      <c r="E755" t="str">
        <f>VLOOKUP(TRIM(D755), Catalogo_gestiones!$A:$B, 2, FALSE)</f>
        <v>N</v>
      </c>
    </row>
    <row r="756" spans="1:5" x14ac:dyDescent="0.25">
      <c r="A756">
        <v>8489663</v>
      </c>
      <c r="B756">
        <v>25490054</v>
      </c>
      <c r="C756" s="1">
        <v>42528</v>
      </c>
      <c r="D756" t="s">
        <v>28</v>
      </c>
      <c r="E756" t="str">
        <f>VLOOKUP(TRIM(D756), Catalogo_gestiones!$A:$B, 2, FALSE)</f>
        <v>N</v>
      </c>
    </row>
    <row r="757" spans="1:5" x14ac:dyDescent="0.25">
      <c r="A757">
        <v>8489663</v>
      </c>
      <c r="B757">
        <v>27844618</v>
      </c>
      <c r="C757" s="1">
        <v>42528</v>
      </c>
      <c r="D757" t="s">
        <v>26</v>
      </c>
      <c r="E757" t="str">
        <f>VLOOKUP(TRIM(D757), Catalogo_gestiones!$A:$B, 2, FALSE)</f>
        <v>N</v>
      </c>
    </row>
    <row r="758" spans="1:5" x14ac:dyDescent="0.25">
      <c r="A758">
        <v>8489760</v>
      </c>
      <c r="B758">
        <v>14047669</v>
      </c>
      <c r="C758" s="1">
        <v>42528</v>
      </c>
      <c r="D758" t="s">
        <v>34</v>
      </c>
      <c r="E758" t="str">
        <f>VLOOKUP(TRIM(D758), Catalogo_gestiones!$A:$B, 2, FALSE)</f>
        <v>N</v>
      </c>
    </row>
    <row r="759" spans="1:5" x14ac:dyDescent="0.25">
      <c r="A759">
        <v>8489760</v>
      </c>
      <c r="B759">
        <v>15290708</v>
      </c>
      <c r="C759" s="1">
        <v>42528</v>
      </c>
      <c r="D759" t="s">
        <v>26</v>
      </c>
      <c r="E759" t="str">
        <f>VLOOKUP(TRIM(D759), Catalogo_gestiones!$A:$B, 2, FALSE)</f>
        <v>N</v>
      </c>
    </row>
    <row r="760" spans="1:5" x14ac:dyDescent="0.25">
      <c r="A760">
        <v>8489781</v>
      </c>
      <c r="B760">
        <v>21416984</v>
      </c>
      <c r="C760" s="1">
        <v>42528</v>
      </c>
      <c r="D760" t="s">
        <v>25</v>
      </c>
      <c r="E760" t="str">
        <f>VLOOKUP(TRIM(D760), Catalogo_gestiones!$A:$B, 2, FALSE)</f>
        <v>N</v>
      </c>
    </row>
    <row r="761" spans="1:5" x14ac:dyDescent="0.25">
      <c r="A761">
        <v>8489786</v>
      </c>
      <c r="B761">
        <v>26575860</v>
      </c>
      <c r="C761" s="1">
        <v>42528</v>
      </c>
      <c r="D761" t="s">
        <v>28</v>
      </c>
      <c r="E761" t="str">
        <f>VLOOKUP(TRIM(D761), Catalogo_gestiones!$A:$B, 2, FALSE)</f>
        <v>N</v>
      </c>
    </row>
    <row r="762" spans="1:5" x14ac:dyDescent="0.25">
      <c r="A762">
        <v>8489792</v>
      </c>
      <c r="B762">
        <v>20199251</v>
      </c>
      <c r="C762" s="1">
        <v>42528</v>
      </c>
      <c r="D762" t="s">
        <v>26</v>
      </c>
      <c r="E762" t="str">
        <f>VLOOKUP(TRIM(D762), Catalogo_gestiones!$A:$B, 2, FALSE)</f>
        <v>N</v>
      </c>
    </row>
    <row r="763" spans="1:5" x14ac:dyDescent="0.25">
      <c r="A763">
        <v>8489792</v>
      </c>
      <c r="B763">
        <v>20199357</v>
      </c>
      <c r="C763" s="1">
        <v>42528</v>
      </c>
      <c r="D763" t="s">
        <v>34</v>
      </c>
      <c r="E763" t="str">
        <f>VLOOKUP(TRIM(D763), Catalogo_gestiones!$A:$B, 2, FALSE)</f>
        <v>N</v>
      </c>
    </row>
    <row r="764" spans="1:5" x14ac:dyDescent="0.25">
      <c r="A764">
        <v>8489814</v>
      </c>
      <c r="B764">
        <v>27893831</v>
      </c>
      <c r="C764" s="1">
        <v>42522</v>
      </c>
      <c r="D764" t="s">
        <v>26</v>
      </c>
      <c r="E764" t="str">
        <f>VLOOKUP(TRIM(D764), Catalogo_gestiones!$A:$B, 2, FALSE)</f>
        <v>N</v>
      </c>
    </row>
    <row r="765" spans="1:5" x14ac:dyDescent="0.25">
      <c r="A765">
        <v>8489859</v>
      </c>
      <c r="B765">
        <v>21249039</v>
      </c>
      <c r="C765" s="1">
        <v>42528</v>
      </c>
      <c r="D765" t="s">
        <v>25</v>
      </c>
      <c r="E765" t="str">
        <f>VLOOKUP(TRIM(D765), Catalogo_gestiones!$A:$B, 2, FALSE)</f>
        <v>N</v>
      </c>
    </row>
    <row r="766" spans="1:5" x14ac:dyDescent="0.25">
      <c r="A766">
        <v>8489892</v>
      </c>
      <c r="B766">
        <v>20521084</v>
      </c>
      <c r="C766" s="1">
        <v>42528</v>
      </c>
      <c r="D766" t="s">
        <v>28</v>
      </c>
      <c r="E766" t="str">
        <f>VLOOKUP(TRIM(D766), Catalogo_gestiones!$A:$B, 2, FALSE)</f>
        <v>N</v>
      </c>
    </row>
    <row r="767" spans="1:5" x14ac:dyDescent="0.25">
      <c r="A767">
        <v>8489935</v>
      </c>
      <c r="B767">
        <v>21568705</v>
      </c>
      <c r="C767" s="1">
        <v>42522</v>
      </c>
      <c r="D767" t="s">
        <v>26</v>
      </c>
      <c r="E767" t="str">
        <f>VLOOKUP(TRIM(D767), Catalogo_gestiones!$A:$B, 2, FALSE)</f>
        <v>N</v>
      </c>
    </row>
    <row r="768" spans="1:5" x14ac:dyDescent="0.25">
      <c r="A768">
        <v>8489978</v>
      </c>
      <c r="B768">
        <v>25970137</v>
      </c>
      <c r="C768" s="1">
        <v>42528</v>
      </c>
      <c r="D768" t="s">
        <v>34</v>
      </c>
      <c r="E768" t="str">
        <f>VLOOKUP(TRIM(D768), Catalogo_gestiones!$A:$B, 2, FALSE)</f>
        <v>N</v>
      </c>
    </row>
    <row r="769" spans="1:5" x14ac:dyDescent="0.25">
      <c r="A769">
        <v>8490008</v>
      </c>
      <c r="B769">
        <v>23864357</v>
      </c>
      <c r="C769" s="1">
        <v>42528</v>
      </c>
      <c r="D769" t="s">
        <v>26</v>
      </c>
      <c r="E769" t="str">
        <f>VLOOKUP(TRIM(D769), Catalogo_gestiones!$A:$B, 2, FALSE)</f>
        <v>N</v>
      </c>
    </row>
    <row r="770" spans="1:5" x14ac:dyDescent="0.25">
      <c r="A770">
        <v>8490353</v>
      </c>
      <c r="B770">
        <v>23277912</v>
      </c>
      <c r="C770" s="1">
        <v>42528</v>
      </c>
      <c r="D770" t="s">
        <v>25</v>
      </c>
      <c r="E770" t="str">
        <f>VLOOKUP(TRIM(D770), Catalogo_gestiones!$A:$B, 2, FALSE)</f>
        <v>N</v>
      </c>
    </row>
    <row r="771" spans="1:5" x14ac:dyDescent="0.25">
      <c r="A771">
        <v>8490527</v>
      </c>
      <c r="B771">
        <v>20854367</v>
      </c>
      <c r="C771" s="1">
        <v>42528</v>
      </c>
      <c r="D771" t="s">
        <v>28</v>
      </c>
      <c r="E771" t="str">
        <f>VLOOKUP(TRIM(D771), Catalogo_gestiones!$A:$B, 2, FALSE)</f>
        <v>N</v>
      </c>
    </row>
    <row r="772" spans="1:5" x14ac:dyDescent="0.25">
      <c r="A772">
        <v>8490527</v>
      </c>
      <c r="B772">
        <v>20854953</v>
      </c>
      <c r="C772" s="1">
        <v>42528</v>
      </c>
      <c r="D772" t="s">
        <v>26</v>
      </c>
      <c r="E772" t="str">
        <f>VLOOKUP(TRIM(D772), Catalogo_gestiones!$A:$B, 2, FALSE)</f>
        <v>N</v>
      </c>
    </row>
    <row r="773" spans="1:5" x14ac:dyDescent="0.25">
      <c r="A773">
        <v>8490527</v>
      </c>
      <c r="B773">
        <v>20855710</v>
      </c>
      <c r="C773" s="1">
        <v>42528</v>
      </c>
      <c r="D773" t="s">
        <v>34</v>
      </c>
      <c r="E773" t="str">
        <f>VLOOKUP(TRIM(D773), Catalogo_gestiones!$A:$B, 2, FALSE)</f>
        <v>N</v>
      </c>
    </row>
    <row r="774" spans="1:5" x14ac:dyDescent="0.25">
      <c r="A774">
        <v>8490649</v>
      </c>
      <c r="B774">
        <v>21553476</v>
      </c>
      <c r="C774" s="1">
        <v>42528</v>
      </c>
      <c r="D774" t="s">
        <v>26</v>
      </c>
      <c r="E774" t="str">
        <f>VLOOKUP(TRIM(D774), Catalogo_gestiones!$A:$B, 2, FALSE)</f>
        <v>N</v>
      </c>
    </row>
    <row r="775" spans="1:5" x14ac:dyDescent="0.25">
      <c r="A775">
        <v>8490689</v>
      </c>
      <c r="B775">
        <v>27154092</v>
      </c>
      <c r="C775" s="1">
        <v>42528</v>
      </c>
      <c r="D775" t="s">
        <v>25</v>
      </c>
      <c r="E775" t="str">
        <f>VLOOKUP(TRIM(D775), Catalogo_gestiones!$A:$B, 2, FALSE)</f>
        <v>N</v>
      </c>
    </row>
    <row r="776" spans="1:5" x14ac:dyDescent="0.25">
      <c r="A776">
        <v>8490699</v>
      </c>
      <c r="B776">
        <v>18460872</v>
      </c>
      <c r="C776" s="1">
        <v>42528</v>
      </c>
      <c r="D776" t="s">
        <v>28</v>
      </c>
      <c r="E776" t="str">
        <f>VLOOKUP(TRIM(D776), Catalogo_gestiones!$A:$B, 2, FALSE)</f>
        <v>N</v>
      </c>
    </row>
    <row r="777" spans="1:5" x14ac:dyDescent="0.25">
      <c r="A777">
        <v>8490839</v>
      </c>
      <c r="B777">
        <v>19557175</v>
      </c>
      <c r="C777" s="1">
        <v>42528</v>
      </c>
      <c r="D777" t="s">
        <v>26</v>
      </c>
      <c r="E777" t="str">
        <f>VLOOKUP(TRIM(D777), Catalogo_gestiones!$A:$B, 2, FALSE)</f>
        <v>N</v>
      </c>
    </row>
    <row r="778" spans="1:5" x14ac:dyDescent="0.25">
      <c r="A778">
        <v>8490841</v>
      </c>
      <c r="B778">
        <v>19490815</v>
      </c>
      <c r="C778" s="1">
        <v>42522</v>
      </c>
      <c r="D778" t="s">
        <v>34</v>
      </c>
      <c r="E778" t="str">
        <f>VLOOKUP(TRIM(D778), Catalogo_gestiones!$A:$B, 2, FALSE)</f>
        <v>N</v>
      </c>
    </row>
    <row r="779" spans="1:5" x14ac:dyDescent="0.25">
      <c r="A779">
        <v>8490856</v>
      </c>
      <c r="B779">
        <v>19824822</v>
      </c>
      <c r="C779" s="1">
        <v>42528</v>
      </c>
      <c r="D779" t="s">
        <v>26</v>
      </c>
      <c r="E779" t="str">
        <f>VLOOKUP(TRIM(D779), Catalogo_gestiones!$A:$B, 2, FALSE)</f>
        <v>N</v>
      </c>
    </row>
    <row r="780" spans="1:5" x14ac:dyDescent="0.25">
      <c r="A780">
        <v>8490856</v>
      </c>
      <c r="B780">
        <v>22443572</v>
      </c>
      <c r="C780" s="1">
        <v>42528</v>
      </c>
      <c r="D780" t="s">
        <v>25</v>
      </c>
      <c r="E780" t="str">
        <f>VLOOKUP(TRIM(D780), Catalogo_gestiones!$A:$B, 2, FALSE)</f>
        <v>N</v>
      </c>
    </row>
    <row r="781" spans="1:5" x14ac:dyDescent="0.25">
      <c r="A781">
        <v>8490949</v>
      </c>
      <c r="B781">
        <v>25373614</v>
      </c>
      <c r="C781" s="1">
        <v>42528</v>
      </c>
      <c r="D781" t="s">
        <v>28</v>
      </c>
      <c r="E781" t="str">
        <f>VLOOKUP(TRIM(D781), Catalogo_gestiones!$A:$B, 2, FALSE)</f>
        <v>N</v>
      </c>
    </row>
    <row r="782" spans="1:5" x14ac:dyDescent="0.25">
      <c r="A782">
        <v>8491006</v>
      </c>
      <c r="B782">
        <v>24075863</v>
      </c>
      <c r="C782" s="1">
        <v>42522</v>
      </c>
      <c r="D782" t="s">
        <v>26</v>
      </c>
      <c r="E782" t="str">
        <f>VLOOKUP(TRIM(D782), Catalogo_gestiones!$A:$B, 2, FALSE)</f>
        <v>N</v>
      </c>
    </row>
    <row r="783" spans="1:5" x14ac:dyDescent="0.25">
      <c r="A783">
        <v>8491092</v>
      </c>
      <c r="B783">
        <v>22418324</v>
      </c>
      <c r="C783" s="1">
        <v>42528</v>
      </c>
      <c r="D783" t="s">
        <v>34</v>
      </c>
      <c r="E783" t="str">
        <f>VLOOKUP(TRIM(D783), Catalogo_gestiones!$A:$B, 2, FALSE)</f>
        <v>N</v>
      </c>
    </row>
    <row r="784" spans="1:5" x14ac:dyDescent="0.25">
      <c r="A784">
        <v>8491203</v>
      </c>
      <c r="B784">
        <v>21218625</v>
      </c>
      <c r="C784" s="1">
        <v>42528</v>
      </c>
      <c r="D784" t="s">
        <v>26</v>
      </c>
      <c r="E784" t="str">
        <f>VLOOKUP(TRIM(D784), Catalogo_gestiones!$A:$B, 2, FALSE)</f>
        <v>N</v>
      </c>
    </row>
    <row r="785" spans="1:5" x14ac:dyDescent="0.25">
      <c r="A785">
        <v>8491282</v>
      </c>
      <c r="B785">
        <v>22486333</v>
      </c>
      <c r="C785" s="1">
        <v>42528</v>
      </c>
      <c r="D785" t="s">
        <v>25</v>
      </c>
      <c r="E785" t="str">
        <f>VLOOKUP(TRIM(D785), Catalogo_gestiones!$A:$B, 2, FALSE)</f>
        <v>N</v>
      </c>
    </row>
    <row r="786" spans="1:5" x14ac:dyDescent="0.25">
      <c r="A786">
        <v>8491300</v>
      </c>
      <c r="B786">
        <v>21183899</v>
      </c>
      <c r="C786" s="1">
        <v>42528</v>
      </c>
      <c r="D786" t="s">
        <v>28</v>
      </c>
      <c r="E786" t="str">
        <f>VLOOKUP(TRIM(D786), Catalogo_gestiones!$A:$B, 2, FALSE)</f>
        <v>N</v>
      </c>
    </row>
    <row r="787" spans="1:5" x14ac:dyDescent="0.25">
      <c r="A787">
        <v>8491306</v>
      </c>
      <c r="B787">
        <v>25320990</v>
      </c>
      <c r="C787" s="1">
        <v>42528</v>
      </c>
      <c r="D787" t="s">
        <v>26</v>
      </c>
      <c r="E787" t="str">
        <f>VLOOKUP(TRIM(D787), Catalogo_gestiones!$A:$B, 2, FALSE)</f>
        <v>N</v>
      </c>
    </row>
    <row r="788" spans="1:5" x14ac:dyDescent="0.25">
      <c r="A788">
        <v>8491306</v>
      </c>
      <c r="B788">
        <v>28043155</v>
      </c>
      <c r="C788" s="1">
        <v>42524</v>
      </c>
      <c r="D788" t="s">
        <v>34</v>
      </c>
      <c r="E788" t="str">
        <f>VLOOKUP(TRIM(D788), Catalogo_gestiones!$A:$B, 2, FALSE)</f>
        <v>N</v>
      </c>
    </row>
    <row r="789" spans="1:5" x14ac:dyDescent="0.25">
      <c r="A789">
        <v>8491409</v>
      </c>
      <c r="B789">
        <v>25336921</v>
      </c>
      <c r="C789" s="1">
        <v>42528</v>
      </c>
      <c r="D789" t="s">
        <v>26</v>
      </c>
      <c r="E789" t="str">
        <f>VLOOKUP(TRIM(D789), Catalogo_gestiones!$A:$B, 2, FALSE)</f>
        <v>N</v>
      </c>
    </row>
    <row r="790" spans="1:5" x14ac:dyDescent="0.25">
      <c r="A790">
        <v>8491409</v>
      </c>
      <c r="B790">
        <v>27153393</v>
      </c>
      <c r="C790" s="1">
        <v>42528</v>
      </c>
      <c r="D790" t="s">
        <v>25</v>
      </c>
      <c r="E790" t="str">
        <f>VLOOKUP(TRIM(D790), Catalogo_gestiones!$A:$B, 2, FALSE)</f>
        <v>N</v>
      </c>
    </row>
    <row r="791" spans="1:5" x14ac:dyDescent="0.25">
      <c r="A791">
        <v>8491572</v>
      </c>
      <c r="B791">
        <v>25119103</v>
      </c>
      <c r="C791" s="1">
        <v>42528</v>
      </c>
      <c r="D791" t="s">
        <v>28</v>
      </c>
      <c r="E791" t="str">
        <f>VLOOKUP(TRIM(D791), Catalogo_gestiones!$A:$B, 2, FALSE)</f>
        <v>N</v>
      </c>
    </row>
    <row r="792" spans="1:5" x14ac:dyDescent="0.25">
      <c r="A792">
        <v>8491599</v>
      </c>
      <c r="B792">
        <v>17748506</v>
      </c>
      <c r="C792" s="1">
        <v>42528</v>
      </c>
      <c r="D792" t="s">
        <v>26</v>
      </c>
      <c r="E792" t="str">
        <f>VLOOKUP(TRIM(D792), Catalogo_gestiones!$A:$B, 2, FALSE)</f>
        <v>N</v>
      </c>
    </row>
    <row r="793" spans="1:5" x14ac:dyDescent="0.25">
      <c r="A793">
        <v>8491599</v>
      </c>
      <c r="B793">
        <v>27386020</v>
      </c>
      <c r="C793" s="1">
        <v>42528</v>
      </c>
      <c r="D793" t="s">
        <v>34</v>
      </c>
      <c r="E793" t="str">
        <f>VLOOKUP(TRIM(D793), Catalogo_gestiones!$A:$B, 2, FALSE)</f>
        <v>N</v>
      </c>
    </row>
    <row r="794" spans="1:5" x14ac:dyDescent="0.25">
      <c r="A794">
        <v>8491737</v>
      </c>
      <c r="B794">
        <v>26833770</v>
      </c>
      <c r="C794" s="1">
        <v>42528</v>
      </c>
      <c r="D794" t="s">
        <v>26</v>
      </c>
      <c r="E794" t="str">
        <f>VLOOKUP(TRIM(D794), Catalogo_gestiones!$A:$B, 2, FALSE)</f>
        <v>N</v>
      </c>
    </row>
    <row r="795" spans="1:5" x14ac:dyDescent="0.25">
      <c r="A795">
        <v>8491737</v>
      </c>
      <c r="B795">
        <v>26835229</v>
      </c>
      <c r="C795" s="1">
        <v>42528</v>
      </c>
      <c r="D795" t="s">
        <v>25</v>
      </c>
      <c r="E795" t="str">
        <f>VLOOKUP(TRIM(D795), Catalogo_gestiones!$A:$B, 2, FALSE)</f>
        <v>N</v>
      </c>
    </row>
    <row r="796" spans="1:5" x14ac:dyDescent="0.25">
      <c r="A796">
        <v>8491826</v>
      </c>
      <c r="B796">
        <v>26151343</v>
      </c>
      <c r="C796" s="1">
        <v>42528</v>
      </c>
      <c r="D796" t="s">
        <v>28</v>
      </c>
      <c r="E796" t="str">
        <f>VLOOKUP(TRIM(D796), Catalogo_gestiones!$A:$B, 2, FALSE)</f>
        <v>N</v>
      </c>
    </row>
    <row r="797" spans="1:5" x14ac:dyDescent="0.25">
      <c r="A797">
        <v>8491843</v>
      </c>
      <c r="B797">
        <v>27278763</v>
      </c>
      <c r="C797" s="1">
        <v>42528</v>
      </c>
      <c r="D797" t="s">
        <v>26</v>
      </c>
      <c r="E797" t="str">
        <f>VLOOKUP(TRIM(D797), Catalogo_gestiones!$A:$B, 2, FALSE)</f>
        <v>N</v>
      </c>
    </row>
    <row r="798" spans="1:5" x14ac:dyDescent="0.25">
      <c r="A798">
        <v>8491858</v>
      </c>
      <c r="B798">
        <v>25879366</v>
      </c>
      <c r="C798" s="1">
        <v>42528</v>
      </c>
      <c r="D798" t="s">
        <v>34</v>
      </c>
      <c r="E798" t="str">
        <f>VLOOKUP(TRIM(D798), Catalogo_gestiones!$A:$B, 2, FALSE)</f>
        <v>N</v>
      </c>
    </row>
    <row r="799" spans="1:5" x14ac:dyDescent="0.25">
      <c r="A799">
        <v>8491858</v>
      </c>
      <c r="B799">
        <v>27654219</v>
      </c>
      <c r="C799" s="1">
        <v>42528</v>
      </c>
      <c r="D799" t="s">
        <v>26</v>
      </c>
      <c r="E799" t="str">
        <f>VLOOKUP(TRIM(D799), Catalogo_gestiones!$A:$B, 2, FALSE)</f>
        <v>N</v>
      </c>
    </row>
    <row r="800" spans="1:5" x14ac:dyDescent="0.25">
      <c r="A800">
        <v>8491877</v>
      </c>
      <c r="B800">
        <v>27396609</v>
      </c>
      <c r="C800" s="1">
        <v>42528</v>
      </c>
      <c r="D800" t="s">
        <v>25</v>
      </c>
      <c r="E800" t="str">
        <f>VLOOKUP(TRIM(D800), Catalogo_gestiones!$A:$B, 2, FALSE)</f>
        <v>N</v>
      </c>
    </row>
    <row r="801" spans="1:5" x14ac:dyDescent="0.25">
      <c r="A801">
        <v>8491910</v>
      </c>
      <c r="B801">
        <v>27575915</v>
      </c>
      <c r="C801" s="1">
        <v>42528</v>
      </c>
      <c r="D801" t="s">
        <v>28</v>
      </c>
      <c r="E801" t="str">
        <f>VLOOKUP(TRIM(D801), Catalogo_gestiones!$A:$B, 2, FALSE)</f>
        <v>N</v>
      </c>
    </row>
    <row r="802" spans="1:5" x14ac:dyDescent="0.25">
      <c r="A802">
        <v>8491961</v>
      </c>
      <c r="B802">
        <v>24127681</v>
      </c>
      <c r="C802" s="1">
        <v>42528</v>
      </c>
      <c r="D802" t="s">
        <v>26</v>
      </c>
      <c r="E802" t="str">
        <f>VLOOKUP(TRIM(D802), Catalogo_gestiones!$A:$B, 2, FALSE)</f>
        <v>N</v>
      </c>
    </row>
    <row r="803" spans="1:5" x14ac:dyDescent="0.25">
      <c r="A803">
        <v>8491969</v>
      </c>
      <c r="B803">
        <v>16363550</v>
      </c>
      <c r="C803" s="1">
        <v>42528</v>
      </c>
      <c r="D803" t="s">
        <v>34</v>
      </c>
      <c r="E803" t="str">
        <f>VLOOKUP(TRIM(D803), Catalogo_gestiones!$A:$B, 2, FALSE)</f>
        <v>N</v>
      </c>
    </row>
    <row r="804" spans="1:5" x14ac:dyDescent="0.25">
      <c r="A804">
        <v>8492088</v>
      </c>
      <c r="B804">
        <v>26249534</v>
      </c>
      <c r="C804" s="1">
        <v>42528</v>
      </c>
      <c r="D804" t="s">
        <v>26</v>
      </c>
      <c r="E804" t="str">
        <f>VLOOKUP(TRIM(D804), Catalogo_gestiones!$A:$B, 2, FALSE)</f>
        <v>N</v>
      </c>
    </row>
    <row r="805" spans="1:5" x14ac:dyDescent="0.25">
      <c r="A805">
        <v>8492088</v>
      </c>
      <c r="B805">
        <v>26935418</v>
      </c>
      <c r="C805" s="1">
        <v>42528</v>
      </c>
      <c r="D805" t="s">
        <v>25</v>
      </c>
      <c r="E805" t="str">
        <f>VLOOKUP(TRIM(D805), Catalogo_gestiones!$A:$B, 2, FALSE)</f>
        <v>N</v>
      </c>
    </row>
    <row r="806" spans="1:5" x14ac:dyDescent="0.25">
      <c r="A806">
        <v>8492200</v>
      </c>
      <c r="B806">
        <v>26140581</v>
      </c>
      <c r="C806" s="1">
        <v>42528</v>
      </c>
      <c r="D806" t="s">
        <v>28</v>
      </c>
      <c r="E806" t="str">
        <f>VLOOKUP(TRIM(D806), Catalogo_gestiones!$A:$B, 2, FALSE)</f>
        <v>N</v>
      </c>
    </row>
    <row r="807" spans="1:5" x14ac:dyDescent="0.25">
      <c r="A807">
        <v>8492200</v>
      </c>
      <c r="B807">
        <v>27915896</v>
      </c>
      <c r="C807" s="1">
        <v>42528</v>
      </c>
      <c r="D807" t="s">
        <v>26</v>
      </c>
      <c r="E807" t="str">
        <f>VLOOKUP(TRIM(D807), Catalogo_gestiones!$A:$B, 2, FALSE)</f>
        <v>N</v>
      </c>
    </row>
    <row r="808" spans="1:5" x14ac:dyDescent="0.25">
      <c r="A808">
        <v>8492200</v>
      </c>
      <c r="B808">
        <v>27917896</v>
      </c>
      <c r="C808" s="1">
        <v>42528</v>
      </c>
      <c r="D808" t="s">
        <v>34</v>
      </c>
      <c r="E808" t="str">
        <f>VLOOKUP(TRIM(D808), Catalogo_gestiones!$A:$B, 2, FALSE)</f>
        <v>N</v>
      </c>
    </row>
    <row r="809" spans="1:5" x14ac:dyDescent="0.25">
      <c r="A809">
        <v>8492200</v>
      </c>
      <c r="B809">
        <v>28216922</v>
      </c>
      <c r="C809" s="1">
        <v>42528</v>
      </c>
      <c r="D809" t="s">
        <v>26</v>
      </c>
      <c r="E809" t="str">
        <f>VLOOKUP(TRIM(D809), Catalogo_gestiones!$A:$B, 2, FALSE)</f>
        <v>N</v>
      </c>
    </row>
    <row r="810" spans="1:5" x14ac:dyDescent="0.25">
      <c r="A810">
        <v>8492224</v>
      </c>
      <c r="B810">
        <v>24128447</v>
      </c>
      <c r="C810" s="1">
        <v>42528</v>
      </c>
      <c r="D810" t="s">
        <v>25</v>
      </c>
      <c r="E810" t="str">
        <f>VLOOKUP(TRIM(D810), Catalogo_gestiones!$A:$B, 2, FALSE)</f>
        <v>N</v>
      </c>
    </row>
    <row r="811" spans="1:5" x14ac:dyDescent="0.25">
      <c r="A811">
        <v>8492224</v>
      </c>
      <c r="B811">
        <v>25908299</v>
      </c>
      <c r="C811" s="1">
        <v>42528</v>
      </c>
      <c r="D811" t="s">
        <v>28</v>
      </c>
      <c r="E811" t="str">
        <f>VLOOKUP(TRIM(D811), Catalogo_gestiones!$A:$B, 2, FALSE)</f>
        <v>N</v>
      </c>
    </row>
    <row r="812" spans="1:5" x14ac:dyDescent="0.25">
      <c r="A812">
        <v>8519022</v>
      </c>
      <c r="B812">
        <v>25194705</v>
      </c>
      <c r="C812" s="1">
        <v>42528</v>
      </c>
      <c r="D812" t="s">
        <v>26</v>
      </c>
      <c r="E812" t="str">
        <f>VLOOKUP(TRIM(D812), Catalogo_gestiones!$A:$B, 2, FALSE)</f>
        <v>N</v>
      </c>
    </row>
    <row r="813" spans="1:5" x14ac:dyDescent="0.25">
      <c r="A813">
        <v>8519329</v>
      </c>
      <c r="B813">
        <v>27448637</v>
      </c>
      <c r="C813" s="1">
        <v>42528</v>
      </c>
      <c r="D813" t="s">
        <v>34</v>
      </c>
      <c r="E813" t="str">
        <f>VLOOKUP(TRIM(D813), Catalogo_gestiones!$A:$B, 2, FALSE)</f>
        <v>N</v>
      </c>
    </row>
    <row r="814" spans="1:5" x14ac:dyDescent="0.25">
      <c r="A814">
        <v>8519500</v>
      </c>
      <c r="B814">
        <v>16702203</v>
      </c>
      <c r="C814" s="1">
        <v>42528</v>
      </c>
      <c r="D814" t="s">
        <v>26</v>
      </c>
      <c r="E814" t="str">
        <f>VLOOKUP(TRIM(D814), Catalogo_gestiones!$A:$B, 2, FALSE)</f>
        <v>N</v>
      </c>
    </row>
    <row r="815" spans="1:5" x14ac:dyDescent="0.25">
      <c r="A815">
        <v>8519941</v>
      </c>
      <c r="B815">
        <v>25778601</v>
      </c>
      <c r="C815" s="1">
        <v>42528</v>
      </c>
      <c r="D815" t="s">
        <v>25</v>
      </c>
      <c r="E815" t="str">
        <f>VLOOKUP(TRIM(D815), Catalogo_gestiones!$A:$B, 2, FALSE)</f>
        <v>N</v>
      </c>
    </row>
    <row r="816" spans="1:5" x14ac:dyDescent="0.25">
      <c r="A816">
        <v>8520309</v>
      </c>
      <c r="B816">
        <v>27065353</v>
      </c>
      <c r="C816" s="1">
        <v>42528</v>
      </c>
      <c r="D816" t="s">
        <v>28</v>
      </c>
      <c r="E816" t="str">
        <f>VLOOKUP(TRIM(D816), Catalogo_gestiones!$A:$B, 2, FALSE)</f>
        <v>N</v>
      </c>
    </row>
    <row r="817" spans="1:5" x14ac:dyDescent="0.25">
      <c r="A817">
        <v>8520480</v>
      </c>
      <c r="B817">
        <v>24357359</v>
      </c>
      <c r="C817" s="1">
        <v>42528</v>
      </c>
      <c r="D817" t="s">
        <v>26</v>
      </c>
      <c r="E817" t="str">
        <f>VLOOKUP(TRIM(D817), Catalogo_gestiones!$A:$B, 2, FALSE)</f>
        <v>N</v>
      </c>
    </row>
    <row r="818" spans="1:5" x14ac:dyDescent="0.25">
      <c r="A818">
        <v>8520783</v>
      </c>
      <c r="B818">
        <v>26404064</v>
      </c>
      <c r="C818" s="1">
        <v>42528</v>
      </c>
      <c r="D818" t="s">
        <v>34</v>
      </c>
      <c r="E818" t="str">
        <f>VLOOKUP(TRIM(D818), Catalogo_gestiones!$A:$B, 2, FALSE)</f>
        <v>N</v>
      </c>
    </row>
    <row r="819" spans="1:5" x14ac:dyDescent="0.25">
      <c r="A819">
        <v>8520783</v>
      </c>
      <c r="B819">
        <v>26405918</v>
      </c>
      <c r="C819" s="1">
        <v>42528</v>
      </c>
      <c r="D819" t="s">
        <v>26</v>
      </c>
      <c r="E819" t="str">
        <f>VLOOKUP(TRIM(D819), Catalogo_gestiones!$A:$B, 2, FALSE)</f>
        <v>N</v>
      </c>
    </row>
    <row r="820" spans="1:5" x14ac:dyDescent="0.25">
      <c r="A820">
        <v>8520818</v>
      </c>
      <c r="B820">
        <v>25708940</v>
      </c>
      <c r="C820" s="1">
        <v>42528</v>
      </c>
      <c r="D820" t="s">
        <v>25</v>
      </c>
      <c r="E820" t="str">
        <f>VLOOKUP(TRIM(D820), Catalogo_gestiones!$A:$B, 2, FALSE)</f>
        <v>N</v>
      </c>
    </row>
    <row r="821" spans="1:5" x14ac:dyDescent="0.25">
      <c r="A821">
        <v>8520919</v>
      </c>
      <c r="B821">
        <v>26329105</v>
      </c>
      <c r="C821" s="1">
        <v>42528</v>
      </c>
      <c r="D821" t="s">
        <v>28</v>
      </c>
      <c r="E821" t="str">
        <f>VLOOKUP(TRIM(D821), Catalogo_gestiones!$A:$B, 2, FALSE)</f>
        <v>N</v>
      </c>
    </row>
    <row r="822" spans="1:5" x14ac:dyDescent="0.25">
      <c r="A822">
        <v>8521432</v>
      </c>
      <c r="B822">
        <v>25258052</v>
      </c>
      <c r="C822" s="1">
        <v>42528</v>
      </c>
      <c r="D822" t="s">
        <v>26</v>
      </c>
      <c r="E822" t="str">
        <f>VLOOKUP(TRIM(D822), Catalogo_gestiones!$A:$B, 2, FALSE)</f>
        <v>N</v>
      </c>
    </row>
    <row r="823" spans="1:5" x14ac:dyDescent="0.25">
      <c r="A823">
        <v>8521432</v>
      </c>
      <c r="B823">
        <v>25260267</v>
      </c>
      <c r="C823" s="1">
        <v>42528</v>
      </c>
      <c r="D823" t="s">
        <v>34</v>
      </c>
      <c r="E823" t="str">
        <f>VLOOKUP(TRIM(D823), Catalogo_gestiones!$A:$B, 2, FALSE)</f>
        <v>N</v>
      </c>
    </row>
    <row r="824" spans="1:5" x14ac:dyDescent="0.25">
      <c r="A824">
        <v>8521919</v>
      </c>
      <c r="B824">
        <v>16760544</v>
      </c>
      <c r="C824" s="1">
        <v>42528</v>
      </c>
      <c r="D824" t="s">
        <v>26</v>
      </c>
      <c r="E824" t="str">
        <f>VLOOKUP(TRIM(D824), Catalogo_gestiones!$A:$B, 2, FALSE)</f>
        <v>N</v>
      </c>
    </row>
    <row r="825" spans="1:5" x14ac:dyDescent="0.25">
      <c r="A825">
        <v>8521961</v>
      </c>
      <c r="B825">
        <v>20568876</v>
      </c>
      <c r="C825" s="1">
        <v>42528</v>
      </c>
      <c r="D825" t="s">
        <v>25</v>
      </c>
      <c r="E825" t="str">
        <f>VLOOKUP(TRIM(D825), Catalogo_gestiones!$A:$B, 2, FALSE)</f>
        <v>N</v>
      </c>
    </row>
    <row r="826" spans="1:5" x14ac:dyDescent="0.25">
      <c r="A826">
        <v>8522254</v>
      </c>
      <c r="B826">
        <v>23993880</v>
      </c>
      <c r="C826" s="1">
        <v>42528</v>
      </c>
      <c r="D826" t="s">
        <v>28</v>
      </c>
      <c r="E826" t="str">
        <f>VLOOKUP(TRIM(D826), Catalogo_gestiones!$A:$B, 2, FALSE)</f>
        <v>N</v>
      </c>
    </row>
    <row r="827" spans="1:5" x14ac:dyDescent="0.25">
      <c r="A827">
        <v>8522309</v>
      </c>
      <c r="B827">
        <v>27443938</v>
      </c>
      <c r="C827" s="1">
        <v>42528</v>
      </c>
      <c r="D827" t="s">
        <v>26</v>
      </c>
      <c r="E827" t="str">
        <f>VLOOKUP(TRIM(D827), Catalogo_gestiones!$A:$B, 2, FALSE)</f>
        <v>N</v>
      </c>
    </row>
    <row r="828" spans="1:5" x14ac:dyDescent="0.25">
      <c r="A828">
        <v>8522309</v>
      </c>
      <c r="B828">
        <v>27447199</v>
      </c>
      <c r="C828" s="1">
        <v>42528</v>
      </c>
      <c r="D828" t="s">
        <v>34</v>
      </c>
      <c r="E828" t="str">
        <f>VLOOKUP(TRIM(D828), Catalogo_gestiones!$A:$B, 2, FALSE)</f>
        <v>N</v>
      </c>
    </row>
    <row r="829" spans="1:5" x14ac:dyDescent="0.25">
      <c r="A829">
        <v>8522309</v>
      </c>
      <c r="B829">
        <v>27626239</v>
      </c>
      <c r="C829" s="1">
        <v>42522</v>
      </c>
      <c r="D829" t="s">
        <v>26</v>
      </c>
      <c r="E829" t="str">
        <f>VLOOKUP(TRIM(D829), Catalogo_gestiones!$A:$B, 2, FALSE)</f>
        <v>N</v>
      </c>
    </row>
    <row r="830" spans="1:5" x14ac:dyDescent="0.25">
      <c r="A830">
        <v>8522458</v>
      </c>
      <c r="B830">
        <v>21683437</v>
      </c>
      <c r="C830" s="1">
        <v>42528</v>
      </c>
      <c r="D830" t="s">
        <v>25</v>
      </c>
      <c r="E830" t="str">
        <f>VLOOKUP(TRIM(D830), Catalogo_gestiones!$A:$B, 2, FALSE)</f>
        <v>N</v>
      </c>
    </row>
    <row r="831" spans="1:5" x14ac:dyDescent="0.25">
      <c r="A831">
        <v>8522462</v>
      </c>
      <c r="B831">
        <v>26162718</v>
      </c>
      <c r="C831" s="1">
        <v>42528</v>
      </c>
      <c r="D831" t="s">
        <v>28</v>
      </c>
      <c r="E831" t="str">
        <f>VLOOKUP(TRIM(D831), Catalogo_gestiones!$A:$B, 2, FALSE)</f>
        <v>N</v>
      </c>
    </row>
    <row r="832" spans="1:5" x14ac:dyDescent="0.25">
      <c r="A832">
        <v>8522957</v>
      </c>
      <c r="B832">
        <v>22516258</v>
      </c>
      <c r="C832" s="1">
        <v>42528</v>
      </c>
      <c r="D832" t="s">
        <v>26</v>
      </c>
      <c r="E832" t="str">
        <f>VLOOKUP(TRIM(D832), Catalogo_gestiones!$A:$B, 2, FALSE)</f>
        <v>N</v>
      </c>
    </row>
    <row r="833" spans="1:5" x14ac:dyDescent="0.25">
      <c r="A833">
        <v>8522957</v>
      </c>
      <c r="B833">
        <v>22516382</v>
      </c>
      <c r="C833" s="1">
        <v>42528</v>
      </c>
      <c r="D833" t="s">
        <v>34</v>
      </c>
      <c r="E833" t="str">
        <f>VLOOKUP(TRIM(D833), Catalogo_gestiones!$A:$B, 2, FALSE)</f>
        <v>N</v>
      </c>
    </row>
    <row r="834" spans="1:5" x14ac:dyDescent="0.25">
      <c r="A834">
        <v>8523040</v>
      </c>
      <c r="B834">
        <v>26197937</v>
      </c>
      <c r="C834" s="1">
        <v>42528</v>
      </c>
      <c r="D834" t="s">
        <v>26</v>
      </c>
      <c r="E834" t="str">
        <f>VLOOKUP(TRIM(D834), Catalogo_gestiones!$A:$B, 2, FALSE)</f>
        <v>N</v>
      </c>
    </row>
    <row r="835" spans="1:5" x14ac:dyDescent="0.25">
      <c r="A835">
        <v>8523124</v>
      </c>
      <c r="B835">
        <v>26225662</v>
      </c>
      <c r="C835" s="1">
        <v>42528</v>
      </c>
      <c r="D835" t="s">
        <v>25</v>
      </c>
      <c r="E835" t="str">
        <f>VLOOKUP(TRIM(D835), Catalogo_gestiones!$A:$B, 2, FALSE)</f>
        <v>N</v>
      </c>
    </row>
    <row r="836" spans="1:5" x14ac:dyDescent="0.25">
      <c r="A836">
        <v>8523205</v>
      </c>
      <c r="B836">
        <v>22375306</v>
      </c>
      <c r="C836" s="1">
        <v>42528</v>
      </c>
      <c r="D836" t="s">
        <v>28</v>
      </c>
      <c r="E836" t="str">
        <f>VLOOKUP(TRIM(D836), Catalogo_gestiones!$A:$B, 2, FALSE)</f>
        <v>N</v>
      </c>
    </row>
    <row r="837" spans="1:5" x14ac:dyDescent="0.25">
      <c r="A837">
        <v>8523205</v>
      </c>
      <c r="B837">
        <v>24912565</v>
      </c>
      <c r="C837" s="1">
        <v>42528</v>
      </c>
      <c r="D837" t="s">
        <v>26</v>
      </c>
      <c r="E837" t="str">
        <f>VLOOKUP(TRIM(D837), Catalogo_gestiones!$A:$B, 2, FALSE)</f>
        <v>N</v>
      </c>
    </row>
    <row r="838" spans="1:5" x14ac:dyDescent="0.25">
      <c r="A838">
        <v>8523520</v>
      </c>
      <c r="B838">
        <v>1377705</v>
      </c>
      <c r="C838" s="1">
        <v>42528</v>
      </c>
      <c r="D838" t="s">
        <v>34</v>
      </c>
      <c r="E838" t="str">
        <f>VLOOKUP(TRIM(D838), Catalogo_gestiones!$A:$B, 2, FALSE)</f>
        <v>N</v>
      </c>
    </row>
    <row r="839" spans="1:5" x14ac:dyDescent="0.25">
      <c r="A839">
        <v>8523859</v>
      </c>
      <c r="B839">
        <v>22375306</v>
      </c>
      <c r="C839" s="1">
        <v>42528</v>
      </c>
      <c r="D839" t="s">
        <v>26</v>
      </c>
      <c r="E839" t="str">
        <f>VLOOKUP(TRIM(D839), Catalogo_gestiones!$A:$B, 2, FALSE)</f>
        <v>N</v>
      </c>
    </row>
    <row r="840" spans="1:5" x14ac:dyDescent="0.25">
      <c r="A840">
        <v>8523897</v>
      </c>
      <c r="B840">
        <v>19889218</v>
      </c>
      <c r="C840" s="1">
        <v>42528</v>
      </c>
      <c r="D840" t="s">
        <v>25</v>
      </c>
      <c r="E840" t="str">
        <f>VLOOKUP(TRIM(D840), Catalogo_gestiones!$A:$B, 2, FALSE)</f>
        <v>N</v>
      </c>
    </row>
    <row r="841" spans="1:5" x14ac:dyDescent="0.25">
      <c r="A841">
        <v>8524048</v>
      </c>
      <c r="B841">
        <v>23295919</v>
      </c>
      <c r="C841" s="1">
        <v>42524</v>
      </c>
      <c r="D841" t="s">
        <v>28</v>
      </c>
      <c r="E841" t="str">
        <f>VLOOKUP(TRIM(D841), Catalogo_gestiones!$A:$B, 2, FALSE)</f>
        <v>N</v>
      </c>
    </row>
    <row r="842" spans="1:5" x14ac:dyDescent="0.25">
      <c r="A842">
        <v>8524070</v>
      </c>
      <c r="B842">
        <v>15357610</v>
      </c>
      <c r="C842" s="1">
        <v>42528</v>
      </c>
      <c r="D842" t="s">
        <v>26</v>
      </c>
      <c r="E842" t="str">
        <f>VLOOKUP(TRIM(D842), Catalogo_gestiones!$A:$B, 2, FALSE)</f>
        <v>N</v>
      </c>
    </row>
    <row r="843" spans="1:5" x14ac:dyDescent="0.25">
      <c r="A843">
        <v>8524404</v>
      </c>
      <c r="B843">
        <v>19536723</v>
      </c>
      <c r="C843" s="1">
        <v>42528</v>
      </c>
      <c r="D843" t="s">
        <v>34</v>
      </c>
      <c r="E843" t="str">
        <f>VLOOKUP(TRIM(D843), Catalogo_gestiones!$A:$B, 2, FALSE)</f>
        <v>N</v>
      </c>
    </row>
    <row r="844" spans="1:5" x14ac:dyDescent="0.25">
      <c r="A844">
        <v>8524784</v>
      </c>
      <c r="B844">
        <v>27962052</v>
      </c>
      <c r="C844" s="1">
        <v>42528</v>
      </c>
      <c r="D844" t="s">
        <v>26</v>
      </c>
      <c r="E844" t="str">
        <f>VLOOKUP(TRIM(D844), Catalogo_gestiones!$A:$B, 2, FALSE)</f>
        <v>N</v>
      </c>
    </row>
    <row r="845" spans="1:5" x14ac:dyDescent="0.25">
      <c r="A845">
        <v>8524793</v>
      </c>
      <c r="B845">
        <v>21416546</v>
      </c>
      <c r="C845" s="1">
        <v>42528</v>
      </c>
      <c r="D845" t="s">
        <v>25</v>
      </c>
      <c r="E845" t="str">
        <f>VLOOKUP(TRIM(D845), Catalogo_gestiones!$A:$B, 2, FALSE)</f>
        <v>N</v>
      </c>
    </row>
    <row r="846" spans="1:5" x14ac:dyDescent="0.25">
      <c r="A846">
        <v>8524805</v>
      </c>
      <c r="B846">
        <v>21648150</v>
      </c>
      <c r="C846" s="1">
        <v>42528</v>
      </c>
      <c r="D846" t="s">
        <v>28</v>
      </c>
      <c r="E846" t="str">
        <f>VLOOKUP(TRIM(D846), Catalogo_gestiones!$A:$B, 2, FALSE)</f>
        <v>N</v>
      </c>
    </row>
    <row r="847" spans="1:5" x14ac:dyDescent="0.25">
      <c r="A847">
        <v>8524847</v>
      </c>
      <c r="B847">
        <v>22738834</v>
      </c>
      <c r="C847" s="1">
        <v>42528</v>
      </c>
      <c r="D847" t="s">
        <v>26</v>
      </c>
      <c r="E847" t="str">
        <f>VLOOKUP(TRIM(D847), Catalogo_gestiones!$A:$B, 2, FALSE)</f>
        <v>N</v>
      </c>
    </row>
    <row r="848" spans="1:5" x14ac:dyDescent="0.25">
      <c r="A848">
        <v>8524847</v>
      </c>
      <c r="B848">
        <v>26782857</v>
      </c>
      <c r="C848" s="1">
        <v>42528</v>
      </c>
      <c r="D848" t="s">
        <v>34</v>
      </c>
      <c r="E848" t="str">
        <f>VLOOKUP(TRIM(D848), Catalogo_gestiones!$A:$B, 2, FALSE)</f>
        <v>N</v>
      </c>
    </row>
    <row r="849" spans="1:5" x14ac:dyDescent="0.25">
      <c r="A849">
        <v>8525305</v>
      </c>
      <c r="B849">
        <v>18744641</v>
      </c>
      <c r="C849" s="1">
        <v>42528</v>
      </c>
      <c r="D849" t="s">
        <v>26</v>
      </c>
      <c r="E849" t="str">
        <f>VLOOKUP(TRIM(D849), Catalogo_gestiones!$A:$B, 2, FALSE)</f>
        <v>N</v>
      </c>
    </row>
    <row r="850" spans="1:5" x14ac:dyDescent="0.25">
      <c r="A850">
        <v>8525340</v>
      </c>
      <c r="B850">
        <v>10637802</v>
      </c>
      <c r="C850" s="1">
        <v>42528</v>
      </c>
      <c r="D850" t="s">
        <v>25</v>
      </c>
      <c r="E850" t="str">
        <f>VLOOKUP(TRIM(D850), Catalogo_gestiones!$A:$B, 2, FALSE)</f>
        <v>N</v>
      </c>
    </row>
    <row r="851" spans="1:5" x14ac:dyDescent="0.25">
      <c r="A851">
        <v>8525340</v>
      </c>
      <c r="B851">
        <v>10638085</v>
      </c>
      <c r="C851" s="1">
        <v>42528</v>
      </c>
      <c r="D851" t="s">
        <v>28</v>
      </c>
      <c r="E851" t="str">
        <f>VLOOKUP(TRIM(D851), Catalogo_gestiones!$A:$B, 2, FALSE)</f>
        <v>N</v>
      </c>
    </row>
    <row r="852" spans="1:5" x14ac:dyDescent="0.25">
      <c r="A852">
        <v>8525418</v>
      </c>
      <c r="B852">
        <v>26225873</v>
      </c>
      <c r="C852" s="1">
        <v>42528</v>
      </c>
      <c r="D852" t="s">
        <v>26</v>
      </c>
      <c r="E852" t="str">
        <f>VLOOKUP(TRIM(D852), Catalogo_gestiones!$A:$B, 2, FALSE)</f>
        <v>N</v>
      </c>
    </row>
    <row r="853" spans="1:5" x14ac:dyDescent="0.25">
      <c r="A853">
        <v>8525718</v>
      </c>
      <c r="B853">
        <v>26653538</v>
      </c>
      <c r="C853" s="1">
        <v>42528</v>
      </c>
      <c r="D853" t="s">
        <v>34</v>
      </c>
      <c r="E853" t="str">
        <f>VLOOKUP(TRIM(D853), Catalogo_gestiones!$A:$B, 2, FALSE)</f>
        <v>N</v>
      </c>
    </row>
    <row r="854" spans="1:5" x14ac:dyDescent="0.25">
      <c r="A854">
        <v>8525766</v>
      </c>
      <c r="B854">
        <v>27984804</v>
      </c>
      <c r="C854" s="1">
        <v>42528</v>
      </c>
      <c r="D854" t="s">
        <v>26</v>
      </c>
      <c r="E854" t="str">
        <f>VLOOKUP(TRIM(D854), Catalogo_gestiones!$A:$B, 2, FALSE)</f>
        <v>N</v>
      </c>
    </row>
    <row r="855" spans="1:5" x14ac:dyDescent="0.25">
      <c r="A855">
        <v>8526274</v>
      </c>
      <c r="B855">
        <v>21202055</v>
      </c>
      <c r="C855" s="1">
        <v>42528</v>
      </c>
      <c r="D855" t="s">
        <v>25</v>
      </c>
      <c r="E855" t="str">
        <f>VLOOKUP(TRIM(D855), Catalogo_gestiones!$A:$B, 2, FALSE)</f>
        <v>N</v>
      </c>
    </row>
    <row r="856" spans="1:5" x14ac:dyDescent="0.25">
      <c r="A856">
        <v>8526376</v>
      </c>
      <c r="B856">
        <v>27672437</v>
      </c>
      <c r="C856" s="1">
        <v>42528</v>
      </c>
      <c r="D856" t="s">
        <v>28</v>
      </c>
      <c r="E856" t="str">
        <f>VLOOKUP(TRIM(D856), Catalogo_gestiones!$A:$B, 2, FALSE)</f>
        <v>N</v>
      </c>
    </row>
    <row r="857" spans="1:5" x14ac:dyDescent="0.25">
      <c r="A857">
        <v>8549511</v>
      </c>
      <c r="B857">
        <v>15077029</v>
      </c>
      <c r="C857" s="1">
        <v>42529</v>
      </c>
      <c r="D857" t="s">
        <v>26</v>
      </c>
      <c r="E857" t="str">
        <f>VLOOKUP(TRIM(D857), Catalogo_gestiones!$A:$B, 2, FALSE)</f>
        <v>N</v>
      </c>
    </row>
    <row r="858" spans="1:5" x14ac:dyDescent="0.25">
      <c r="A858">
        <v>8549511</v>
      </c>
      <c r="B858">
        <v>27542907</v>
      </c>
      <c r="C858" s="1">
        <v>42528</v>
      </c>
      <c r="D858" t="s">
        <v>34</v>
      </c>
      <c r="E858" t="str">
        <f>VLOOKUP(TRIM(D858), Catalogo_gestiones!$A:$B, 2, FALSE)</f>
        <v>N</v>
      </c>
    </row>
    <row r="859" spans="1:5" x14ac:dyDescent="0.25">
      <c r="A859">
        <v>8549588</v>
      </c>
      <c r="B859">
        <v>24223502</v>
      </c>
      <c r="C859" s="1">
        <v>42528</v>
      </c>
      <c r="D859" t="s">
        <v>26</v>
      </c>
      <c r="E859" t="str">
        <f>VLOOKUP(TRIM(D859), Catalogo_gestiones!$A:$B, 2, FALSE)</f>
        <v>N</v>
      </c>
    </row>
    <row r="860" spans="1:5" x14ac:dyDescent="0.25">
      <c r="A860">
        <v>8549887</v>
      </c>
      <c r="B860">
        <v>23896168</v>
      </c>
      <c r="C860" s="1">
        <v>42528</v>
      </c>
      <c r="D860" t="s">
        <v>25</v>
      </c>
      <c r="E860" t="str">
        <f>VLOOKUP(TRIM(D860), Catalogo_gestiones!$A:$B, 2, FALSE)</f>
        <v>N</v>
      </c>
    </row>
    <row r="861" spans="1:5" x14ac:dyDescent="0.25">
      <c r="A861">
        <v>8550032</v>
      </c>
      <c r="B861">
        <v>23865163</v>
      </c>
      <c r="C861" s="1">
        <v>42528</v>
      </c>
      <c r="D861" t="s">
        <v>28</v>
      </c>
      <c r="E861" t="str">
        <f>VLOOKUP(TRIM(D861), Catalogo_gestiones!$A:$B, 2, FALSE)</f>
        <v>N</v>
      </c>
    </row>
    <row r="862" spans="1:5" x14ac:dyDescent="0.25">
      <c r="A862">
        <v>8550032</v>
      </c>
      <c r="B862">
        <v>26664605</v>
      </c>
      <c r="C862" s="1">
        <v>42528</v>
      </c>
      <c r="D862" t="s">
        <v>26</v>
      </c>
      <c r="E862" t="str">
        <f>VLOOKUP(TRIM(D862), Catalogo_gestiones!$A:$B, 2, FALSE)</f>
        <v>N</v>
      </c>
    </row>
    <row r="863" spans="1:5" x14ac:dyDescent="0.25">
      <c r="A863">
        <v>8550135</v>
      </c>
      <c r="B863">
        <v>23836912</v>
      </c>
      <c r="C863" s="1">
        <v>42528</v>
      </c>
      <c r="D863" t="s">
        <v>34</v>
      </c>
      <c r="E863" t="str">
        <f>VLOOKUP(TRIM(D863), Catalogo_gestiones!$A:$B, 2, FALSE)</f>
        <v>N</v>
      </c>
    </row>
    <row r="864" spans="1:5" x14ac:dyDescent="0.25">
      <c r="A864">
        <v>8550135</v>
      </c>
      <c r="B864">
        <v>25353899</v>
      </c>
      <c r="C864" s="1">
        <v>42528</v>
      </c>
      <c r="D864" t="s">
        <v>26</v>
      </c>
      <c r="E864" t="str">
        <f>VLOOKUP(TRIM(D864), Catalogo_gestiones!$A:$B, 2, FALSE)</f>
        <v>N</v>
      </c>
    </row>
    <row r="865" spans="1:5" x14ac:dyDescent="0.25">
      <c r="A865">
        <v>8550135</v>
      </c>
      <c r="B865">
        <v>26223205</v>
      </c>
      <c r="C865" s="1">
        <v>42528</v>
      </c>
      <c r="D865" t="s">
        <v>25</v>
      </c>
      <c r="E865" t="str">
        <f>VLOOKUP(TRIM(D865), Catalogo_gestiones!$A:$B, 2, FALSE)</f>
        <v>N</v>
      </c>
    </row>
    <row r="866" spans="1:5" x14ac:dyDescent="0.25">
      <c r="A866">
        <v>8550135</v>
      </c>
      <c r="B866">
        <v>26235241</v>
      </c>
      <c r="C866" s="1">
        <v>42528</v>
      </c>
      <c r="D866" t="s">
        <v>28</v>
      </c>
      <c r="E866" t="str">
        <f>VLOOKUP(TRIM(D866), Catalogo_gestiones!$A:$B, 2, FALSE)</f>
        <v>N</v>
      </c>
    </row>
    <row r="867" spans="1:5" x14ac:dyDescent="0.25">
      <c r="A867">
        <v>8550135</v>
      </c>
      <c r="B867">
        <v>27107473</v>
      </c>
      <c r="C867" s="1">
        <v>42528</v>
      </c>
      <c r="D867" t="s">
        <v>26</v>
      </c>
      <c r="E867" t="str">
        <f>VLOOKUP(TRIM(D867), Catalogo_gestiones!$A:$B, 2, FALSE)</f>
        <v>N</v>
      </c>
    </row>
    <row r="868" spans="1:5" x14ac:dyDescent="0.25">
      <c r="A868">
        <v>8550284</v>
      </c>
      <c r="B868">
        <v>21382277</v>
      </c>
      <c r="C868" s="1">
        <v>42528</v>
      </c>
      <c r="D868" t="s">
        <v>34</v>
      </c>
      <c r="E868" t="str">
        <f>VLOOKUP(TRIM(D868), Catalogo_gestiones!$A:$B, 2, FALSE)</f>
        <v>N</v>
      </c>
    </row>
    <row r="869" spans="1:5" x14ac:dyDescent="0.25">
      <c r="A869">
        <v>8550284</v>
      </c>
      <c r="B869">
        <v>25923127</v>
      </c>
      <c r="C869" s="1">
        <v>42528</v>
      </c>
      <c r="D869" t="s">
        <v>26</v>
      </c>
      <c r="E869" t="str">
        <f>VLOOKUP(TRIM(D869), Catalogo_gestiones!$A:$B, 2, FALSE)</f>
        <v>N</v>
      </c>
    </row>
    <row r="870" spans="1:5" x14ac:dyDescent="0.25">
      <c r="A870">
        <v>8550298</v>
      </c>
      <c r="B870">
        <v>28167696</v>
      </c>
      <c r="C870" s="1">
        <v>42528</v>
      </c>
      <c r="D870" t="s">
        <v>25</v>
      </c>
      <c r="E870" t="str">
        <f>VLOOKUP(TRIM(D870), Catalogo_gestiones!$A:$B, 2, FALSE)</f>
        <v>N</v>
      </c>
    </row>
    <row r="871" spans="1:5" x14ac:dyDescent="0.25">
      <c r="A871">
        <v>8550305</v>
      </c>
      <c r="B871">
        <v>23926491</v>
      </c>
      <c r="C871" s="1">
        <v>42528</v>
      </c>
      <c r="D871" t="s">
        <v>28</v>
      </c>
      <c r="E871" t="str">
        <f>VLOOKUP(TRIM(D871), Catalogo_gestiones!$A:$B, 2, FALSE)</f>
        <v>N</v>
      </c>
    </row>
    <row r="872" spans="1:5" x14ac:dyDescent="0.25">
      <c r="A872">
        <v>8550332</v>
      </c>
      <c r="B872">
        <v>23318244</v>
      </c>
      <c r="C872" s="1">
        <v>42528</v>
      </c>
      <c r="D872" t="s">
        <v>26</v>
      </c>
      <c r="E872" t="str">
        <f>VLOOKUP(TRIM(D872), Catalogo_gestiones!$A:$B, 2, FALSE)</f>
        <v>N</v>
      </c>
    </row>
    <row r="873" spans="1:5" x14ac:dyDescent="0.25">
      <c r="A873">
        <v>8550332</v>
      </c>
      <c r="B873">
        <v>24814717</v>
      </c>
      <c r="C873" s="1">
        <v>42528</v>
      </c>
      <c r="D873" t="s">
        <v>34</v>
      </c>
      <c r="E873" t="str">
        <f>VLOOKUP(TRIM(D873), Catalogo_gestiones!$A:$B, 2, FALSE)</f>
        <v>N</v>
      </c>
    </row>
    <row r="874" spans="1:5" x14ac:dyDescent="0.25">
      <c r="A874">
        <v>8550436</v>
      </c>
      <c r="B874">
        <v>25269400</v>
      </c>
      <c r="C874" s="1">
        <v>42528</v>
      </c>
      <c r="D874" t="s">
        <v>26</v>
      </c>
      <c r="E874" t="str">
        <f>VLOOKUP(TRIM(D874), Catalogo_gestiones!$A:$B, 2, FALSE)</f>
        <v>N</v>
      </c>
    </row>
    <row r="875" spans="1:5" x14ac:dyDescent="0.25">
      <c r="A875">
        <v>8550436</v>
      </c>
      <c r="B875">
        <v>25270150</v>
      </c>
      <c r="C875" s="1">
        <v>42528</v>
      </c>
      <c r="D875" t="s">
        <v>25</v>
      </c>
      <c r="E875" t="str">
        <f>VLOOKUP(TRIM(D875), Catalogo_gestiones!$A:$B, 2, FALSE)</f>
        <v>N</v>
      </c>
    </row>
    <row r="876" spans="1:5" x14ac:dyDescent="0.25">
      <c r="A876">
        <v>8550484</v>
      </c>
      <c r="B876">
        <v>26911994</v>
      </c>
      <c r="C876" s="1">
        <v>42524</v>
      </c>
      <c r="D876" t="s">
        <v>28</v>
      </c>
      <c r="E876" t="str">
        <f>VLOOKUP(TRIM(D876), Catalogo_gestiones!$A:$B, 2, FALSE)</f>
        <v>N</v>
      </c>
    </row>
    <row r="877" spans="1:5" x14ac:dyDescent="0.25">
      <c r="A877">
        <v>8550513</v>
      </c>
      <c r="B877">
        <v>12130935</v>
      </c>
      <c r="C877" s="1">
        <v>42528</v>
      </c>
      <c r="D877" t="s">
        <v>26</v>
      </c>
      <c r="E877" t="str">
        <f>VLOOKUP(TRIM(D877), Catalogo_gestiones!$A:$B, 2, FALSE)</f>
        <v>N</v>
      </c>
    </row>
    <row r="878" spans="1:5" x14ac:dyDescent="0.25">
      <c r="A878">
        <v>8550513</v>
      </c>
      <c r="B878">
        <v>23977900</v>
      </c>
      <c r="C878" s="1">
        <v>42528</v>
      </c>
      <c r="D878" t="s">
        <v>34</v>
      </c>
      <c r="E878" t="str">
        <f>VLOOKUP(TRIM(D878), Catalogo_gestiones!$A:$B, 2, FALSE)</f>
        <v>N</v>
      </c>
    </row>
    <row r="879" spans="1:5" x14ac:dyDescent="0.25">
      <c r="A879">
        <v>8550753</v>
      </c>
      <c r="B879">
        <v>21386180</v>
      </c>
      <c r="C879" s="1">
        <v>42528</v>
      </c>
      <c r="D879" t="s">
        <v>26</v>
      </c>
      <c r="E879" t="str">
        <f>VLOOKUP(TRIM(D879), Catalogo_gestiones!$A:$B, 2, FALSE)</f>
        <v>N</v>
      </c>
    </row>
    <row r="880" spans="1:5" x14ac:dyDescent="0.25">
      <c r="A880">
        <v>8550900</v>
      </c>
      <c r="B880">
        <v>19225430</v>
      </c>
      <c r="C880" s="1">
        <v>42528</v>
      </c>
      <c r="D880" t="s">
        <v>25</v>
      </c>
      <c r="E880" t="str">
        <f>VLOOKUP(TRIM(D880), Catalogo_gestiones!$A:$B, 2, FALSE)</f>
        <v>N</v>
      </c>
    </row>
    <row r="881" spans="1:5" x14ac:dyDescent="0.25">
      <c r="A881">
        <v>8551082</v>
      </c>
      <c r="B881">
        <v>26878877</v>
      </c>
      <c r="C881" s="1">
        <v>42528</v>
      </c>
      <c r="D881" t="s">
        <v>28</v>
      </c>
      <c r="E881" t="str">
        <f>VLOOKUP(TRIM(D881), Catalogo_gestiones!$A:$B, 2, FALSE)</f>
        <v>N</v>
      </c>
    </row>
    <row r="882" spans="1:5" x14ac:dyDescent="0.25">
      <c r="A882">
        <v>8551304</v>
      </c>
      <c r="B882">
        <v>27672818</v>
      </c>
      <c r="C882" s="1">
        <v>42528</v>
      </c>
      <c r="D882" t="s">
        <v>26</v>
      </c>
      <c r="E882" t="str">
        <f>VLOOKUP(TRIM(D882), Catalogo_gestiones!$A:$B, 2, FALSE)</f>
        <v>N</v>
      </c>
    </row>
    <row r="883" spans="1:5" x14ac:dyDescent="0.25">
      <c r="A883">
        <v>8551392</v>
      </c>
      <c r="B883">
        <v>26555103</v>
      </c>
      <c r="C883" s="1">
        <v>42528</v>
      </c>
      <c r="D883" t="s">
        <v>34</v>
      </c>
      <c r="E883" t="str">
        <f>VLOOKUP(TRIM(D883), Catalogo_gestiones!$A:$B, 2, FALSE)</f>
        <v>N</v>
      </c>
    </row>
    <row r="884" spans="1:5" x14ac:dyDescent="0.25">
      <c r="A884">
        <v>8551680</v>
      </c>
      <c r="B884">
        <v>23582216</v>
      </c>
      <c r="C884" s="1">
        <v>42528</v>
      </c>
      <c r="D884" t="s">
        <v>26</v>
      </c>
      <c r="E884" t="str">
        <f>VLOOKUP(TRIM(D884), Catalogo_gestiones!$A:$B, 2, FALSE)</f>
        <v>N</v>
      </c>
    </row>
    <row r="885" spans="1:5" x14ac:dyDescent="0.25">
      <c r="A885">
        <v>8551730</v>
      </c>
      <c r="B885">
        <v>25786927</v>
      </c>
      <c r="C885" s="1">
        <v>42528</v>
      </c>
      <c r="D885" t="s">
        <v>25</v>
      </c>
      <c r="E885" t="str">
        <f>VLOOKUP(TRIM(D885), Catalogo_gestiones!$A:$B, 2, FALSE)</f>
        <v>N</v>
      </c>
    </row>
    <row r="886" spans="1:5" x14ac:dyDescent="0.25">
      <c r="A886">
        <v>8551730</v>
      </c>
      <c r="B886">
        <v>28186038</v>
      </c>
      <c r="C886" s="1">
        <v>42523</v>
      </c>
      <c r="D886" t="s">
        <v>28</v>
      </c>
      <c r="E886" t="str">
        <f>VLOOKUP(TRIM(D886), Catalogo_gestiones!$A:$B, 2, FALSE)</f>
        <v>N</v>
      </c>
    </row>
    <row r="887" spans="1:5" x14ac:dyDescent="0.25">
      <c r="A887">
        <v>8552223</v>
      </c>
      <c r="B887">
        <v>25178462</v>
      </c>
      <c r="C887" s="1">
        <v>42528</v>
      </c>
      <c r="D887" t="s">
        <v>26</v>
      </c>
      <c r="E887" t="str">
        <f>VLOOKUP(TRIM(D887), Catalogo_gestiones!$A:$B, 2, FALSE)</f>
        <v>N</v>
      </c>
    </row>
    <row r="888" spans="1:5" x14ac:dyDescent="0.25">
      <c r="A888">
        <v>8552331</v>
      </c>
      <c r="B888">
        <v>22221367</v>
      </c>
      <c r="C888" s="1">
        <v>42528</v>
      </c>
      <c r="D888" t="s">
        <v>34</v>
      </c>
      <c r="E888" t="str">
        <f>VLOOKUP(TRIM(D888), Catalogo_gestiones!$A:$B, 2, FALSE)</f>
        <v>N</v>
      </c>
    </row>
    <row r="889" spans="1:5" x14ac:dyDescent="0.25">
      <c r="A889">
        <v>8552331</v>
      </c>
      <c r="B889">
        <v>23982519</v>
      </c>
      <c r="C889" s="1">
        <v>42528</v>
      </c>
      <c r="D889" t="s">
        <v>26</v>
      </c>
      <c r="E889" t="str">
        <f>VLOOKUP(TRIM(D889), Catalogo_gestiones!$A:$B, 2, FALSE)</f>
        <v>N</v>
      </c>
    </row>
    <row r="890" spans="1:5" x14ac:dyDescent="0.25">
      <c r="A890">
        <v>8552331</v>
      </c>
      <c r="B890">
        <v>23983643</v>
      </c>
      <c r="C890" s="1">
        <v>42528</v>
      </c>
      <c r="D890" t="s">
        <v>25</v>
      </c>
      <c r="E890" t="str">
        <f>VLOOKUP(TRIM(D890), Catalogo_gestiones!$A:$B, 2, FALSE)</f>
        <v>N</v>
      </c>
    </row>
    <row r="891" spans="1:5" x14ac:dyDescent="0.25">
      <c r="A891">
        <v>8552345</v>
      </c>
      <c r="B891">
        <v>23758783</v>
      </c>
      <c r="C891" s="1">
        <v>42529</v>
      </c>
      <c r="D891" t="s">
        <v>28</v>
      </c>
      <c r="E891" t="str">
        <f>VLOOKUP(TRIM(D891), Catalogo_gestiones!$A:$B, 2, FALSE)</f>
        <v>N</v>
      </c>
    </row>
    <row r="892" spans="1:5" x14ac:dyDescent="0.25">
      <c r="A892">
        <v>8552345</v>
      </c>
      <c r="B892">
        <v>27755148</v>
      </c>
      <c r="C892" s="1">
        <v>42528</v>
      </c>
      <c r="D892" t="s">
        <v>26</v>
      </c>
      <c r="E892" t="str">
        <f>VLOOKUP(TRIM(D892), Catalogo_gestiones!$A:$B, 2, FALSE)</f>
        <v>N</v>
      </c>
    </row>
    <row r="893" spans="1:5" x14ac:dyDescent="0.25">
      <c r="A893">
        <v>8552450</v>
      </c>
      <c r="B893">
        <v>21386195</v>
      </c>
      <c r="C893" s="1">
        <v>42522</v>
      </c>
      <c r="D893" t="s">
        <v>34</v>
      </c>
      <c r="E893" t="str">
        <f>VLOOKUP(TRIM(D893), Catalogo_gestiones!$A:$B, 2, FALSE)</f>
        <v>N</v>
      </c>
    </row>
    <row r="894" spans="1:5" x14ac:dyDescent="0.25">
      <c r="A894">
        <v>8552462</v>
      </c>
      <c r="B894">
        <v>25300456</v>
      </c>
      <c r="C894" s="1">
        <v>42528</v>
      </c>
      <c r="D894" t="s">
        <v>26</v>
      </c>
      <c r="E894" t="str">
        <f>VLOOKUP(TRIM(D894), Catalogo_gestiones!$A:$B, 2, FALSE)</f>
        <v>N</v>
      </c>
    </row>
    <row r="895" spans="1:5" x14ac:dyDescent="0.25">
      <c r="A895">
        <v>8552479</v>
      </c>
      <c r="B895">
        <v>25963393</v>
      </c>
      <c r="C895" s="1">
        <v>42528</v>
      </c>
      <c r="D895" t="s">
        <v>25</v>
      </c>
      <c r="E895" t="str">
        <f>VLOOKUP(TRIM(D895), Catalogo_gestiones!$A:$B, 2, FALSE)</f>
        <v>N</v>
      </c>
    </row>
    <row r="896" spans="1:5" x14ac:dyDescent="0.25">
      <c r="A896">
        <v>8552611</v>
      </c>
      <c r="B896">
        <v>26725212</v>
      </c>
      <c r="C896" s="1">
        <v>42528</v>
      </c>
      <c r="D896" t="s">
        <v>28</v>
      </c>
      <c r="E896" t="str">
        <f>VLOOKUP(TRIM(D896), Catalogo_gestiones!$A:$B, 2, FALSE)</f>
        <v>N</v>
      </c>
    </row>
    <row r="897" spans="1:5" x14ac:dyDescent="0.25">
      <c r="A897">
        <v>8552611</v>
      </c>
      <c r="B897">
        <v>27290206</v>
      </c>
      <c r="C897" s="1">
        <v>42528</v>
      </c>
      <c r="D897" t="s">
        <v>26</v>
      </c>
      <c r="E897" t="str">
        <f>VLOOKUP(TRIM(D897), Catalogo_gestiones!$A:$B, 2, FALSE)</f>
        <v>N</v>
      </c>
    </row>
    <row r="898" spans="1:5" x14ac:dyDescent="0.25">
      <c r="A898">
        <v>8552858</v>
      </c>
      <c r="B898">
        <v>4734571</v>
      </c>
      <c r="C898" s="1">
        <v>42528</v>
      </c>
      <c r="D898" t="s">
        <v>34</v>
      </c>
      <c r="E898" t="str">
        <f>VLOOKUP(TRIM(D898), Catalogo_gestiones!$A:$B, 2, FALSE)</f>
        <v>N</v>
      </c>
    </row>
    <row r="899" spans="1:5" x14ac:dyDescent="0.25">
      <c r="A899">
        <v>8552858</v>
      </c>
      <c r="B899">
        <v>21710039</v>
      </c>
      <c r="C899" s="1">
        <v>42528</v>
      </c>
      <c r="D899" t="s">
        <v>26</v>
      </c>
      <c r="E899" t="str">
        <f>VLOOKUP(TRIM(D899), Catalogo_gestiones!$A:$B, 2, FALSE)</f>
        <v>N</v>
      </c>
    </row>
    <row r="900" spans="1:5" x14ac:dyDescent="0.25">
      <c r="A900">
        <v>8552858</v>
      </c>
      <c r="B900">
        <v>28584622</v>
      </c>
      <c r="C900" s="1">
        <v>42524</v>
      </c>
      <c r="D900" t="s">
        <v>25</v>
      </c>
      <c r="E900" t="str">
        <f>VLOOKUP(TRIM(D900), Catalogo_gestiones!$A:$B, 2, FALSE)</f>
        <v>N</v>
      </c>
    </row>
    <row r="901" spans="1:5" x14ac:dyDescent="0.25">
      <c r="A901">
        <v>8552898</v>
      </c>
      <c r="B901">
        <v>4715262</v>
      </c>
      <c r="C901" s="1">
        <v>42522</v>
      </c>
      <c r="D901" t="s">
        <v>28</v>
      </c>
      <c r="E901" t="str">
        <f>VLOOKUP(TRIM(D901), Catalogo_gestiones!$A:$B, 2, FALSE)</f>
        <v>N</v>
      </c>
    </row>
    <row r="902" spans="1:5" x14ac:dyDescent="0.25">
      <c r="A902">
        <v>8553096</v>
      </c>
      <c r="B902">
        <v>27552740</v>
      </c>
      <c r="C902" s="1">
        <v>42528</v>
      </c>
      <c r="D902" t="s">
        <v>26</v>
      </c>
      <c r="E902" t="str">
        <f>VLOOKUP(TRIM(D902), Catalogo_gestiones!$A:$B, 2, FALSE)</f>
        <v>N</v>
      </c>
    </row>
    <row r="903" spans="1:5" x14ac:dyDescent="0.25">
      <c r="A903">
        <v>8553189</v>
      </c>
      <c r="B903">
        <v>15321950</v>
      </c>
      <c r="C903" s="1">
        <v>42528</v>
      </c>
      <c r="D903" t="s">
        <v>34</v>
      </c>
      <c r="E903" t="str">
        <f>VLOOKUP(TRIM(D903), Catalogo_gestiones!$A:$B, 2, FALSE)</f>
        <v>N</v>
      </c>
    </row>
    <row r="904" spans="1:5" x14ac:dyDescent="0.25">
      <c r="A904">
        <v>8553292</v>
      </c>
      <c r="B904">
        <v>26038478</v>
      </c>
      <c r="C904" s="1">
        <v>42522</v>
      </c>
      <c r="D904" t="s">
        <v>26</v>
      </c>
      <c r="E904" t="str">
        <f>VLOOKUP(TRIM(D904), Catalogo_gestiones!$A:$B, 2, FALSE)</f>
        <v>N</v>
      </c>
    </row>
    <row r="905" spans="1:5" x14ac:dyDescent="0.25">
      <c r="A905">
        <v>8553414</v>
      </c>
      <c r="B905">
        <v>16700034</v>
      </c>
      <c r="C905" s="1">
        <v>42528</v>
      </c>
      <c r="D905" t="s">
        <v>25</v>
      </c>
      <c r="E905" t="str">
        <f>VLOOKUP(TRIM(D905), Catalogo_gestiones!$A:$B, 2, FALSE)</f>
        <v>N</v>
      </c>
    </row>
    <row r="906" spans="1:5" x14ac:dyDescent="0.25">
      <c r="A906">
        <v>8553666</v>
      </c>
      <c r="B906">
        <v>26377696</v>
      </c>
      <c r="C906" s="1">
        <v>42528</v>
      </c>
      <c r="D906" t="s">
        <v>28</v>
      </c>
      <c r="E906" t="str">
        <f>VLOOKUP(TRIM(D906), Catalogo_gestiones!$A:$B, 2, FALSE)</f>
        <v>N</v>
      </c>
    </row>
    <row r="907" spans="1:5" x14ac:dyDescent="0.25">
      <c r="A907">
        <v>8553693</v>
      </c>
      <c r="B907">
        <v>23663051</v>
      </c>
      <c r="C907" s="1">
        <v>42528</v>
      </c>
      <c r="D907" t="s">
        <v>26</v>
      </c>
      <c r="E907" t="str">
        <f>VLOOKUP(TRIM(D907), Catalogo_gestiones!$A:$B, 2, FALSE)</f>
        <v>N</v>
      </c>
    </row>
    <row r="908" spans="1:5" x14ac:dyDescent="0.25">
      <c r="A908">
        <v>8553693</v>
      </c>
      <c r="B908">
        <v>23932368</v>
      </c>
      <c r="C908" s="1">
        <v>42529</v>
      </c>
      <c r="D908" t="s">
        <v>34</v>
      </c>
      <c r="E908" t="str">
        <f>VLOOKUP(TRIM(D908), Catalogo_gestiones!$A:$B, 2, FALSE)</f>
        <v>N</v>
      </c>
    </row>
    <row r="909" spans="1:5" x14ac:dyDescent="0.25">
      <c r="A909">
        <v>8553743</v>
      </c>
      <c r="B909">
        <v>20545144</v>
      </c>
      <c r="C909" s="1">
        <v>42528</v>
      </c>
      <c r="D909" t="s">
        <v>26</v>
      </c>
      <c r="E909" t="str">
        <f>VLOOKUP(TRIM(D909), Catalogo_gestiones!$A:$B, 2, FALSE)</f>
        <v>N</v>
      </c>
    </row>
    <row r="910" spans="1:5" x14ac:dyDescent="0.25">
      <c r="A910">
        <v>8553743</v>
      </c>
      <c r="B910">
        <v>21877122</v>
      </c>
      <c r="C910" s="1">
        <v>42528</v>
      </c>
      <c r="D910" t="s">
        <v>25</v>
      </c>
      <c r="E910" t="str">
        <f>VLOOKUP(TRIM(D910), Catalogo_gestiones!$A:$B, 2, FALSE)</f>
        <v>N</v>
      </c>
    </row>
    <row r="911" spans="1:5" x14ac:dyDescent="0.25">
      <c r="A911">
        <v>8554278</v>
      </c>
      <c r="B911">
        <v>20987702</v>
      </c>
      <c r="C911" s="1">
        <v>42528</v>
      </c>
      <c r="D911" t="s">
        <v>28</v>
      </c>
      <c r="E911" t="str">
        <f>VLOOKUP(TRIM(D911), Catalogo_gestiones!$A:$B, 2, FALSE)</f>
        <v>N</v>
      </c>
    </row>
    <row r="912" spans="1:5" x14ac:dyDescent="0.25">
      <c r="A912">
        <v>8554397</v>
      </c>
      <c r="B912">
        <v>28146964</v>
      </c>
      <c r="C912" s="1">
        <v>42528</v>
      </c>
      <c r="D912" t="s">
        <v>26</v>
      </c>
      <c r="E912" t="str">
        <f>VLOOKUP(TRIM(D912), Catalogo_gestiones!$A:$B, 2, FALSE)</f>
        <v>N</v>
      </c>
    </row>
    <row r="913" spans="1:5" x14ac:dyDescent="0.25">
      <c r="A913">
        <v>8554529</v>
      </c>
      <c r="B913">
        <v>27523507</v>
      </c>
      <c r="C913" s="1">
        <v>42528</v>
      </c>
      <c r="D913" t="s">
        <v>34</v>
      </c>
      <c r="E913" t="str">
        <f>VLOOKUP(TRIM(D913), Catalogo_gestiones!$A:$B, 2, FALSE)</f>
        <v>N</v>
      </c>
    </row>
    <row r="914" spans="1:5" x14ac:dyDescent="0.25">
      <c r="A914">
        <v>8554929</v>
      </c>
      <c r="B914">
        <v>26813424</v>
      </c>
      <c r="C914" s="1">
        <v>42528</v>
      </c>
      <c r="D914" t="s">
        <v>26</v>
      </c>
      <c r="E914" t="str">
        <f>VLOOKUP(TRIM(D914), Catalogo_gestiones!$A:$B, 2, FALSE)</f>
        <v>N</v>
      </c>
    </row>
    <row r="915" spans="1:5" x14ac:dyDescent="0.25">
      <c r="A915">
        <v>8554952</v>
      </c>
      <c r="B915">
        <v>14370932</v>
      </c>
      <c r="C915" s="1">
        <v>42528</v>
      </c>
      <c r="D915" t="s">
        <v>25</v>
      </c>
      <c r="E915" t="str">
        <f>VLOOKUP(TRIM(D915), Catalogo_gestiones!$A:$B, 2, FALSE)</f>
        <v>N</v>
      </c>
    </row>
    <row r="916" spans="1:5" x14ac:dyDescent="0.25">
      <c r="A916">
        <v>8555181</v>
      </c>
      <c r="B916">
        <v>28267368</v>
      </c>
      <c r="C916" s="1">
        <v>42522</v>
      </c>
      <c r="D916" t="s">
        <v>28</v>
      </c>
      <c r="E916" t="str">
        <f>VLOOKUP(TRIM(D916), Catalogo_gestiones!$A:$B, 2, FALSE)</f>
        <v>N</v>
      </c>
    </row>
    <row r="917" spans="1:5" x14ac:dyDescent="0.25">
      <c r="A917">
        <v>8555188</v>
      </c>
      <c r="B917">
        <v>23486645</v>
      </c>
      <c r="C917" s="1">
        <v>42524</v>
      </c>
      <c r="D917" t="s">
        <v>26</v>
      </c>
      <c r="E917" t="str">
        <f>VLOOKUP(TRIM(D917), Catalogo_gestiones!$A:$B, 2, FALSE)</f>
        <v>N</v>
      </c>
    </row>
    <row r="918" spans="1:5" x14ac:dyDescent="0.25">
      <c r="A918">
        <v>8555305</v>
      </c>
      <c r="B918">
        <v>21346506</v>
      </c>
      <c r="C918" s="1">
        <v>42528</v>
      </c>
      <c r="D918" t="s">
        <v>34</v>
      </c>
      <c r="E918" t="str">
        <f>VLOOKUP(TRIM(D918), Catalogo_gestiones!$A:$B, 2, FALSE)</f>
        <v>N</v>
      </c>
    </row>
    <row r="919" spans="1:5" x14ac:dyDescent="0.25">
      <c r="A919">
        <v>8555315</v>
      </c>
      <c r="B919">
        <v>26673640</v>
      </c>
      <c r="C919" s="1">
        <v>42528</v>
      </c>
      <c r="D919" t="s">
        <v>26</v>
      </c>
      <c r="E919" t="str">
        <f>VLOOKUP(TRIM(D919), Catalogo_gestiones!$A:$B, 2, FALSE)</f>
        <v>N</v>
      </c>
    </row>
    <row r="920" spans="1:5" x14ac:dyDescent="0.25">
      <c r="A920">
        <v>8555342</v>
      </c>
      <c r="B920">
        <v>25416050</v>
      </c>
      <c r="C920" s="1">
        <v>42528</v>
      </c>
      <c r="D920" t="s">
        <v>25</v>
      </c>
      <c r="E920" t="str">
        <f>VLOOKUP(TRIM(D920), Catalogo_gestiones!$A:$B, 2, FALSE)</f>
        <v>N</v>
      </c>
    </row>
    <row r="921" spans="1:5" x14ac:dyDescent="0.25">
      <c r="A921">
        <v>8555675</v>
      </c>
      <c r="B921">
        <v>14868002</v>
      </c>
      <c r="C921" s="1">
        <v>42528</v>
      </c>
      <c r="D921" t="s">
        <v>28</v>
      </c>
      <c r="E921" t="str">
        <f>VLOOKUP(TRIM(D921), Catalogo_gestiones!$A:$B, 2, FALSE)</f>
        <v>N</v>
      </c>
    </row>
    <row r="922" spans="1:5" x14ac:dyDescent="0.25">
      <c r="A922">
        <v>8555675</v>
      </c>
      <c r="B922">
        <v>28583654</v>
      </c>
      <c r="C922" s="1">
        <v>42523</v>
      </c>
      <c r="D922" t="s">
        <v>26</v>
      </c>
      <c r="E922" t="str">
        <f>VLOOKUP(TRIM(D922), Catalogo_gestiones!$A:$B, 2, FALSE)</f>
        <v>N</v>
      </c>
    </row>
    <row r="923" spans="1:5" x14ac:dyDescent="0.25">
      <c r="A923">
        <v>8555736</v>
      </c>
      <c r="B923">
        <v>25460723</v>
      </c>
      <c r="C923" s="1">
        <v>42524</v>
      </c>
      <c r="D923" t="s">
        <v>34</v>
      </c>
      <c r="E923" t="str">
        <f>VLOOKUP(TRIM(D923), Catalogo_gestiones!$A:$B, 2, FALSE)</f>
        <v>N</v>
      </c>
    </row>
    <row r="924" spans="1:5" x14ac:dyDescent="0.25">
      <c r="A924">
        <v>8555791</v>
      </c>
      <c r="B924">
        <v>25874889</v>
      </c>
      <c r="C924" s="1">
        <v>42528</v>
      </c>
      <c r="D924" t="s">
        <v>26</v>
      </c>
      <c r="E924" t="str">
        <f>VLOOKUP(TRIM(D924), Catalogo_gestiones!$A:$B, 2, FALSE)</f>
        <v>N</v>
      </c>
    </row>
    <row r="925" spans="1:5" x14ac:dyDescent="0.25">
      <c r="A925">
        <v>8555825</v>
      </c>
      <c r="B925">
        <v>23416027</v>
      </c>
      <c r="C925" s="1">
        <v>42528</v>
      </c>
      <c r="D925" t="s">
        <v>25</v>
      </c>
      <c r="E925" t="str">
        <f>VLOOKUP(TRIM(D925), Catalogo_gestiones!$A:$B, 2, FALSE)</f>
        <v>N</v>
      </c>
    </row>
    <row r="926" spans="1:5" x14ac:dyDescent="0.25">
      <c r="A926">
        <v>8555868</v>
      </c>
      <c r="B926">
        <v>10788626</v>
      </c>
      <c r="C926" s="1">
        <v>42528</v>
      </c>
      <c r="D926" t="s">
        <v>28</v>
      </c>
      <c r="E926" t="str">
        <f>VLOOKUP(TRIM(D926), Catalogo_gestiones!$A:$B, 2, FALSE)</f>
        <v>N</v>
      </c>
    </row>
    <row r="927" spans="1:5" x14ac:dyDescent="0.25">
      <c r="A927">
        <v>8556030</v>
      </c>
      <c r="B927">
        <v>19681511</v>
      </c>
      <c r="C927" s="1">
        <v>42528</v>
      </c>
      <c r="D927" t="s">
        <v>26</v>
      </c>
      <c r="E927" t="str">
        <f>VLOOKUP(TRIM(D927), Catalogo_gestiones!$A:$B, 2, FALSE)</f>
        <v>N</v>
      </c>
    </row>
    <row r="928" spans="1:5" x14ac:dyDescent="0.25">
      <c r="A928">
        <v>8556030</v>
      </c>
      <c r="B928">
        <v>24292654</v>
      </c>
      <c r="C928" s="1">
        <v>42528</v>
      </c>
      <c r="D928" t="s">
        <v>34</v>
      </c>
      <c r="E928" t="str">
        <f>VLOOKUP(TRIM(D928), Catalogo_gestiones!$A:$B, 2, FALSE)</f>
        <v>N</v>
      </c>
    </row>
    <row r="929" spans="1:5" x14ac:dyDescent="0.25">
      <c r="A929">
        <v>8556030</v>
      </c>
      <c r="B929">
        <v>26488898</v>
      </c>
      <c r="C929" s="1">
        <v>42528</v>
      </c>
      <c r="D929" t="s">
        <v>26</v>
      </c>
      <c r="E929" t="str">
        <f>VLOOKUP(TRIM(D929), Catalogo_gestiones!$A:$B, 2, FALSE)</f>
        <v>N</v>
      </c>
    </row>
    <row r="930" spans="1:5" x14ac:dyDescent="0.25">
      <c r="A930">
        <v>8556391</v>
      </c>
      <c r="B930">
        <v>23249256</v>
      </c>
      <c r="C930" s="1">
        <v>42528</v>
      </c>
      <c r="D930" t="s">
        <v>25</v>
      </c>
      <c r="E930" t="str">
        <f>VLOOKUP(TRIM(D930), Catalogo_gestiones!$A:$B, 2, FALSE)</f>
        <v>N</v>
      </c>
    </row>
    <row r="931" spans="1:5" x14ac:dyDescent="0.25">
      <c r="A931">
        <v>8556391</v>
      </c>
      <c r="B931">
        <v>28582736</v>
      </c>
      <c r="C931" s="1">
        <v>42523</v>
      </c>
      <c r="D931" t="s">
        <v>28</v>
      </c>
      <c r="E931" t="str">
        <f>VLOOKUP(TRIM(D931), Catalogo_gestiones!$A:$B, 2, FALSE)</f>
        <v>N</v>
      </c>
    </row>
    <row r="932" spans="1:5" x14ac:dyDescent="0.25">
      <c r="A932">
        <v>8556426</v>
      </c>
      <c r="B932">
        <v>1709105</v>
      </c>
      <c r="C932" s="1">
        <v>42528</v>
      </c>
      <c r="D932" t="s">
        <v>26</v>
      </c>
      <c r="E932" t="str">
        <f>VLOOKUP(TRIM(D932), Catalogo_gestiones!$A:$B, 2, FALSE)</f>
        <v>N</v>
      </c>
    </row>
    <row r="933" spans="1:5" x14ac:dyDescent="0.25">
      <c r="A933">
        <v>8556428</v>
      </c>
      <c r="B933">
        <v>2953804</v>
      </c>
      <c r="C933" s="1">
        <v>42528</v>
      </c>
      <c r="D933" t="s">
        <v>34</v>
      </c>
      <c r="E933" t="str">
        <f>VLOOKUP(TRIM(D933), Catalogo_gestiones!$A:$B, 2, FALSE)</f>
        <v>N</v>
      </c>
    </row>
    <row r="934" spans="1:5" x14ac:dyDescent="0.25">
      <c r="A934">
        <v>8556457</v>
      </c>
      <c r="B934">
        <v>27019597</v>
      </c>
      <c r="C934" s="1">
        <v>42528</v>
      </c>
      <c r="D934" t="s">
        <v>26</v>
      </c>
      <c r="E934" t="str">
        <f>VLOOKUP(TRIM(D934), Catalogo_gestiones!$A:$B, 2, FALSE)</f>
        <v>N</v>
      </c>
    </row>
    <row r="935" spans="1:5" x14ac:dyDescent="0.25">
      <c r="A935">
        <v>8556457</v>
      </c>
      <c r="B935">
        <v>27021386</v>
      </c>
      <c r="C935" s="1">
        <v>42528</v>
      </c>
      <c r="D935" t="s">
        <v>25</v>
      </c>
      <c r="E935" t="str">
        <f>VLOOKUP(TRIM(D935), Catalogo_gestiones!$A:$B, 2, FALSE)</f>
        <v>N</v>
      </c>
    </row>
    <row r="936" spans="1:5" x14ac:dyDescent="0.25">
      <c r="A936">
        <v>8556636</v>
      </c>
      <c r="B936">
        <v>20095662</v>
      </c>
      <c r="C936" s="1">
        <v>42528</v>
      </c>
      <c r="D936" t="s">
        <v>28</v>
      </c>
      <c r="E936" t="str">
        <f>VLOOKUP(TRIM(D936), Catalogo_gestiones!$A:$B, 2, FALSE)</f>
        <v>N</v>
      </c>
    </row>
    <row r="937" spans="1:5" x14ac:dyDescent="0.25">
      <c r="A937">
        <v>8556668</v>
      </c>
      <c r="B937">
        <v>23262163</v>
      </c>
      <c r="C937" s="1">
        <v>42528</v>
      </c>
      <c r="D937" t="s">
        <v>26</v>
      </c>
      <c r="E937" t="str">
        <f>VLOOKUP(TRIM(D937), Catalogo_gestiones!$A:$B, 2, FALSE)</f>
        <v>N</v>
      </c>
    </row>
    <row r="938" spans="1:5" x14ac:dyDescent="0.25">
      <c r="A938">
        <v>8556848</v>
      </c>
      <c r="B938">
        <v>27485416</v>
      </c>
      <c r="C938" s="1">
        <v>42528</v>
      </c>
      <c r="D938" t="s">
        <v>34</v>
      </c>
      <c r="E938" t="str">
        <f>VLOOKUP(TRIM(D938), Catalogo_gestiones!$A:$B, 2, FALSE)</f>
        <v>N</v>
      </c>
    </row>
    <row r="939" spans="1:5" x14ac:dyDescent="0.25">
      <c r="A939">
        <v>8556862</v>
      </c>
      <c r="B939">
        <v>21386184</v>
      </c>
      <c r="C939" s="1">
        <v>42528</v>
      </c>
      <c r="D939" t="s">
        <v>26</v>
      </c>
      <c r="E939" t="str">
        <f>VLOOKUP(TRIM(D939), Catalogo_gestiones!$A:$B, 2, FALSE)</f>
        <v>N</v>
      </c>
    </row>
    <row r="940" spans="1:5" x14ac:dyDescent="0.25">
      <c r="A940">
        <v>8556874</v>
      </c>
      <c r="B940">
        <v>22431746</v>
      </c>
      <c r="C940" s="1">
        <v>42528</v>
      </c>
      <c r="D940" t="s">
        <v>25</v>
      </c>
      <c r="E940" t="str">
        <f>VLOOKUP(TRIM(D940), Catalogo_gestiones!$A:$B, 2, FALSE)</f>
        <v>N</v>
      </c>
    </row>
    <row r="941" spans="1:5" x14ac:dyDescent="0.25">
      <c r="A941">
        <v>8556971</v>
      </c>
      <c r="B941">
        <v>23736047</v>
      </c>
      <c r="C941" s="1">
        <v>42528</v>
      </c>
      <c r="D941" t="s">
        <v>28</v>
      </c>
      <c r="E941" t="str">
        <f>VLOOKUP(TRIM(D941), Catalogo_gestiones!$A:$B, 2, FALSE)</f>
        <v>N</v>
      </c>
    </row>
    <row r="942" spans="1:5" x14ac:dyDescent="0.25">
      <c r="A942">
        <v>8557015</v>
      </c>
      <c r="B942">
        <v>27004164</v>
      </c>
      <c r="C942" s="1">
        <v>42528</v>
      </c>
      <c r="D942" t="s">
        <v>26</v>
      </c>
      <c r="E942" t="str">
        <f>VLOOKUP(TRIM(D942), Catalogo_gestiones!$A:$B, 2, FALSE)</f>
        <v>N</v>
      </c>
    </row>
    <row r="943" spans="1:5" x14ac:dyDescent="0.25">
      <c r="A943">
        <v>8557036</v>
      </c>
      <c r="B943">
        <v>26395640</v>
      </c>
      <c r="C943" s="1">
        <v>42528</v>
      </c>
      <c r="D943" t="s">
        <v>34</v>
      </c>
      <c r="E943" t="str">
        <f>VLOOKUP(TRIM(D943), Catalogo_gestiones!$A:$B, 2, FALSE)</f>
        <v>N</v>
      </c>
    </row>
    <row r="944" spans="1:5" x14ac:dyDescent="0.25">
      <c r="A944">
        <v>8557297</v>
      </c>
      <c r="B944">
        <v>25845100</v>
      </c>
      <c r="C944" s="1">
        <v>42528</v>
      </c>
      <c r="D944" t="s">
        <v>26</v>
      </c>
      <c r="E944" t="str">
        <f>VLOOKUP(TRIM(D944), Catalogo_gestiones!$A:$B, 2, FALSE)</f>
        <v>N</v>
      </c>
    </row>
    <row r="945" spans="1:5" x14ac:dyDescent="0.25">
      <c r="A945">
        <v>8557297</v>
      </c>
      <c r="B945">
        <v>25846718</v>
      </c>
      <c r="C945" s="1">
        <v>42528</v>
      </c>
      <c r="D945" t="s">
        <v>25</v>
      </c>
      <c r="E945" t="str">
        <f>VLOOKUP(TRIM(D945), Catalogo_gestiones!$A:$B, 2, FALSE)</f>
        <v>N</v>
      </c>
    </row>
    <row r="946" spans="1:5" x14ac:dyDescent="0.25">
      <c r="A946">
        <v>8557743</v>
      </c>
      <c r="B946">
        <v>23790214</v>
      </c>
      <c r="C946" s="1">
        <v>42528</v>
      </c>
      <c r="D946" t="s">
        <v>28</v>
      </c>
      <c r="E946" t="str">
        <f>VLOOKUP(TRIM(D946), Catalogo_gestiones!$A:$B, 2, FALSE)</f>
        <v>N</v>
      </c>
    </row>
    <row r="947" spans="1:5" x14ac:dyDescent="0.25">
      <c r="A947">
        <v>8557743</v>
      </c>
      <c r="B947">
        <v>25042402</v>
      </c>
      <c r="C947" s="1">
        <v>42528</v>
      </c>
      <c r="D947" t="s">
        <v>26</v>
      </c>
      <c r="E947" t="str">
        <f>VLOOKUP(TRIM(D947), Catalogo_gestiones!$A:$B, 2, FALSE)</f>
        <v>N</v>
      </c>
    </row>
    <row r="948" spans="1:5" x14ac:dyDescent="0.25">
      <c r="A948">
        <v>8557752</v>
      </c>
      <c r="B948">
        <v>22994170</v>
      </c>
      <c r="C948" s="1">
        <v>42528</v>
      </c>
      <c r="D948" t="s">
        <v>34</v>
      </c>
      <c r="E948" t="str">
        <f>VLOOKUP(TRIM(D948), Catalogo_gestiones!$A:$B, 2, FALSE)</f>
        <v>N</v>
      </c>
    </row>
    <row r="949" spans="1:5" x14ac:dyDescent="0.25">
      <c r="A949">
        <v>8557907</v>
      </c>
      <c r="B949">
        <v>16361629</v>
      </c>
      <c r="C949" s="1">
        <v>42528</v>
      </c>
      <c r="D949" t="s">
        <v>26</v>
      </c>
      <c r="E949" t="str">
        <f>VLOOKUP(TRIM(D949), Catalogo_gestiones!$A:$B, 2, FALSE)</f>
        <v>N</v>
      </c>
    </row>
    <row r="950" spans="1:5" x14ac:dyDescent="0.25">
      <c r="A950">
        <v>8557907</v>
      </c>
      <c r="B950">
        <v>16362152</v>
      </c>
      <c r="C950" s="1">
        <v>42528</v>
      </c>
      <c r="D950" t="s">
        <v>25</v>
      </c>
      <c r="E950" t="str">
        <f>VLOOKUP(TRIM(D950), Catalogo_gestiones!$A:$B, 2, FALSE)</f>
        <v>N</v>
      </c>
    </row>
    <row r="951" spans="1:5" x14ac:dyDescent="0.25">
      <c r="A951">
        <v>8557907</v>
      </c>
      <c r="B951">
        <v>16363686</v>
      </c>
      <c r="C951" s="1">
        <v>42528</v>
      </c>
      <c r="D951" t="s">
        <v>28</v>
      </c>
      <c r="E951" t="str">
        <f>VLOOKUP(TRIM(D951), Catalogo_gestiones!$A:$B, 2, FALSE)</f>
        <v>N</v>
      </c>
    </row>
    <row r="952" spans="1:5" x14ac:dyDescent="0.25">
      <c r="A952">
        <v>8557916</v>
      </c>
      <c r="B952">
        <v>26218300</v>
      </c>
      <c r="C952" s="1">
        <v>42528</v>
      </c>
      <c r="D952" t="s">
        <v>26</v>
      </c>
      <c r="E952" t="str">
        <f>VLOOKUP(TRIM(D952), Catalogo_gestiones!$A:$B, 2, FALSE)</f>
        <v>N</v>
      </c>
    </row>
    <row r="953" spans="1:5" x14ac:dyDescent="0.25">
      <c r="A953">
        <v>8557950</v>
      </c>
      <c r="B953">
        <v>20970930</v>
      </c>
      <c r="C953" s="1">
        <v>42528</v>
      </c>
      <c r="D953" t="s">
        <v>34</v>
      </c>
      <c r="E953" t="str">
        <f>VLOOKUP(TRIM(D953), Catalogo_gestiones!$A:$B, 2, FALSE)</f>
        <v>N</v>
      </c>
    </row>
    <row r="954" spans="1:5" x14ac:dyDescent="0.25">
      <c r="A954">
        <v>8558072</v>
      </c>
      <c r="B954">
        <v>4392423</v>
      </c>
      <c r="C954" s="1">
        <v>42528</v>
      </c>
      <c r="D954" t="s">
        <v>26</v>
      </c>
      <c r="E954" t="str">
        <f>VLOOKUP(TRIM(D954), Catalogo_gestiones!$A:$B, 2, FALSE)</f>
        <v>N</v>
      </c>
    </row>
    <row r="955" spans="1:5" x14ac:dyDescent="0.25">
      <c r="A955">
        <v>8558124</v>
      </c>
      <c r="B955">
        <v>26976651</v>
      </c>
      <c r="C955" s="1">
        <v>42528</v>
      </c>
      <c r="D955" t="s">
        <v>25</v>
      </c>
      <c r="E955" t="str">
        <f>VLOOKUP(TRIM(D955), Catalogo_gestiones!$A:$B, 2, FALSE)</f>
        <v>N</v>
      </c>
    </row>
    <row r="956" spans="1:5" x14ac:dyDescent="0.25">
      <c r="A956">
        <v>8558363</v>
      </c>
      <c r="B956">
        <v>21516779</v>
      </c>
      <c r="C956" s="1">
        <v>42528</v>
      </c>
      <c r="D956" t="s">
        <v>28</v>
      </c>
      <c r="E956" t="str">
        <f>VLOOKUP(TRIM(D956), Catalogo_gestiones!$A:$B, 2, FALSE)</f>
        <v>N</v>
      </c>
    </row>
    <row r="957" spans="1:5" x14ac:dyDescent="0.25">
      <c r="A957">
        <v>8558454</v>
      </c>
      <c r="B957">
        <v>20952780</v>
      </c>
      <c r="C957" s="1">
        <v>42522</v>
      </c>
      <c r="D957" t="s">
        <v>26</v>
      </c>
      <c r="E957" t="str">
        <f>VLOOKUP(TRIM(D957), Catalogo_gestiones!$A:$B, 2, FALSE)</f>
        <v>N</v>
      </c>
    </row>
    <row r="958" spans="1:5" x14ac:dyDescent="0.25">
      <c r="A958">
        <v>8558498</v>
      </c>
      <c r="B958">
        <v>23317795</v>
      </c>
      <c r="C958" s="1">
        <v>42528</v>
      </c>
      <c r="D958" t="s">
        <v>34</v>
      </c>
      <c r="E958" t="str">
        <f>VLOOKUP(TRIM(D958), Catalogo_gestiones!$A:$B, 2, FALSE)</f>
        <v>N</v>
      </c>
    </row>
    <row r="959" spans="1:5" x14ac:dyDescent="0.25">
      <c r="A959">
        <v>8558545</v>
      </c>
      <c r="B959">
        <v>23658040</v>
      </c>
      <c r="C959" s="1">
        <v>42524</v>
      </c>
      <c r="D959" t="s">
        <v>26</v>
      </c>
      <c r="E959" t="str">
        <f>VLOOKUP(TRIM(D959), Catalogo_gestiones!$A:$B, 2, FALSE)</f>
        <v>N</v>
      </c>
    </row>
    <row r="960" spans="1:5" x14ac:dyDescent="0.25">
      <c r="A960">
        <v>8558545</v>
      </c>
      <c r="B960">
        <v>23658178</v>
      </c>
      <c r="C960" s="1">
        <v>42528</v>
      </c>
      <c r="D960" t="s">
        <v>25</v>
      </c>
      <c r="E960" t="str">
        <f>VLOOKUP(TRIM(D960), Catalogo_gestiones!$A:$B, 2, FALSE)</f>
        <v>N</v>
      </c>
    </row>
    <row r="961" spans="1:5" x14ac:dyDescent="0.25">
      <c r="A961">
        <v>8558545</v>
      </c>
      <c r="B961">
        <v>26572022</v>
      </c>
      <c r="C961" s="1">
        <v>42528</v>
      </c>
      <c r="D961" t="s">
        <v>28</v>
      </c>
      <c r="E961" t="str">
        <f>VLOOKUP(TRIM(D961), Catalogo_gestiones!$A:$B, 2, FALSE)</f>
        <v>N</v>
      </c>
    </row>
    <row r="962" spans="1:5" x14ac:dyDescent="0.25">
      <c r="A962">
        <v>8558545</v>
      </c>
      <c r="B962">
        <v>28583662</v>
      </c>
      <c r="C962" s="1">
        <v>42523</v>
      </c>
      <c r="D962" t="s">
        <v>26</v>
      </c>
      <c r="E962" t="str">
        <f>VLOOKUP(TRIM(D962), Catalogo_gestiones!$A:$B, 2, FALSE)</f>
        <v>N</v>
      </c>
    </row>
    <row r="963" spans="1:5" x14ac:dyDescent="0.25">
      <c r="A963">
        <v>8558638</v>
      </c>
      <c r="B963">
        <v>25961154</v>
      </c>
      <c r="C963" s="1">
        <v>42528</v>
      </c>
      <c r="D963" t="s">
        <v>34</v>
      </c>
      <c r="E963" t="str">
        <f>VLOOKUP(TRIM(D963), Catalogo_gestiones!$A:$B, 2, FALSE)</f>
        <v>N</v>
      </c>
    </row>
    <row r="964" spans="1:5" x14ac:dyDescent="0.25">
      <c r="A964">
        <v>8558638</v>
      </c>
      <c r="B964">
        <v>25962746</v>
      </c>
      <c r="C964" s="1">
        <v>42528</v>
      </c>
      <c r="D964" t="s">
        <v>26</v>
      </c>
      <c r="E964" t="str">
        <f>VLOOKUP(TRIM(D964), Catalogo_gestiones!$A:$B, 2, FALSE)</f>
        <v>N</v>
      </c>
    </row>
    <row r="965" spans="1:5" x14ac:dyDescent="0.25">
      <c r="A965">
        <v>8558638</v>
      </c>
      <c r="B965">
        <v>25963644</v>
      </c>
      <c r="C965" s="1">
        <v>42528</v>
      </c>
      <c r="D965" t="s">
        <v>25</v>
      </c>
      <c r="E965" t="str">
        <f>VLOOKUP(TRIM(D965), Catalogo_gestiones!$A:$B, 2, FALSE)</f>
        <v>N</v>
      </c>
    </row>
    <row r="966" spans="1:5" x14ac:dyDescent="0.25">
      <c r="A966">
        <v>8558664</v>
      </c>
      <c r="B966">
        <v>16084697</v>
      </c>
      <c r="C966" s="1">
        <v>42528</v>
      </c>
      <c r="D966" t="s">
        <v>28</v>
      </c>
      <c r="E966" t="str">
        <f>VLOOKUP(TRIM(D966), Catalogo_gestiones!$A:$B, 2, FALSE)</f>
        <v>N</v>
      </c>
    </row>
    <row r="967" spans="1:5" x14ac:dyDescent="0.25">
      <c r="A967">
        <v>8558664</v>
      </c>
      <c r="B967">
        <v>20541812</v>
      </c>
      <c r="C967" s="1">
        <v>42528</v>
      </c>
      <c r="D967" t="s">
        <v>26</v>
      </c>
      <c r="E967" t="str">
        <f>VLOOKUP(TRIM(D967), Catalogo_gestiones!$A:$B, 2, FALSE)</f>
        <v>N</v>
      </c>
    </row>
    <row r="968" spans="1:5" x14ac:dyDescent="0.25">
      <c r="A968">
        <v>8558900</v>
      </c>
      <c r="B968">
        <v>25301860</v>
      </c>
      <c r="C968" s="1">
        <v>42528</v>
      </c>
      <c r="D968" t="s">
        <v>34</v>
      </c>
      <c r="E968" t="str">
        <f>VLOOKUP(TRIM(D968), Catalogo_gestiones!$A:$B, 2, FALSE)</f>
        <v>N</v>
      </c>
    </row>
    <row r="969" spans="1:5" x14ac:dyDescent="0.25">
      <c r="A969">
        <v>8559026</v>
      </c>
      <c r="B969">
        <v>25923877</v>
      </c>
      <c r="C969" s="1">
        <v>42528</v>
      </c>
      <c r="D969" t="s">
        <v>26</v>
      </c>
      <c r="E969" t="str">
        <f>VLOOKUP(TRIM(D969), Catalogo_gestiones!$A:$B, 2, FALSE)</f>
        <v>N</v>
      </c>
    </row>
    <row r="970" spans="1:5" x14ac:dyDescent="0.25">
      <c r="A970">
        <v>8559026</v>
      </c>
      <c r="B970">
        <v>25934012</v>
      </c>
      <c r="C970" s="1">
        <v>42528</v>
      </c>
      <c r="D970" t="s">
        <v>25</v>
      </c>
      <c r="E970" t="str">
        <f>VLOOKUP(TRIM(D970), Catalogo_gestiones!$A:$B, 2, FALSE)</f>
        <v>N</v>
      </c>
    </row>
    <row r="971" spans="1:5" x14ac:dyDescent="0.25">
      <c r="A971">
        <v>8559026</v>
      </c>
      <c r="B971">
        <v>25942733</v>
      </c>
      <c r="C971" s="1">
        <v>42528</v>
      </c>
      <c r="D971" t="s">
        <v>28</v>
      </c>
      <c r="E971" t="str">
        <f>VLOOKUP(TRIM(D971), Catalogo_gestiones!$A:$B, 2, FALSE)</f>
        <v>N</v>
      </c>
    </row>
    <row r="972" spans="1:5" x14ac:dyDescent="0.25">
      <c r="A972">
        <v>8085392</v>
      </c>
      <c r="B972">
        <v>27892052</v>
      </c>
      <c r="C972" s="1">
        <v>42524</v>
      </c>
      <c r="D972" t="s">
        <v>25</v>
      </c>
      <c r="E972" t="str">
        <f>VLOOKUP(TRIM(D972), Catalogo_gestiones!$A:$B, 2, FALSE)</f>
        <v>N</v>
      </c>
    </row>
    <row r="973" spans="1:5" x14ac:dyDescent="0.25">
      <c r="A973">
        <v>8085687</v>
      </c>
      <c r="B973">
        <v>27777136</v>
      </c>
      <c r="C973" s="1">
        <v>42524</v>
      </c>
      <c r="D973" t="s">
        <v>26</v>
      </c>
      <c r="E973" t="str">
        <f>VLOOKUP(TRIM(D973), Catalogo_gestiones!$A:$B, 2, FALSE)</f>
        <v>N</v>
      </c>
    </row>
    <row r="974" spans="1:5" x14ac:dyDescent="0.25">
      <c r="A974">
        <v>8085706</v>
      </c>
      <c r="B974">
        <v>25794246</v>
      </c>
      <c r="C974" s="1">
        <v>42524</v>
      </c>
      <c r="D974" t="s">
        <v>27</v>
      </c>
      <c r="E974" t="str">
        <f>VLOOKUP(TRIM(D974), Catalogo_gestiones!$A:$B, 2, FALSE)</f>
        <v>S</v>
      </c>
    </row>
    <row r="975" spans="1:5" x14ac:dyDescent="0.25">
      <c r="A975">
        <v>8088495</v>
      </c>
      <c r="B975">
        <v>21175250</v>
      </c>
      <c r="C975" s="1">
        <v>42524</v>
      </c>
      <c r="D975" t="s">
        <v>28</v>
      </c>
      <c r="E975" t="str">
        <f>VLOOKUP(TRIM(D975), Catalogo_gestiones!$A:$B, 2, FALSE)</f>
        <v>N</v>
      </c>
    </row>
    <row r="976" spans="1:5" x14ac:dyDescent="0.25">
      <c r="A976">
        <v>8088495</v>
      </c>
      <c r="B976">
        <v>25700352</v>
      </c>
      <c r="C976" s="1">
        <v>42524</v>
      </c>
      <c r="D976" t="s">
        <v>24</v>
      </c>
      <c r="E976" t="str">
        <f>VLOOKUP(TRIM(D976), Catalogo_gestiones!$A:$B, 2, FALSE)</f>
        <v>S</v>
      </c>
    </row>
    <row r="977" spans="1:5" x14ac:dyDescent="0.25">
      <c r="A977">
        <v>8088899</v>
      </c>
      <c r="B977">
        <v>26370037</v>
      </c>
      <c r="C977" s="1">
        <v>42524</v>
      </c>
      <c r="D977" t="s">
        <v>25</v>
      </c>
      <c r="E977" t="str">
        <f>VLOOKUP(TRIM(D977), Catalogo_gestiones!$A:$B, 2, FALSE)</f>
        <v>N</v>
      </c>
    </row>
    <row r="978" spans="1:5" x14ac:dyDescent="0.25">
      <c r="A978">
        <v>8089371</v>
      </c>
      <c r="B978">
        <v>21887785</v>
      </c>
      <c r="C978" s="1">
        <v>42524</v>
      </c>
      <c r="D978" t="s">
        <v>26</v>
      </c>
      <c r="E978" t="str">
        <f>VLOOKUP(TRIM(D978), Catalogo_gestiones!$A:$B, 2, FALSE)</f>
        <v>N</v>
      </c>
    </row>
    <row r="979" spans="1:5" x14ac:dyDescent="0.25">
      <c r="A979">
        <v>8089371</v>
      </c>
      <c r="B979">
        <v>24378718</v>
      </c>
      <c r="C979" s="1">
        <v>42524</v>
      </c>
      <c r="D979" t="s">
        <v>27</v>
      </c>
      <c r="E979" t="str">
        <f>VLOOKUP(TRIM(D979), Catalogo_gestiones!$A:$B, 2, FALSE)</f>
        <v>S</v>
      </c>
    </row>
    <row r="980" spans="1:5" x14ac:dyDescent="0.25">
      <c r="A980">
        <v>8089696</v>
      </c>
      <c r="B980">
        <v>16084748</v>
      </c>
      <c r="C980" s="1">
        <v>42524</v>
      </c>
      <c r="D980" t="s">
        <v>28</v>
      </c>
      <c r="E980" t="str">
        <f>VLOOKUP(TRIM(D980), Catalogo_gestiones!$A:$B, 2, FALSE)</f>
        <v>N</v>
      </c>
    </row>
    <row r="981" spans="1:5" x14ac:dyDescent="0.25">
      <c r="A981">
        <v>8089696</v>
      </c>
      <c r="B981">
        <v>20145473</v>
      </c>
      <c r="C981" s="1">
        <v>42524</v>
      </c>
      <c r="D981" t="s">
        <v>24</v>
      </c>
      <c r="E981" t="str">
        <f>VLOOKUP(TRIM(D981), Catalogo_gestiones!$A:$B, 2, FALSE)</f>
        <v>S</v>
      </c>
    </row>
    <row r="982" spans="1:5" x14ac:dyDescent="0.25">
      <c r="A982">
        <v>8089696</v>
      </c>
      <c r="B982">
        <v>20146321</v>
      </c>
      <c r="C982" s="1">
        <v>42524</v>
      </c>
      <c r="D982" t="s">
        <v>25</v>
      </c>
      <c r="E982" t="str">
        <f>VLOOKUP(TRIM(D982), Catalogo_gestiones!$A:$B, 2, FALSE)</f>
        <v>N</v>
      </c>
    </row>
    <row r="983" spans="1:5" x14ac:dyDescent="0.25">
      <c r="A983">
        <v>8089801</v>
      </c>
      <c r="B983">
        <v>26958913</v>
      </c>
      <c r="C983" s="1">
        <v>42524</v>
      </c>
      <c r="D983" t="s">
        <v>26</v>
      </c>
      <c r="E983" t="str">
        <f>VLOOKUP(TRIM(D983), Catalogo_gestiones!$A:$B, 2, FALSE)</f>
        <v>N</v>
      </c>
    </row>
    <row r="984" spans="1:5" x14ac:dyDescent="0.25">
      <c r="A984">
        <v>8089801</v>
      </c>
      <c r="B984">
        <v>26967590</v>
      </c>
      <c r="C984" s="1">
        <v>42524</v>
      </c>
      <c r="D984" t="s">
        <v>27</v>
      </c>
      <c r="E984" t="str">
        <f>VLOOKUP(TRIM(D984), Catalogo_gestiones!$A:$B, 2, FALSE)</f>
        <v>S</v>
      </c>
    </row>
    <row r="985" spans="1:5" x14ac:dyDescent="0.25">
      <c r="A985">
        <v>8090100</v>
      </c>
      <c r="B985">
        <v>25579254</v>
      </c>
      <c r="C985" s="1">
        <v>42524</v>
      </c>
      <c r="D985" t="s">
        <v>28</v>
      </c>
      <c r="E985" t="str">
        <f>VLOOKUP(TRIM(D985), Catalogo_gestiones!$A:$B, 2, FALSE)</f>
        <v>N</v>
      </c>
    </row>
    <row r="986" spans="1:5" x14ac:dyDescent="0.25">
      <c r="A986">
        <v>8090327</v>
      </c>
      <c r="B986">
        <v>24060799</v>
      </c>
      <c r="C986" s="1">
        <v>42524</v>
      </c>
      <c r="D986" t="s">
        <v>30</v>
      </c>
      <c r="E986" t="str">
        <f>VLOOKUP(TRIM(D986), Catalogo_gestiones!$A:$B, 2, FALSE)</f>
        <v>S</v>
      </c>
    </row>
    <row r="987" spans="1:5" x14ac:dyDescent="0.25">
      <c r="A987">
        <v>8090376</v>
      </c>
      <c r="B987">
        <v>28116836</v>
      </c>
      <c r="C987" s="1">
        <v>42524</v>
      </c>
      <c r="D987" t="s">
        <v>24</v>
      </c>
      <c r="E987" t="str">
        <f>VLOOKUP(TRIM(D987), Catalogo_gestiones!$A:$B, 2, FALSE)</f>
        <v>S</v>
      </c>
    </row>
    <row r="988" spans="1:5" x14ac:dyDescent="0.25">
      <c r="A988">
        <v>8090702</v>
      </c>
      <c r="B988">
        <v>26143640</v>
      </c>
      <c r="C988" s="1">
        <v>42524</v>
      </c>
      <c r="D988" t="s">
        <v>25</v>
      </c>
      <c r="E988" t="str">
        <f>VLOOKUP(TRIM(D988), Catalogo_gestiones!$A:$B, 2, FALSE)</f>
        <v>N</v>
      </c>
    </row>
    <row r="989" spans="1:5" x14ac:dyDescent="0.25">
      <c r="A989">
        <v>8090807</v>
      </c>
      <c r="B989">
        <v>24076434</v>
      </c>
      <c r="C989" s="1">
        <v>42524</v>
      </c>
      <c r="D989" t="s">
        <v>26</v>
      </c>
      <c r="E989" t="str">
        <f>VLOOKUP(TRIM(D989), Catalogo_gestiones!$A:$B, 2, FALSE)</f>
        <v>N</v>
      </c>
    </row>
    <row r="990" spans="1:5" x14ac:dyDescent="0.25">
      <c r="A990">
        <v>8091415</v>
      </c>
      <c r="B990">
        <v>26388699</v>
      </c>
      <c r="C990" s="1">
        <v>42524</v>
      </c>
      <c r="D990" t="s">
        <v>27</v>
      </c>
      <c r="E990" t="str">
        <f>VLOOKUP(TRIM(D990), Catalogo_gestiones!$A:$B, 2, FALSE)</f>
        <v>S</v>
      </c>
    </row>
    <row r="991" spans="1:5" x14ac:dyDescent="0.25">
      <c r="A991">
        <v>8091415</v>
      </c>
      <c r="B991">
        <v>28543492</v>
      </c>
      <c r="C991" s="1">
        <v>42525</v>
      </c>
      <c r="D991" t="s">
        <v>28</v>
      </c>
      <c r="E991" t="str">
        <f>VLOOKUP(TRIM(D991), Catalogo_gestiones!$A:$B, 2, FALSE)</f>
        <v>N</v>
      </c>
    </row>
    <row r="992" spans="1:5" x14ac:dyDescent="0.25">
      <c r="A992">
        <v>8091720</v>
      </c>
      <c r="B992">
        <v>25710171</v>
      </c>
      <c r="C992" s="1">
        <v>42524</v>
      </c>
      <c r="D992" t="s">
        <v>24</v>
      </c>
      <c r="E992" t="str">
        <f>VLOOKUP(TRIM(D992), Catalogo_gestiones!$A:$B, 2, FALSE)</f>
        <v>S</v>
      </c>
    </row>
    <row r="993" spans="1:5" x14ac:dyDescent="0.25">
      <c r="A993">
        <v>8091720</v>
      </c>
      <c r="B993">
        <v>25711212</v>
      </c>
      <c r="C993" s="1">
        <v>42524</v>
      </c>
      <c r="D993" t="s">
        <v>25</v>
      </c>
      <c r="E993" t="str">
        <f>VLOOKUP(TRIM(D993), Catalogo_gestiones!$A:$B, 2, FALSE)</f>
        <v>N</v>
      </c>
    </row>
    <row r="994" spans="1:5" x14ac:dyDescent="0.25">
      <c r="A994">
        <v>8091720</v>
      </c>
      <c r="B994">
        <v>25711791</v>
      </c>
      <c r="C994" s="1">
        <v>42524</v>
      </c>
      <c r="D994" t="s">
        <v>26</v>
      </c>
      <c r="E994" t="str">
        <f>VLOOKUP(TRIM(D994), Catalogo_gestiones!$A:$B, 2, FALSE)</f>
        <v>N</v>
      </c>
    </row>
    <row r="995" spans="1:5" x14ac:dyDescent="0.25">
      <c r="A995">
        <v>8092203</v>
      </c>
      <c r="B995">
        <v>27368714</v>
      </c>
      <c r="C995" s="1">
        <v>42524</v>
      </c>
      <c r="D995" t="s">
        <v>27</v>
      </c>
      <c r="E995" t="str">
        <f>VLOOKUP(TRIM(D995), Catalogo_gestiones!$A:$B, 2, FALSE)</f>
        <v>S</v>
      </c>
    </row>
    <row r="996" spans="1:5" x14ac:dyDescent="0.25">
      <c r="A996">
        <v>8092365</v>
      </c>
      <c r="B996">
        <v>26716493</v>
      </c>
      <c r="C996" s="1">
        <v>42524</v>
      </c>
      <c r="D996" t="s">
        <v>28</v>
      </c>
      <c r="E996" t="str">
        <f>VLOOKUP(TRIM(D996), Catalogo_gestiones!$A:$B, 2, FALSE)</f>
        <v>N</v>
      </c>
    </row>
    <row r="997" spans="1:5" x14ac:dyDescent="0.25">
      <c r="A997">
        <v>8120004</v>
      </c>
      <c r="B997">
        <v>27770039</v>
      </c>
      <c r="C997" s="1">
        <v>42524</v>
      </c>
      <c r="D997" t="s">
        <v>24</v>
      </c>
      <c r="E997" t="str">
        <f>VLOOKUP(TRIM(D997), Catalogo_gestiones!$A:$B, 2, FALSE)</f>
        <v>S</v>
      </c>
    </row>
    <row r="998" spans="1:5" x14ac:dyDescent="0.25">
      <c r="A998">
        <v>8120077</v>
      </c>
      <c r="B998">
        <v>23053023</v>
      </c>
      <c r="C998" s="1">
        <v>42525</v>
      </c>
      <c r="D998" t="s">
        <v>25</v>
      </c>
      <c r="E998" t="str">
        <f>VLOOKUP(TRIM(D998), Catalogo_gestiones!$A:$B, 2, FALSE)</f>
        <v>N</v>
      </c>
    </row>
    <row r="999" spans="1:5" x14ac:dyDescent="0.25">
      <c r="A999">
        <v>8120077</v>
      </c>
      <c r="B999">
        <v>23102782</v>
      </c>
      <c r="C999" s="1">
        <v>42525</v>
      </c>
      <c r="D999" t="s">
        <v>26</v>
      </c>
      <c r="E999" t="str">
        <f>VLOOKUP(TRIM(D999), Catalogo_gestiones!$A:$B, 2, FALSE)</f>
        <v>N</v>
      </c>
    </row>
    <row r="1000" spans="1:5" x14ac:dyDescent="0.25">
      <c r="A1000">
        <v>8120123</v>
      </c>
      <c r="B1000">
        <v>24060274</v>
      </c>
      <c r="C1000" s="1">
        <v>42525</v>
      </c>
      <c r="D1000" t="s">
        <v>27</v>
      </c>
      <c r="E1000" t="str">
        <f>VLOOKUP(TRIM(D1000), Catalogo_gestiones!$A:$B, 2, FALSE)</f>
        <v>S</v>
      </c>
    </row>
    <row r="1001" spans="1:5" x14ac:dyDescent="0.25">
      <c r="A1001">
        <v>8120123</v>
      </c>
      <c r="B1001">
        <v>24378668</v>
      </c>
      <c r="C1001" s="1">
        <v>42525</v>
      </c>
      <c r="D1001" t="s">
        <v>28</v>
      </c>
      <c r="E1001" t="str">
        <f>VLOOKUP(TRIM(D1001), Catalogo_gestiones!$A:$B, 2, FALSE)</f>
        <v>N</v>
      </c>
    </row>
    <row r="1002" spans="1:5" x14ac:dyDescent="0.25">
      <c r="A1002">
        <v>8120258</v>
      </c>
      <c r="B1002">
        <v>22218377</v>
      </c>
      <c r="C1002" s="1">
        <v>42525</v>
      </c>
      <c r="D1002" t="s">
        <v>30</v>
      </c>
      <c r="E1002" t="str">
        <f>VLOOKUP(TRIM(D1002), Catalogo_gestiones!$A:$B, 2, FALSE)</f>
        <v>S</v>
      </c>
    </row>
    <row r="1003" spans="1:5" x14ac:dyDescent="0.25">
      <c r="A1003">
        <v>8120280</v>
      </c>
      <c r="B1003">
        <v>17490411</v>
      </c>
      <c r="C1003" s="1">
        <v>42525</v>
      </c>
      <c r="D1003" t="s">
        <v>24</v>
      </c>
      <c r="E1003" t="str">
        <f>VLOOKUP(TRIM(D1003), Catalogo_gestiones!$A:$B, 2, FALSE)</f>
        <v>S</v>
      </c>
    </row>
    <row r="1004" spans="1:5" x14ac:dyDescent="0.25">
      <c r="A1004">
        <v>8120338</v>
      </c>
      <c r="B1004">
        <v>25641175</v>
      </c>
      <c r="C1004" s="1">
        <v>42525</v>
      </c>
      <c r="D1004" t="s">
        <v>25</v>
      </c>
      <c r="E1004" t="str">
        <f>VLOOKUP(TRIM(D1004), Catalogo_gestiones!$A:$B, 2, FALSE)</f>
        <v>N</v>
      </c>
    </row>
    <row r="1005" spans="1:5" x14ac:dyDescent="0.25">
      <c r="A1005">
        <v>8120338</v>
      </c>
      <c r="B1005">
        <v>27451233</v>
      </c>
      <c r="C1005" s="1">
        <v>42525</v>
      </c>
      <c r="D1005" t="s">
        <v>26</v>
      </c>
      <c r="E1005" t="str">
        <f>VLOOKUP(TRIM(D1005), Catalogo_gestiones!$A:$B, 2, FALSE)</f>
        <v>N</v>
      </c>
    </row>
    <row r="1006" spans="1:5" x14ac:dyDescent="0.25">
      <c r="A1006">
        <v>8120351</v>
      </c>
      <c r="B1006">
        <v>25400500</v>
      </c>
      <c r="C1006" s="1">
        <v>42525</v>
      </c>
      <c r="D1006" t="s">
        <v>27</v>
      </c>
      <c r="E1006" t="str">
        <f>VLOOKUP(TRIM(D1006), Catalogo_gestiones!$A:$B, 2, FALSE)</f>
        <v>S</v>
      </c>
    </row>
    <row r="1007" spans="1:5" x14ac:dyDescent="0.25">
      <c r="A1007">
        <v>8120351</v>
      </c>
      <c r="B1007">
        <v>25402114</v>
      </c>
      <c r="C1007" s="1">
        <v>42525</v>
      </c>
      <c r="D1007" t="s">
        <v>28</v>
      </c>
      <c r="E1007" t="str">
        <f>VLOOKUP(TRIM(D1007), Catalogo_gestiones!$A:$B, 2, FALSE)</f>
        <v>N</v>
      </c>
    </row>
    <row r="1008" spans="1:5" x14ac:dyDescent="0.25">
      <c r="A1008">
        <v>8120504</v>
      </c>
      <c r="B1008">
        <v>25516208</v>
      </c>
      <c r="C1008" s="1">
        <v>42525</v>
      </c>
      <c r="D1008" t="s">
        <v>24</v>
      </c>
      <c r="E1008" t="str">
        <f>VLOOKUP(TRIM(D1008), Catalogo_gestiones!$A:$B, 2, FALSE)</f>
        <v>S</v>
      </c>
    </row>
    <row r="1009" spans="1:5" x14ac:dyDescent="0.25">
      <c r="A1009">
        <v>8120567</v>
      </c>
      <c r="B1009">
        <v>21872767</v>
      </c>
      <c r="C1009" s="1">
        <v>42525</v>
      </c>
      <c r="D1009" t="s">
        <v>25</v>
      </c>
      <c r="E1009" t="str">
        <f>VLOOKUP(TRIM(D1009), Catalogo_gestiones!$A:$B, 2, FALSE)</f>
        <v>N</v>
      </c>
    </row>
    <row r="1010" spans="1:5" x14ac:dyDescent="0.25">
      <c r="A1010">
        <v>8120613</v>
      </c>
      <c r="B1010">
        <v>15453603</v>
      </c>
      <c r="C1010" s="1">
        <v>42526</v>
      </c>
      <c r="D1010" t="s">
        <v>26</v>
      </c>
      <c r="E1010" t="str">
        <f>VLOOKUP(TRIM(D1010), Catalogo_gestiones!$A:$B, 2, FALSE)</f>
        <v>N</v>
      </c>
    </row>
    <row r="1011" spans="1:5" x14ac:dyDescent="0.25">
      <c r="A1011">
        <v>8120615</v>
      </c>
      <c r="B1011">
        <v>20326533</v>
      </c>
      <c r="C1011" s="1">
        <v>42525</v>
      </c>
      <c r="D1011" t="s">
        <v>27</v>
      </c>
      <c r="E1011" t="str">
        <f>VLOOKUP(TRIM(D1011), Catalogo_gestiones!$A:$B, 2, FALSE)</f>
        <v>S</v>
      </c>
    </row>
    <row r="1012" spans="1:5" x14ac:dyDescent="0.25">
      <c r="A1012">
        <v>8120642</v>
      </c>
      <c r="B1012">
        <v>27997023</v>
      </c>
      <c r="C1012" s="1">
        <v>42525</v>
      </c>
      <c r="D1012" t="s">
        <v>28</v>
      </c>
      <c r="E1012" t="str">
        <f>VLOOKUP(TRIM(D1012), Catalogo_gestiones!$A:$B, 2, FALSE)</f>
        <v>N</v>
      </c>
    </row>
    <row r="1013" spans="1:5" x14ac:dyDescent="0.25">
      <c r="A1013">
        <v>8120741</v>
      </c>
      <c r="B1013">
        <v>22880917</v>
      </c>
      <c r="C1013" s="1">
        <v>42525</v>
      </c>
      <c r="D1013" t="s">
        <v>24</v>
      </c>
      <c r="E1013" t="str">
        <f>VLOOKUP(TRIM(D1013), Catalogo_gestiones!$A:$B, 2, FALSE)</f>
        <v>S</v>
      </c>
    </row>
    <row r="1014" spans="1:5" x14ac:dyDescent="0.25">
      <c r="A1014">
        <v>8120773</v>
      </c>
      <c r="B1014">
        <v>16069377</v>
      </c>
      <c r="C1014" s="1">
        <v>42525</v>
      </c>
      <c r="D1014" t="s">
        <v>25</v>
      </c>
      <c r="E1014" t="str">
        <f>VLOOKUP(TRIM(D1014), Catalogo_gestiones!$A:$B, 2, FALSE)</f>
        <v>N</v>
      </c>
    </row>
    <row r="1015" spans="1:5" x14ac:dyDescent="0.25">
      <c r="A1015">
        <v>8120773</v>
      </c>
      <c r="B1015">
        <v>19003063</v>
      </c>
      <c r="C1015" s="1">
        <v>42525</v>
      </c>
      <c r="D1015" t="s">
        <v>26</v>
      </c>
      <c r="E1015" t="str">
        <f>VLOOKUP(TRIM(D1015), Catalogo_gestiones!$A:$B, 2, FALSE)</f>
        <v>N</v>
      </c>
    </row>
    <row r="1016" spans="1:5" x14ac:dyDescent="0.25">
      <c r="A1016">
        <v>8120833</v>
      </c>
      <c r="B1016">
        <v>24374772</v>
      </c>
      <c r="C1016" s="1">
        <v>42525</v>
      </c>
      <c r="D1016" t="s">
        <v>27</v>
      </c>
      <c r="E1016" t="str">
        <f>VLOOKUP(TRIM(D1016), Catalogo_gestiones!$A:$B, 2, FALSE)</f>
        <v>S</v>
      </c>
    </row>
    <row r="1017" spans="1:5" x14ac:dyDescent="0.25">
      <c r="A1017">
        <v>8120848</v>
      </c>
      <c r="B1017">
        <v>25950361</v>
      </c>
      <c r="C1017" s="1">
        <v>42525</v>
      </c>
      <c r="D1017" t="s">
        <v>28</v>
      </c>
      <c r="E1017" t="str">
        <f>VLOOKUP(TRIM(D1017), Catalogo_gestiones!$A:$B, 2, FALSE)</f>
        <v>N</v>
      </c>
    </row>
    <row r="1018" spans="1:5" x14ac:dyDescent="0.25">
      <c r="A1018">
        <v>8120848</v>
      </c>
      <c r="B1018">
        <v>27351285</v>
      </c>
      <c r="C1018" s="1">
        <v>42525</v>
      </c>
      <c r="D1018" t="s">
        <v>30</v>
      </c>
      <c r="E1018" t="str">
        <f>VLOOKUP(TRIM(D1018), Catalogo_gestiones!$A:$B, 2, FALSE)</f>
        <v>S</v>
      </c>
    </row>
    <row r="1019" spans="1:5" x14ac:dyDescent="0.25">
      <c r="A1019">
        <v>8120848</v>
      </c>
      <c r="B1019">
        <v>28586063</v>
      </c>
      <c r="C1019" s="1">
        <v>42525</v>
      </c>
      <c r="D1019" t="s">
        <v>24</v>
      </c>
      <c r="E1019" t="str">
        <f>VLOOKUP(TRIM(D1019), Catalogo_gestiones!$A:$B, 2, FALSE)</f>
        <v>S</v>
      </c>
    </row>
    <row r="1020" spans="1:5" x14ac:dyDescent="0.25">
      <c r="A1020">
        <v>8120977</v>
      </c>
      <c r="B1020">
        <v>25568684</v>
      </c>
      <c r="C1020" s="1">
        <v>42525</v>
      </c>
      <c r="D1020" t="s">
        <v>25</v>
      </c>
      <c r="E1020" t="str">
        <f>VLOOKUP(TRIM(D1020), Catalogo_gestiones!$A:$B, 2, FALSE)</f>
        <v>N</v>
      </c>
    </row>
    <row r="1021" spans="1:5" x14ac:dyDescent="0.25">
      <c r="A1021">
        <v>8121172</v>
      </c>
      <c r="B1021">
        <v>15535226</v>
      </c>
      <c r="C1021" s="1">
        <v>42525</v>
      </c>
      <c r="D1021" t="s">
        <v>26</v>
      </c>
      <c r="E1021" t="str">
        <f>VLOOKUP(TRIM(D1021), Catalogo_gestiones!$A:$B, 2, FALSE)</f>
        <v>N</v>
      </c>
    </row>
    <row r="1022" spans="1:5" x14ac:dyDescent="0.25">
      <c r="A1022">
        <v>8121172</v>
      </c>
      <c r="B1022">
        <v>20238795</v>
      </c>
      <c r="C1022" s="1">
        <v>42525</v>
      </c>
      <c r="D1022" t="s">
        <v>27</v>
      </c>
      <c r="E1022" t="str">
        <f>VLOOKUP(TRIM(D1022), Catalogo_gestiones!$A:$B, 2, FALSE)</f>
        <v>S</v>
      </c>
    </row>
    <row r="1023" spans="1:5" x14ac:dyDescent="0.25">
      <c r="A1023">
        <v>8121247</v>
      </c>
      <c r="B1023">
        <v>1689560</v>
      </c>
      <c r="C1023" s="1">
        <v>42525</v>
      </c>
      <c r="D1023" t="s">
        <v>28</v>
      </c>
      <c r="E1023" t="str">
        <f>VLOOKUP(TRIM(D1023), Catalogo_gestiones!$A:$B, 2, FALSE)</f>
        <v>N</v>
      </c>
    </row>
    <row r="1024" spans="1:5" x14ac:dyDescent="0.25">
      <c r="A1024">
        <v>8121247</v>
      </c>
      <c r="B1024">
        <v>28582863</v>
      </c>
      <c r="C1024" s="1">
        <v>42525</v>
      </c>
      <c r="D1024" t="s">
        <v>24</v>
      </c>
      <c r="E1024" t="str">
        <f>VLOOKUP(TRIM(D1024), Catalogo_gestiones!$A:$B, 2, FALSE)</f>
        <v>S</v>
      </c>
    </row>
    <row r="1025" spans="1:5" x14ac:dyDescent="0.25">
      <c r="A1025">
        <v>8121396</v>
      </c>
      <c r="B1025">
        <v>25634049</v>
      </c>
      <c r="C1025" s="1">
        <v>42525</v>
      </c>
      <c r="D1025" t="s">
        <v>25</v>
      </c>
      <c r="E1025" t="str">
        <f>VLOOKUP(TRIM(D1025), Catalogo_gestiones!$A:$B, 2, FALSE)</f>
        <v>N</v>
      </c>
    </row>
    <row r="1026" spans="1:5" x14ac:dyDescent="0.25">
      <c r="A1026">
        <v>8121437</v>
      </c>
      <c r="B1026">
        <v>21978793</v>
      </c>
      <c r="C1026" s="1">
        <v>42525</v>
      </c>
      <c r="D1026" t="s">
        <v>26</v>
      </c>
      <c r="E1026" t="str">
        <f>VLOOKUP(TRIM(D1026), Catalogo_gestiones!$A:$B, 2, FALSE)</f>
        <v>N</v>
      </c>
    </row>
    <row r="1027" spans="1:5" x14ac:dyDescent="0.25">
      <c r="A1027">
        <v>8121787</v>
      </c>
      <c r="B1027">
        <v>28250237</v>
      </c>
      <c r="C1027" s="1">
        <v>42526</v>
      </c>
      <c r="D1027" t="s">
        <v>27</v>
      </c>
      <c r="E1027" t="str">
        <f>VLOOKUP(TRIM(D1027), Catalogo_gestiones!$A:$B, 2, FALSE)</f>
        <v>S</v>
      </c>
    </row>
    <row r="1028" spans="1:5" x14ac:dyDescent="0.25">
      <c r="A1028">
        <v>8122348</v>
      </c>
      <c r="B1028">
        <v>23138110</v>
      </c>
      <c r="C1028" s="1">
        <v>42526</v>
      </c>
      <c r="D1028" t="s">
        <v>28</v>
      </c>
      <c r="E1028" t="str">
        <f>VLOOKUP(TRIM(D1028), Catalogo_gestiones!$A:$B, 2, FALSE)</f>
        <v>N</v>
      </c>
    </row>
    <row r="1029" spans="1:5" x14ac:dyDescent="0.25">
      <c r="A1029">
        <v>8122348</v>
      </c>
      <c r="B1029">
        <v>27354461</v>
      </c>
      <c r="C1029" s="1">
        <v>42526</v>
      </c>
      <c r="D1029" t="s">
        <v>24</v>
      </c>
      <c r="E1029" t="str">
        <f>VLOOKUP(TRIM(D1029), Catalogo_gestiones!$A:$B, 2, FALSE)</f>
        <v>S</v>
      </c>
    </row>
    <row r="1030" spans="1:5" x14ac:dyDescent="0.25">
      <c r="A1030">
        <v>8122438</v>
      </c>
      <c r="B1030">
        <v>25825719</v>
      </c>
      <c r="C1030" s="1">
        <v>42526</v>
      </c>
      <c r="D1030" t="s">
        <v>25</v>
      </c>
      <c r="E1030" t="str">
        <f>VLOOKUP(TRIM(D1030), Catalogo_gestiones!$A:$B, 2, FALSE)</f>
        <v>N</v>
      </c>
    </row>
    <row r="1031" spans="1:5" x14ac:dyDescent="0.25">
      <c r="A1031">
        <v>8122438</v>
      </c>
      <c r="B1031">
        <v>27451551</v>
      </c>
      <c r="C1031" s="1">
        <v>42526</v>
      </c>
      <c r="D1031" t="s">
        <v>26</v>
      </c>
      <c r="E1031" t="str">
        <f>VLOOKUP(TRIM(D1031), Catalogo_gestiones!$A:$B, 2, FALSE)</f>
        <v>N</v>
      </c>
    </row>
    <row r="1032" spans="1:5" x14ac:dyDescent="0.25">
      <c r="A1032">
        <v>8122952</v>
      </c>
      <c r="B1032">
        <v>26844999</v>
      </c>
      <c r="C1032" s="1">
        <v>42526</v>
      </c>
      <c r="D1032" t="s">
        <v>27</v>
      </c>
      <c r="E1032" t="str">
        <f>VLOOKUP(TRIM(D1032), Catalogo_gestiones!$A:$B, 2, FALSE)</f>
        <v>S</v>
      </c>
    </row>
    <row r="1033" spans="1:5" x14ac:dyDescent="0.25">
      <c r="A1033">
        <v>8122952</v>
      </c>
      <c r="B1033">
        <v>27342408</v>
      </c>
      <c r="C1033" s="1">
        <v>42526</v>
      </c>
      <c r="D1033" t="s">
        <v>28</v>
      </c>
      <c r="E1033" t="str">
        <f>VLOOKUP(TRIM(D1033), Catalogo_gestiones!$A:$B, 2, FALSE)</f>
        <v>N</v>
      </c>
    </row>
    <row r="1034" spans="1:5" x14ac:dyDescent="0.25">
      <c r="A1034">
        <v>8122952</v>
      </c>
      <c r="B1034">
        <v>27362528</v>
      </c>
      <c r="C1034" s="1">
        <v>42526</v>
      </c>
      <c r="D1034" t="s">
        <v>30</v>
      </c>
      <c r="E1034" t="str">
        <f>VLOOKUP(TRIM(D1034), Catalogo_gestiones!$A:$B, 2, FALSE)</f>
        <v>S</v>
      </c>
    </row>
    <row r="1035" spans="1:5" x14ac:dyDescent="0.25">
      <c r="A1035">
        <v>8123013</v>
      </c>
      <c r="B1035">
        <v>27748497</v>
      </c>
      <c r="C1035" s="1">
        <v>42526</v>
      </c>
      <c r="D1035" t="s">
        <v>24</v>
      </c>
      <c r="E1035" t="str">
        <f>VLOOKUP(TRIM(D1035), Catalogo_gestiones!$A:$B, 2, FALSE)</f>
        <v>S</v>
      </c>
    </row>
    <row r="1036" spans="1:5" x14ac:dyDescent="0.25">
      <c r="A1036">
        <v>8140803</v>
      </c>
      <c r="B1036">
        <v>16471105</v>
      </c>
      <c r="C1036" s="1">
        <v>42526</v>
      </c>
      <c r="D1036" t="s">
        <v>25</v>
      </c>
      <c r="E1036" t="str">
        <f>VLOOKUP(TRIM(D1036), Catalogo_gestiones!$A:$B, 2, FALSE)</f>
        <v>N</v>
      </c>
    </row>
    <row r="1037" spans="1:5" x14ac:dyDescent="0.25">
      <c r="A1037">
        <v>8140967</v>
      </c>
      <c r="B1037">
        <v>1261260</v>
      </c>
      <c r="C1037" s="1">
        <v>42526</v>
      </c>
      <c r="D1037" t="s">
        <v>26</v>
      </c>
      <c r="E1037" t="str">
        <f>VLOOKUP(TRIM(D1037), Catalogo_gestiones!$A:$B, 2, FALSE)</f>
        <v>N</v>
      </c>
    </row>
    <row r="1038" spans="1:5" x14ac:dyDescent="0.25">
      <c r="A1038">
        <v>8140967</v>
      </c>
      <c r="B1038">
        <v>1261261</v>
      </c>
      <c r="C1038" s="1">
        <v>42526</v>
      </c>
      <c r="D1038" t="s">
        <v>27</v>
      </c>
      <c r="E1038" t="str">
        <f>VLOOKUP(TRIM(D1038), Catalogo_gestiones!$A:$B, 2, FALSE)</f>
        <v>S</v>
      </c>
    </row>
    <row r="1039" spans="1:5" x14ac:dyDescent="0.25">
      <c r="A1039">
        <v>8141368</v>
      </c>
      <c r="B1039">
        <v>21108707</v>
      </c>
      <c r="C1039" s="1">
        <v>42526</v>
      </c>
      <c r="D1039" t="s">
        <v>28</v>
      </c>
      <c r="E1039" t="str">
        <f>VLOOKUP(TRIM(D1039), Catalogo_gestiones!$A:$B, 2, FALSE)</f>
        <v>N</v>
      </c>
    </row>
    <row r="1040" spans="1:5" x14ac:dyDescent="0.25">
      <c r="A1040">
        <v>8141661</v>
      </c>
      <c r="B1040">
        <v>26211389</v>
      </c>
      <c r="C1040" s="1">
        <v>42526</v>
      </c>
      <c r="D1040" t="s">
        <v>24</v>
      </c>
      <c r="E1040" t="str">
        <f>VLOOKUP(TRIM(D1040), Catalogo_gestiones!$A:$B, 2, FALSE)</f>
        <v>S</v>
      </c>
    </row>
    <row r="1041" spans="1:5" x14ac:dyDescent="0.25">
      <c r="A1041">
        <v>8142131</v>
      </c>
      <c r="B1041">
        <v>23230686</v>
      </c>
      <c r="C1041" s="1">
        <v>42524</v>
      </c>
      <c r="D1041" t="s">
        <v>25</v>
      </c>
      <c r="E1041" t="str">
        <f>VLOOKUP(TRIM(D1041), Catalogo_gestiones!$A:$B, 2, FALSE)</f>
        <v>N</v>
      </c>
    </row>
    <row r="1042" spans="1:5" x14ac:dyDescent="0.25">
      <c r="A1042">
        <v>8142840</v>
      </c>
      <c r="B1042">
        <v>28584067</v>
      </c>
      <c r="C1042" s="1">
        <v>42526</v>
      </c>
      <c r="D1042" t="s">
        <v>26</v>
      </c>
      <c r="E1042" t="str">
        <f>VLOOKUP(TRIM(D1042), Catalogo_gestiones!$A:$B, 2, FALSE)</f>
        <v>N</v>
      </c>
    </row>
    <row r="1043" spans="1:5" x14ac:dyDescent="0.25">
      <c r="A1043">
        <v>8142913</v>
      </c>
      <c r="B1043">
        <v>15150108</v>
      </c>
      <c r="C1043" s="1">
        <v>42526</v>
      </c>
      <c r="D1043" t="s">
        <v>27</v>
      </c>
      <c r="E1043" t="str">
        <f>VLOOKUP(TRIM(D1043), Catalogo_gestiones!$A:$B, 2, FALSE)</f>
        <v>S</v>
      </c>
    </row>
    <row r="1044" spans="1:5" x14ac:dyDescent="0.25">
      <c r="A1044">
        <v>8143445</v>
      </c>
      <c r="B1044">
        <v>27500623</v>
      </c>
      <c r="C1044" s="1">
        <v>42526</v>
      </c>
      <c r="D1044" t="s">
        <v>28</v>
      </c>
      <c r="E1044" t="str">
        <f>VLOOKUP(TRIM(D1044), Catalogo_gestiones!$A:$B, 2, FALSE)</f>
        <v>N</v>
      </c>
    </row>
    <row r="1045" spans="1:5" x14ac:dyDescent="0.25">
      <c r="A1045">
        <v>8143616</v>
      </c>
      <c r="B1045">
        <v>28579108</v>
      </c>
      <c r="C1045" s="1">
        <v>42526</v>
      </c>
      <c r="D1045" t="s">
        <v>24</v>
      </c>
      <c r="E1045" t="str">
        <f>VLOOKUP(TRIM(D1045), Catalogo_gestiones!$A:$B, 2, FALSE)</f>
        <v>S</v>
      </c>
    </row>
    <row r="1046" spans="1:5" x14ac:dyDescent="0.25">
      <c r="A1046">
        <v>8143620</v>
      </c>
      <c r="B1046">
        <v>26382097</v>
      </c>
      <c r="C1046" s="1">
        <v>42524</v>
      </c>
      <c r="D1046" t="s">
        <v>25</v>
      </c>
      <c r="E1046" t="str">
        <f>VLOOKUP(TRIM(D1046), Catalogo_gestiones!$A:$B, 2, FALSE)</f>
        <v>N</v>
      </c>
    </row>
    <row r="1047" spans="1:5" x14ac:dyDescent="0.25">
      <c r="A1047">
        <v>8143701</v>
      </c>
      <c r="B1047">
        <v>21781337</v>
      </c>
      <c r="C1047" s="1">
        <v>42526</v>
      </c>
      <c r="D1047" t="s">
        <v>26</v>
      </c>
      <c r="E1047" t="str">
        <f>VLOOKUP(TRIM(D1047), Catalogo_gestiones!$A:$B, 2, FALSE)</f>
        <v>N</v>
      </c>
    </row>
    <row r="1048" spans="1:5" x14ac:dyDescent="0.25">
      <c r="A1048">
        <v>8143941</v>
      </c>
      <c r="B1048">
        <v>28177048</v>
      </c>
      <c r="C1048" s="1">
        <v>42526</v>
      </c>
      <c r="D1048" t="s">
        <v>27</v>
      </c>
      <c r="E1048" t="str">
        <f>VLOOKUP(TRIM(D1048), Catalogo_gestiones!$A:$B, 2, FALSE)</f>
        <v>S</v>
      </c>
    </row>
    <row r="1049" spans="1:5" x14ac:dyDescent="0.25">
      <c r="A1049">
        <v>8144093</v>
      </c>
      <c r="B1049">
        <v>24256962</v>
      </c>
      <c r="C1049" s="1">
        <v>42526</v>
      </c>
      <c r="D1049" t="s">
        <v>28</v>
      </c>
      <c r="E1049" t="str">
        <f>VLOOKUP(TRIM(D1049), Catalogo_gestiones!$A:$B, 2, FALSE)</f>
        <v>N</v>
      </c>
    </row>
    <row r="1050" spans="1:5" x14ac:dyDescent="0.25">
      <c r="A1050">
        <v>8144093</v>
      </c>
      <c r="B1050">
        <v>24257547</v>
      </c>
      <c r="C1050" s="1">
        <v>42526</v>
      </c>
      <c r="D1050" t="s">
        <v>30</v>
      </c>
      <c r="E1050" t="str">
        <f>VLOOKUP(TRIM(D1050), Catalogo_gestiones!$A:$B, 2, FALSE)</f>
        <v>S</v>
      </c>
    </row>
    <row r="1051" spans="1:5" x14ac:dyDescent="0.25">
      <c r="A1051">
        <v>8144093</v>
      </c>
      <c r="B1051">
        <v>25328215</v>
      </c>
      <c r="C1051" s="1">
        <v>42526</v>
      </c>
      <c r="D1051" t="s">
        <v>24</v>
      </c>
      <c r="E1051" t="str">
        <f>VLOOKUP(TRIM(D1051), Catalogo_gestiones!$A:$B, 2, FALSE)</f>
        <v>S</v>
      </c>
    </row>
    <row r="1052" spans="1:5" x14ac:dyDescent="0.25">
      <c r="A1052">
        <v>8144982</v>
      </c>
      <c r="B1052">
        <v>26085369</v>
      </c>
      <c r="C1052" s="1">
        <v>42526</v>
      </c>
      <c r="D1052" t="s">
        <v>25</v>
      </c>
      <c r="E1052" t="str">
        <f>VLOOKUP(TRIM(D1052), Catalogo_gestiones!$A:$B, 2, FALSE)</f>
        <v>N</v>
      </c>
    </row>
    <row r="1053" spans="1:5" x14ac:dyDescent="0.25">
      <c r="A1053">
        <v>8145532</v>
      </c>
      <c r="B1053">
        <v>27443036</v>
      </c>
      <c r="C1053" s="1">
        <v>42526</v>
      </c>
      <c r="D1053" t="s">
        <v>26</v>
      </c>
      <c r="E1053" t="str">
        <f>VLOOKUP(TRIM(D1053), Catalogo_gestiones!$A:$B, 2, FALSE)</f>
        <v>N</v>
      </c>
    </row>
    <row r="1054" spans="1:5" x14ac:dyDescent="0.25">
      <c r="A1054">
        <v>8145532</v>
      </c>
      <c r="B1054">
        <v>27445813</v>
      </c>
      <c r="C1054" s="1">
        <v>42526</v>
      </c>
      <c r="D1054" t="s">
        <v>27</v>
      </c>
      <c r="E1054" t="str">
        <f>VLOOKUP(TRIM(D1054), Catalogo_gestiones!$A:$B, 2, FALSE)</f>
        <v>S</v>
      </c>
    </row>
    <row r="1055" spans="1:5" x14ac:dyDescent="0.25">
      <c r="A1055">
        <v>8145600</v>
      </c>
      <c r="B1055">
        <v>21147053</v>
      </c>
      <c r="C1055" s="1">
        <v>42526</v>
      </c>
      <c r="D1055" t="s">
        <v>28</v>
      </c>
      <c r="E1055" t="str">
        <f>VLOOKUP(TRIM(D1055), Catalogo_gestiones!$A:$B, 2, FALSE)</f>
        <v>N</v>
      </c>
    </row>
    <row r="1056" spans="1:5" x14ac:dyDescent="0.25">
      <c r="A1056">
        <v>8145696</v>
      </c>
      <c r="B1056">
        <v>1487545</v>
      </c>
      <c r="C1056" s="1">
        <v>42527</v>
      </c>
      <c r="D1056" t="s">
        <v>24</v>
      </c>
      <c r="E1056" t="str">
        <f>VLOOKUP(TRIM(D1056), Catalogo_gestiones!$A:$B, 2, FALSE)</f>
        <v>S</v>
      </c>
    </row>
    <row r="1057" spans="1:5" x14ac:dyDescent="0.25">
      <c r="A1057">
        <v>8146040</v>
      </c>
      <c r="B1057">
        <v>27997103</v>
      </c>
      <c r="C1057" s="1">
        <v>42524</v>
      </c>
      <c r="D1057" t="s">
        <v>25</v>
      </c>
      <c r="E1057" t="str">
        <f>VLOOKUP(TRIM(D1057), Catalogo_gestiones!$A:$B, 2, FALSE)</f>
        <v>N</v>
      </c>
    </row>
    <row r="1058" spans="1:5" x14ac:dyDescent="0.25">
      <c r="A1058">
        <v>8146127</v>
      </c>
      <c r="B1058">
        <v>20815640</v>
      </c>
      <c r="C1058" s="1">
        <v>42527</v>
      </c>
      <c r="D1058" t="s">
        <v>26</v>
      </c>
      <c r="E1058" t="str">
        <f>VLOOKUP(TRIM(D1058), Catalogo_gestiones!$A:$B, 2, FALSE)</f>
        <v>N</v>
      </c>
    </row>
    <row r="1059" spans="1:5" x14ac:dyDescent="0.25">
      <c r="A1059">
        <v>8146254</v>
      </c>
      <c r="B1059">
        <v>25426056</v>
      </c>
      <c r="C1059" s="1">
        <v>42527</v>
      </c>
      <c r="D1059" t="s">
        <v>27</v>
      </c>
      <c r="E1059" t="str">
        <f>VLOOKUP(TRIM(D1059), Catalogo_gestiones!$A:$B, 2, FALSE)</f>
        <v>S</v>
      </c>
    </row>
    <row r="1060" spans="1:5" x14ac:dyDescent="0.25">
      <c r="A1060">
        <v>8146294</v>
      </c>
      <c r="B1060">
        <v>26813743</v>
      </c>
      <c r="C1060" s="1">
        <v>42527</v>
      </c>
      <c r="D1060" t="s">
        <v>28</v>
      </c>
      <c r="E1060" t="str">
        <f>VLOOKUP(TRIM(D1060), Catalogo_gestiones!$A:$B, 2, FALSE)</f>
        <v>N</v>
      </c>
    </row>
    <row r="1061" spans="1:5" x14ac:dyDescent="0.25">
      <c r="A1061">
        <v>8146356</v>
      </c>
      <c r="B1061">
        <v>15560223</v>
      </c>
      <c r="C1061" s="1">
        <v>42527</v>
      </c>
      <c r="D1061" t="s">
        <v>24</v>
      </c>
      <c r="E1061" t="str">
        <f>VLOOKUP(TRIM(D1061), Catalogo_gestiones!$A:$B, 2, FALSE)</f>
        <v>S</v>
      </c>
    </row>
    <row r="1062" spans="1:5" x14ac:dyDescent="0.25">
      <c r="A1062">
        <v>8146356</v>
      </c>
      <c r="B1062">
        <v>15560641</v>
      </c>
      <c r="C1062" s="1">
        <v>42527</v>
      </c>
      <c r="D1062" t="s">
        <v>25</v>
      </c>
      <c r="E1062" t="str">
        <f>VLOOKUP(TRIM(D1062), Catalogo_gestiones!$A:$B, 2, FALSE)</f>
        <v>N</v>
      </c>
    </row>
    <row r="1063" spans="1:5" x14ac:dyDescent="0.25">
      <c r="A1063">
        <v>8146356</v>
      </c>
      <c r="B1063">
        <v>15561187</v>
      </c>
      <c r="C1063" s="1">
        <v>42527</v>
      </c>
      <c r="D1063" t="s">
        <v>26</v>
      </c>
      <c r="E1063" t="str">
        <f>VLOOKUP(TRIM(D1063), Catalogo_gestiones!$A:$B, 2, FALSE)</f>
        <v>N</v>
      </c>
    </row>
    <row r="1064" spans="1:5" x14ac:dyDescent="0.25">
      <c r="A1064">
        <v>8146680</v>
      </c>
      <c r="B1064">
        <v>10589807</v>
      </c>
      <c r="C1064" s="1">
        <v>42527</v>
      </c>
      <c r="D1064" t="s">
        <v>27</v>
      </c>
      <c r="E1064" t="str">
        <f>VLOOKUP(TRIM(D1064), Catalogo_gestiones!$A:$B, 2, FALSE)</f>
        <v>S</v>
      </c>
    </row>
    <row r="1065" spans="1:5" x14ac:dyDescent="0.25">
      <c r="A1065">
        <v>8147134</v>
      </c>
      <c r="B1065">
        <v>27154443</v>
      </c>
      <c r="C1065" s="1">
        <v>42527</v>
      </c>
      <c r="D1065" t="s">
        <v>28</v>
      </c>
      <c r="E1065" t="str">
        <f>VLOOKUP(TRIM(D1065), Catalogo_gestiones!$A:$B, 2, FALSE)</f>
        <v>N</v>
      </c>
    </row>
    <row r="1066" spans="1:5" x14ac:dyDescent="0.25">
      <c r="A1066">
        <v>8147204</v>
      </c>
      <c r="B1066">
        <v>27138725</v>
      </c>
      <c r="C1066" s="1">
        <v>42527</v>
      </c>
      <c r="D1066" t="s">
        <v>30</v>
      </c>
      <c r="E1066" t="str">
        <f>VLOOKUP(TRIM(D1066), Catalogo_gestiones!$A:$B, 2, FALSE)</f>
        <v>S</v>
      </c>
    </row>
    <row r="1067" spans="1:5" x14ac:dyDescent="0.25">
      <c r="A1067">
        <v>8147976</v>
      </c>
      <c r="B1067">
        <v>22912840</v>
      </c>
      <c r="C1067" s="1">
        <v>42527</v>
      </c>
      <c r="D1067" t="s">
        <v>24</v>
      </c>
      <c r="E1067" t="str">
        <f>VLOOKUP(TRIM(D1067), Catalogo_gestiones!$A:$B, 2, FALSE)</f>
        <v>S</v>
      </c>
    </row>
    <row r="1068" spans="1:5" x14ac:dyDescent="0.25">
      <c r="A1068">
        <v>8148012</v>
      </c>
      <c r="B1068">
        <v>26918078</v>
      </c>
      <c r="C1068" s="1">
        <v>42527</v>
      </c>
      <c r="D1068" t="s">
        <v>25</v>
      </c>
      <c r="E1068" t="str">
        <f>VLOOKUP(TRIM(D1068), Catalogo_gestiones!$A:$B, 2, FALSE)</f>
        <v>N</v>
      </c>
    </row>
    <row r="1069" spans="1:5" x14ac:dyDescent="0.25">
      <c r="A1069">
        <v>8148012</v>
      </c>
      <c r="B1069">
        <v>26918957</v>
      </c>
      <c r="C1069" s="1">
        <v>42527</v>
      </c>
      <c r="D1069" t="s">
        <v>26</v>
      </c>
      <c r="E1069" t="str">
        <f>VLOOKUP(TRIM(D1069), Catalogo_gestiones!$A:$B, 2, FALSE)</f>
        <v>N</v>
      </c>
    </row>
    <row r="1070" spans="1:5" x14ac:dyDescent="0.25">
      <c r="A1070">
        <v>8148376</v>
      </c>
      <c r="B1070">
        <v>16869327</v>
      </c>
      <c r="C1070" s="1">
        <v>42527</v>
      </c>
      <c r="D1070" t="s">
        <v>27</v>
      </c>
      <c r="E1070" t="str">
        <f>VLOOKUP(TRIM(D1070), Catalogo_gestiones!$A:$B, 2, FALSE)</f>
        <v>S</v>
      </c>
    </row>
    <row r="1071" spans="1:5" x14ac:dyDescent="0.25">
      <c r="A1071">
        <v>8148804</v>
      </c>
      <c r="B1071">
        <v>24807483</v>
      </c>
      <c r="C1071" s="1">
        <v>42527</v>
      </c>
      <c r="D1071" t="s">
        <v>28</v>
      </c>
      <c r="E1071" t="str">
        <f>VLOOKUP(TRIM(D1071), Catalogo_gestiones!$A:$B, 2, FALSE)</f>
        <v>N</v>
      </c>
    </row>
    <row r="1072" spans="1:5" x14ac:dyDescent="0.25">
      <c r="A1072">
        <v>8149563</v>
      </c>
      <c r="B1072">
        <v>22789135</v>
      </c>
      <c r="C1072" s="1">
        <v>42527</v>
      </c>
      <c r="D1072" t="s">
        <v>24</v>
      </c>
      <c r="E1072" t="str">
        <f>VLOOKUP(TRIM(D1072), Catalogo_gestiones!$A:$B, 2, FALSE)</f>
        <v>S</v>
      </c>
    </row>
    <row r="1073" spans="1:5" x14ac:dyDescent="0.25">
      <c r="A1073">
        <v>8149563</v>
      </c>
      <c r="B1073">
        <v>22789722</v>
      </c>
      <c r="C1073" s="1">
        <v>42527</v>
      </c>
      <c r="D1073" t="s">
        <v>25</v>
      </c>
      <c r="E1073" t="str">
        <f>VLOOKUP(TRIM(D1073), Catalogo_gestiones!$A:$B, 2, FALSE)</f>
        <v>N</v>
      </c>
    </row>
    <row r="1074" spans="1:5" x14ac:dyDescent="0.25">
      <c r="A1074">
        <v>8149652</v>
      </c>
      <c r="B1074">
        <v>14265682</v>
      </c>
      <c r="C1074" s="1">
        <v>42527</v>
      </c>
      <c r="D1074" t="s">
        <v>26</v>
      </c>
      <c r="E1074" t="str">
        <f>VLOOKUP(TRIM(D1074), Catalogo_gestiones!$A:$B, 2, FALSE)</f>
        <v>N</v>
      </c>
    </row>
    <row r="1075" spans="1:5" x14ac:dyDescent="0.25">
      <c r="A1075">
        <v>8149652</v>
      </c>
      <c r="B1075">
        <v>16980898</v>
      </c>
      <c r="C1075" s="1">
        <v>42527</v>
      </c>
      <c r="D1075" t="s">
        <v>27</v>
      </c>
      <c r="E1075" t="str">
        <f>VLOOKUP(TRIM(D1075), Catalogo_gestiones!$A:$B, 2, FALSE)</f>
        <v>S</v>
      </c>
    </row>
    <row r="1076" spans="1:5" x14ac:dyDescent="0.25">
      <c r="A1076">
        <v>8149652</v>
      </c>
      <c r="B1076">
        <v>23954312</v>
      </c>
      <c r="C1076" s="1">
        <v>42527</v>
      </c>
      <c r="D1076" t="s">
        <v>28</v>
      </c>
      <c r="E1076" t="str">
        <f>VLOOKUP(TRIM(D1076), Catalogo_gestiones!$A:$B, 2, FALSE)</f>
        <v>N</v>
      </c>
    </row>
    <row r="1077" spans="1:5" x14ac:dyDescent="0.25">
      <c r="A1077">
        <v>8149873</v>
      </c>
      <c r="B1077">
        <v>21128782</v>
      </c>
      <c r="C1077" s="1">
        <v>42527</v>
      </c>
      <c r="D1077" t="s">
        <v>24</v>
      </c>
      <c r="E1077" t="str">
        <f>VLOOKUP(TRIM(D1077), Catalogo_gestiones!$A:$B, 2, FALSE)</f>
        <v>S</v>
      </c>
    </row>
    <row r="1078" spans="1:5" x14ac:dyDescent="0.25">
      <c r="A1078">
        <v>8149873</v>
      </c>
      <c r="B1078">
        <v>21130021</v>
      </c>
      <c r="C1078" s="1">
        <v>42527</v>
      </c>
      <c r="D1078" t="s">
        <v>25</v>
      </c>
      <c r="E1078" t="str">
        <f>VLOOKUP(TRIM(D1078), Catalogo_gestiones!$A:$B, 2, FALSE)</f>
        <v>N</v>
      </c>
    </row>
    <row r="1079" spans="1:5" x14ac:dyDescent="0.25">
      <c r="A1079">
        <v>8150642</v>
      </c>
      <c r="B1079">
        <v>21255889</v>
      </c>
      <c r="C1079" s="1">
        <v>42527</v>
      </c>
      <c r="D1079" t="s">
        <v>26</v>
      </c>
      <c r="E1079" t="str">
        <f>VLOOKUP(TRIM(D1079), Catalogo_gestiones!$A:$B, 2, FALSE)</f>
        <v>N</v>
      </c>
    </row>
    <row r="1080" spans="1:5" x14ac:dyDescent="0.25">
      <c r="A1080">
        <v>8150722</v>
      </c>
      <c r="B1080">
        <v>24211866</v>
      </c>
      <c r="C1080" s="1">
        <v>42527</v>
      </c>
      <c r="D1080" t="s">
        <v>27</v>
      </c>
      <c r="E1080" t="str">
        <f>VLOOKUP(TRIM(D1080), Catalogo_gestiones!$A:$B, 2, FALSE)</f>
        <v>S</v>
      </c>
    </row>
    <row r="1081" spans="1:5" x14ac:dyDescent="0.25">
      <c r="A1081">
        <v>8151650</v>
      </c>
      <c r="B1081">
        <v>25137085</v>
      </c>
      <c r="C1081" s="1">
        <v>42527</v>
      </c>
      <c r="D1081" t="s">
        <v>28</v>
      </c>
      <c r="E1081" t="str">
        <f>VLOOKUP(TRIM(D1081), Catalogo_gestiones!$A:$B, 2, FALSE)</f>
        <v>N</v>
      </c>
    </row>
    <row r="1082" spans="1:5" x14ac:dyDescent="0.25">
      <c r="A1082">
        <v>8151925</v>
      </c>
      <c r="B1082">
        <v>26319431</v>
      </c>
      <c r="C1082" s="1">
        <v>42527</v>
      </c>
      <c r="D1082" t="s">
        <v>30</v>
      </c>
      <c r="E1082" t="str">
        <f>VLOOKUP(TRIM(D1082), Catalogo_gestiones!$A:$B, 2, FALSE)</f>
        <v>S</v>
      </c>
    </row>
    <row r="1083" spans="1:5" x14ac:dyDescent="0.25">
      <c r="A1083">
        <v>8152781</v>
      </c>
      <c r="B1083">
        <v>26226398</v>
      </c>
      <c r="C1083" s="1">
        <v>42527</v>
      </c>
      <c r="D1083" t="s">
        <v>24</v>
      </c>
      <c r="E1083" t="str">
        <f>VLOOKUP(TRIM(D1083), Catalogo_gestiones!$A:$B, 2, FALSE)</f>
        <v>S</v>
      </c>
    </row>
    <row r="1084" spans="1:5" x14ac:dyDescent="0.25">
      <c r="A1084">
        <v>8153448</v>
      </c>
      <c r="B1084">
        <v>26125116</v>
      </c>
      <c r="C1084" s="1">
        <v>42527</v>
      </c>
      <c r="D1084" t="s">
        <v>25</v>
      </c>
      <c r="E1084" t="str">
        <f>VLOOKUP(TRIM(D1084), Catalogo_gestiones!$A:$B, 2, FALSE)</f>
        <v>N</v>
      </c>
    </row>
    <row r="1085" spans="1:5" x14ac:dyDescent="0.25">
      <c r="A1085">
        <v>8153448</v>
      </c>
      <c r="B1085">
        <v>26129875</v>
      </c>
      <c r="C1085" s="1">
        <v>42527</v>
      </c>
      <c r="D1085" t="s">
        <v>26</v>
      </c>
      <c r="E1085" t="str">
        <f>VLOOKUP(TRIM(D1085), Catalogo_gestiones!$A:$B, 2, FALSE)</f>
        <v>N</v>
      </c>
    </row>
    <row r="1086" spans="1:5" x14ac:dyDescent="0.25">
      <c r="A1086">
        <v>8153540</v>
      </c>
      <c r="B1086">
        <v>25028738</v>
      </c>
      <c r="C1086" s="1">
        <v>42527</v>
      </c>
      <c r="D1086" t="s">
        <v>27</v>
      </c>
      <c r="E1086" t="str">
        <f>VLOOKUP(TRIM(D1086), Catalogo_gestiones!$A:$B, 2, FALSE)</f>
        <v>S</v>
      </c>
    </row>
    <row r="1087" spans="1:5" x14ac:dyDescent="0.25">
      <c r="A1087">
        <v>8153540</v>
      </c>
      <c r="B1087">
        <v>26813496</v>
      </c>
      <c r="C1087" s="1">
        <v>42527</v>
      </c>
      <c r="D1087" t="s">
        <v>28</v>
      </c>
      <c r="E1087" t="str">
        <f>VLOOKUP(TRIM(D1087), Catalogo_gestiones!$A:$B, 2, FALSE)</f>
        <v>N</v>
      </c>
    </row>
    <row r="1088" spans="1:5" x14ac:dyDescent="0.25">
      <c r="A1088">
        <v>8153587</v>
      </c>
      <c r="B1088">
        <v>24000694</v>
      </c>
      <c r="C1088" s="1">
        <v>42527</v>
      </c>
      <c r="D1088" t="s">
        <v>24</v>
      </c>
      <c r="E1088" t="str">
        <f>VLOOKUP(TRIM(D1088), Catalogo_gestiones!$A:$B, 2, FALSE)</f>
        <v>S</v>
      </c>
    </row>
    <row r="1089" spans="1:5" x14ac:dyDescent="0.25">
      <c r="A1089">
        <v>8159247</v>
      </c>
      <c r="B1089">
        <v>24925294</v>
      </c>
      <c r="C1089" s="1">
        <v>42527</v>
      </c>
      <c r="D1089" t="s">
        <v>25</v>
      </c>
      <c r="E1089" t="str">
        <f>VLOOKUP(TRIM(D1089), Catalogo_gestiones!$A:$B, 2, FALSE)</f>
        <v>N</v>
      </c>
    </row>
    <row r="1090" spans="1:5" x14ac:dyDescent="0.25">
      <c r="A1090">
        <v>8159247</v>
      </c>
      <c r="B1090">
        <v>24925514</v>
      </c>
      <c r="C1090" s="1">
        <v>42527</v>
      </c>
      <c r="D1090" t="s">
        <v>26</v>
      </c>
      <c r="E1090" t="str">
        <f>VLOOKUP(TRIM(D1090), Catalogo_gestiones!$A:$B, 2, FALSE)</f>
        <v>N</v>
      </c>
    </row>
    <row r="1091" spans="1:5" x14ac:dyDescent="0.25">
      <c r="A1091">
        <v>8159304</v>
      </c>
      <c r="B1091">
        <v>25008009</v>
      </c>
      <c r="C1091" s="1">
        <v>42527</v>
      </c>
      <c r="D1091" t="s">
        <v>27</v>
      </c>
      <c r="E1091" t="str">
        <f>VLOOKUP(TRIM(D1091), Catalogo_gestiones!$A:$B, 2, FALSE)</f>
        <v>S</v>
      </c>
    </row>
    <row r="1092" spans="1:5" x14ac:dyDescent="0.25">
      <c r="A1092">
        <v>8159820</v>
      </c>
      <c r="B1092">
        <v>22290865</v>
      </c>
      <c r="C1092" s="1">
        <v>42527</v>
      </c>
      <c r="D1092" t="s">
        <v>28</v>
      </c>
      <c r="E1092" t="str">
        <f>VLOOKUP(TRIM(D1092), Catalogo_gestiones!$A:$B, 2, FALSE)</f>
        <v>N</v>
      </c>
    </row>
    <row r="1093" spans="1:5" x14ac:dyDescent="0.25">
      <c r="A1093">
        <v>8159820</v>
      </c>
      <c r="B1093">
        <v>22291304</v>
      </c>
      <c r="C1093" s="1">
        <v>42527</v>
      </c>
      <c r="D1093" t="s">
        <v>24</v>
      </c>
      <c r="E1093" t="str">
        <f>VLOOKUP(TRIM(D1093), Catalogo_gestiones!$A:$B, 2, FALSE)</f>
        <v>S</v>
      </c>
    </row>
    <row r="1094" spans="1:5" x14ac:dyDescent="0.25">
      <c r="A1094">
        <v>8159820</v>
      </c>
      <c r="B1094">
        <v>24951061</v>
      </c>
      <c r="C1094" s="1">
        <v>42527</v>
      </c>
      <c r="D1094" t="s">
        <v>25</v>
      </c>
      <c r="E1094" t="str">
        <f>VLOOKUP(TRIM(D1094), Catalogo_gestiones!$A:$B, 2, FALSE)</f>
        <v>N</v>
      </c>
    </row>
    <row r="1095" spans="1:5" x14ac:dyDescent="0.25">
      <c r="A1095">
        <v>8160167</v>
      </c>
      <c r="B1095">
        <v>2861483</v>
      </c>
      <c r="C1095" s="1">
        <v>42527</v>
      </c>
      <c r="D1095" t="s">
        <v>26</v>
      </c>
      <c r="E1095" t="str">
        <f>VLOOKUP(TRIM(D1095), Catalogo_gestiones!$A:$B, 2, FALSE)</f>
        <v>N</v>
      </c>
    </row>
    <row r="1096" spans="1:5" x14ac:dyDescent="0.25">
      <c r="A1096">
        <v>8160262</v>
      </c>
      <c r="B1096">
        <v>26180107</v>
      </c>
      <c r="C1096" s="1">
        <v>42527</v>
      </c>
      <c r="D1096" t="s">
        <v>27</v>
      </c>
      <c r="E1096" t="str">
        <f>VLOOKUP(TRIM(D1096), Catalogo_gestiones!$A:$B, 2, FALSE)</f>
        <v>S</v>
      </c>
    </row>
    <row r="1097" spans="1:5" x14ac:dyDescent="0.25">
      <c r="A1097">
        <v>8160270</v>
      </c>
      <c r="B1097">
        <v>27760880</v>
      </c>
      <c r="C1097" s="1">
        <v>42527</v>
      </c>
      <c r="D1097" t="s">
        <v>28</v>
      </c>
      <c r="E1097" t="str">
        <f>VLOOKUP(TRIM(D1097), Catalogo_gestiones!$A:$B, 2, FALSE)</f>
        <v>N</v>
      </c>
    </row>
    <row r="1098" spans="1:5" x14ac:dyDescent="0.25">
      <c r="A1098">
        <v>8160623</v>
      </c>
      <c r="B1098">
        <v>21313010</v>
      </c>
      <c r="C1098" s="1">
        <v>42530</v>
      </c>
      <c r="D1098" t="s">
        <v>30</v>
      </c>
      <c r="E1098" t="str">
        <f>VLOOKUP(TRIM(D1098), Catalogo_gestiones!$A:$B, 2, FALSE)</f>
        <v>S</v>
      </c>
    </row>
    <row r="1099" spans="1:5" x14ac:dyDescent="0.25">
      <c r="A1099">
        <v>8160623</v>
      </c>
      <c r="B1099">
        <v>27645067</v>
      </c>
      <c r="C1099" s="1">
        <v>42530</v>
      </c>
      <c r="D1099" t="s">
        <v>24</v>
      </c>
      <c r="E1099" t="str">
        <f>VLOOKUP(TRIM(D1099), Catalogo_gestiones!$A:$B, 2, FALSE)</f>
        <v>S</v>
      </c>
    </row>
    <row r="1100" spans="1:5" x14ac:dyDescent="0.25">
      <c r="A1100">
        <v>8160956</v>
      </c>
      <c r="B1100">
        <v>21942759</v>
      </c>
      <c r="C1100" s="1">
        <v>42527</v>
      </c>
      <c r="D1100" t="s">
        <v>25</v>
      </c>
      <c r="E1100" t="str">
        <f>VLOOKUP(TRIM(D1100), Catalogo_gestiones!$A:$B, 2, FALSE)</f>
        <v>N</v>
      </c>
    </row>
    <row r="1101" spans="1:5" x14ac:dyDescent="0.25">
      <c r="A1101">
        <v>8160956</v>
      </c>
      <c r="B1101">
        <v>21943359</v>
      </c>
      <c r="C1101" s="1">
        <v>42527</v>
      </c>
      <c r="D1101" t="s">
        <v>26</v>
      </c>
      <c r="E1101" t="str">
        <f>VLOOKUP(TRIM(D1101), Catalogo_gestiones!$A:$B, 2, FALSE)</f>
        <v>N</v>
      </c>
    </row>
    <row r="1102" spans="1:5" x14ac:dyDescent="0.25">
      <c r="A1102">
        <v>8160956</v>
      </c>
      <c r="B1102">
        <v>21943838</v>
      </c>
      <c r="C1102" s="1">
        <v>42527</v>
      </c>
      <c r="D1102" t="s">
        <v>27</v>
      </c>
      <c r="E1102" t="str">
        <f>VLOOKUP(TRIM(D1102), Catalogo_gestiones!$A:$B, 2, FALSE)</f>
        <v>S</v>
      </c>
    </row>
    <row r="1103" spans="1:5" x14ac:dyDescent="0.25">
      <c r="A1103">
        <v>8161759</v>
      </c>
      <c r="B1103">
        <v>24392059</v>
      </c>
      <c r="C1103" s="1">
        <v>42527</v>
      </c>
      <c r="D1103" t="s">
        <v>28</v>
      </c>
      <c r="E1103" t="str">
        <f>VLOOKUP(TRIM(D1103), Catalogo_gestiones!$A:$B, 2, FALSE)</f>
        <v>N</v>
      </c>
    </row>
    <row r="1104" spans="1:5" x14ac:dyDescent="0.25">
      <c r="A1104">
        <v>8161857</v>
      </c>
      <c r="B1104">
        <v>28595455</v>
      </c>
      <c r="C1104" s="1">
        <v>42526</v>
      </c>
      <c r="D1104" t="s">
        <v>24</v>
      </c>
      <c r="E1104" t="str">
        <f>VLOOKUP(TRIM(D1104), Catalogo_gestiones!$A:$B, 2, FALSE)</f>
        <v>S</v>
      </c>
    </row>
    <row r="1105" spans="1:5" x14ac:dyDescent="0.25">
      <c r="A1105">
        <v>8162090</v>
      </c>
      <c r="B1105">
        <v>12041523</v>
      </c>
      <c r="C1105" s="1">
        <v>42527</v>
      </c>
      <c r="D1105" t="s">
        <v>25</v>
      </c>
      <c r="E1105" t="str">
        <f>VLOOKUP(TRIM(D1105), Catalogo_gestiones!$A:$B, 2, FALSE)</f>
        <v>N</v>
      </c>
    </row>
    <row r="1106" spans="1:5" x14ac:dyDescent="0.25">
      <c r="A1106">
        <v>8162090</v>
      </c>
      <c r="B1106">
        <v>20732916</v>
      </c>
      <c r="C1106" s="1">
        <v>42527</v>
      </c>
      <c r="D1106" t="s">
        <v>26</v>
      </c>
      <c r="E1106" t="str">
        <f>VLOOKUP(TRIM(D1106), Catalogo_gestiones!$A:$B, 2, FALSE)</f>
        <v>N</v>
      </c>
    </row>
    <row r="1107" spans="1:5" x14ac:dyDescent="0.25">
      <c r="A1107">
        <v>8162090</v>
      </c>
      <c r="B1107">
        <v>20736069</v>
      </c>
      <c r="C1107" s="1">
        <v>42527</v>
      </c>
      <c r="D1107" t="s">
        <v>27</v>
      </c>
      <c r="E1107" t="str">
        <f>VLOOKUP(TRIM(D1107), Catalogo_gestiones!$A:$B, 2, FALSE)</f>
        <v>S</v>
      </c>
    </row>
    <row r="1108" spans="1:5" x14ac:dyDescent="0.25">
      <c r="A1108">
        <v>8162545</v>
      </c>
      <c r="B1108">
        <v>20841513</v>
      </c>
      <c r="C1108" s="1">
        <v>42531</v>
      </c>
      <c r="D1108" t="s">
        <v>28</v>
      </c>
      <c r="E1108" t="str">
        <f>VLOOKUP(TRIM(D1108), Catalogo_gestiones!$A:$B, 2, FALSE)</f>
        <v>N</v>
      </c>
    </row>
    <row r="1109" spans="1:5" x14ac:dyDescent="0.25">
      <c r="A1109">
        <v>8162545</v>
      </c>
      <c r="B1109">
        <v>22625570</v>
      </c>
      <c r="C1109" s="1">
        <v>42528</v>
      </c>
      <c r="D1109" t="s">
        <v>24</v>
      </c>
      <c r="E1109" t="str">
        <f>VLOOKUP(TRIM(D1109), Catalogo_gestiones!$A:$B, 2, FALSE)</f>
        <v>S</v>
      </c>
    </row>
    <row r="1110" spans="1:5" x14ac:dyDescent="0.25">
      <c r="A1110">
        <v>8162900</v>
      </c>
      <c r="B1110">
        <v>26490081</v>
      </c>
      <c r="C1110" s="1">
        <v>42528</v>
      </c>
      <c r="D1110" t="s">
        <v>25</v>
      </c>
      <c r="E1110" t="str">
        <f>VLOOKUP(TRIM(D1110), Catalogo_gestiones!$A:$B, 2, FALSE)</f>
        <v>N</v>
      </c>
    </row>
    <row r="1111" spans="1:5" x14ac:dyDescent="0.25">
      <c r="A1111">
        <v>8163083</v>
      </c>
      <c r="B1111">
        <v>26691394</v>
      </c>
      <c r="C1111" s="1">
        <v>42528</v>
      </c>
      <c r="D1111" t="s">
        <v>26</v>
      </c>
      <c r="E1111" t="str">
        <f>VLOOKUP(TRIM(D1111), Catalogo_gestiones!$A:$B, 2, FALSE)</f>
        <v>N</v>
      </c>
    </row>
    <row r="1112" spans="1:5" x14ac:dyDescent="0.25">
      <c r="A1112">
        <v>8163089</v>
      </c>
      <c r="B1112">
        <v>23261406</v>
      </c>
      <c r="C1112" s="1">
        <v>42528</v>
      </c>
      <c r="D1112" t="s">
        <v>27</v>
      </c>
      <c r="E1112" t="str">
        <f>VLOOKUP(TRIM(D1112), Catalogo_gestiones!$A:$B, 2, FALSE)</f>
        <v>S</v>
      </c>
    </row>
    <row r="1113" spans="1:5" x14ac:dyDescent="0.25">
      <c r="A1113">
        <v>8163206</v>
      </c>
      <c r="B1113">
        <v>21051982</v>
      </c>
      <c r="C1113" s="1">
        <v>42528</v>
      </c>
      <c r="D1113" t="s">
        <v>28</v>
      </c>
      <c r="E1113" t="str">
        <f>VLOOKUP(TRIM(D1113), Catalogo_gestiones!$A:$B, 2, FALSE)</f>
        <v>N</v>
      </c>
    </row>
    <row r="1114" spans="1:5" x14ac:dyDescent="0.25">
      <c r="A1114">
        <v>8163225</v>
      </c>
      <c r="B1114">
        <v>14785233</v>
      </c>
      <c r="C1114" s="1">
        <v>42528</v>
      </c>
      <c r="D1114" t="s">
        <v>30</v>
      </c>
      <c r="E1114" t="str">
        <f>VLOOKUP(TRIM(D1114), Catalogo_gestiones!$A:$B, 2, FALSE)</f>
        <v>S</v>
      </c>
    </row>
    <row r="1115" spans="1:5" x14ac:dyDescent="0.25">
      <c r="A1115">
        <v>8163225</v>
      </c>
      <c r="B1115">
        <v>24997522</v>
      </c>
      <c r="C1115" s="1">
        <v>42528</v>
      </c>
      <c r="D1115" t="s">
        <v>24</v>
      </c>
      <c r="E1115" t="str">
        <f>VLOOKUP(TRIM(D1115), Catalogo_gestiones!$A:$B, 2, FALSE)</f>
        <v>S</v>
      </c>
    </row>
    <row r="1116" spans="1:5" x14ac:dyDescent="0.25">
      <c r="A1116">
        <v>8163268</v>
      </c>
      <c r="B1116">
        <v>27339206</v>
      </c>
      <c r="C1116" s="1">
        <v>42528</v>
      </c>
      <c r="D1116" t="s">
        <v>25</v>
      </c>
      <c r="E1116" t="str">
        <f>VLOOKUP(TRIM(D1116), Catalogo_gestiones!$A:$B, 2, FALSE)</f>
        <v>N</v>
      </c>
    </row>
    <row r="1117" spans="1:5" x14ac:dyDescent="0.25">
      <c r="A1117">
        <v>8163501</v>
      </c>
      <c r="B1117">
        <v>21616089</v>
      </c>
      <c r="C1117" s="1">
        <v>42528</v>
      </c>
      <c r="D1117" t="s">
        <v>26</v>
      </c>
      <c r="E1117" t="str">
        <f>VLOOKUP(TRIM(D1117), Catalogo_gestiones!$A:$B, 2, FALSE)</f>
        <v>N</v>
      </c>
    </row>
    <row r="1118" spans="1:5" x14ac:dyDescent="0.25">
      <c r="A1118">
        <v>8163501</v>
      </c>
      <c r="B1118">
        <v>21618226</v>
      </c>
      <c r="C1118" s="1">
        <v>42528</v>
      </c>
      <c r="D1118" t="s">
        <v>27</v>
      </c>
      <c r="E1118" t="str">
        <f>VLOOKUP(TRIM(D1118), Catalogo_gestiones!$A:$B, 2, FALSE)</f>
        <v>S</v>
      </c>
    </row>
    <row r="1119" spans="1:5" x14ac:dyDescent="0.25">
      <c r="A1119">
        <v>8163501</v>
      </c>
      <c r="B1119">
        <v>21621233</v>
      </c>
      <c r="C1119" s="1">
        <v>42528</v>
      </c>
      <c r="D1119" t="s">
        <v>28</v>
      </c>
      <c r="E1119" t="str">
        <f>VLOOKUP(TRIM(D1119), Catalogo_gestiones!$A:$B, 2, FALSE)</f>
        <v>N</v>
      </c>
    </row>
    <row r="1120" spans="1:5" x14ac:dyDescent="0.25">
      <c r="A1120">
        <v>8163501</v>
      </c>
      <c r="B1120">
        <v>24110082</v>
      </c>
      <c r="C1120" s="1">
        <v>42528</v>
      </c>
      <c r="D1120" t="s">
        <v>24</v>
      </c>
      <c r="E1120" t="str">
        <f>VLOOKUP(TRIM(D1120), Catalogo_gestiones!$A:$B, 2, FALSE)</f>
        <v>S</v>
      </c>
    </row>
    <row r="1121" spans="1:5" x14ac:dyDescent="0.25">
      <c r="A1121">
        <v>8163541</v>
      </c>
      <c r="B1121">
        <v>24920834</v>
      </c>
      <c r="C1121" s="1">
        <v>42528</v>
      </c>
      <c r="D1121" t="s">
        <v>25</v>
      </c>
      <c r="E1121" t="str">
        <f>VLOOKUP(TRIM(D1121), Catalogo_gestiones!$A:$B, 2, FALSE)</f>
        <v>N</v>
      </c>
    </row>
    <row r="1122" spans="1:5" x14ac:dyDescent="0.25">
      <c r="A1122">
        <v>8163778</v>
      </c>
      <c r="B1122">
        <v>27381420</v>
      </c>
      <c r="C1122" s="1">
        <v>42528</v>
      </c>
      <c r="D1122" t="s">
        <v>26</v>
      </c>
      <c r="E1122" t="str">
        <f>VLOOKUP(TRIM(D1122), Catalogo_gestiones!$A:$B, 2, FALSE)</f>
        <v>N</v>
      </c>
    </row>
    <row r="1123" spans="1:5" x14ac:dyDescent="0.25">
      <c r="A1123">
        <v>8163809</v>
      </c>
      <c r="B1123">
        <v>26370927</v>
      </c>
      <c r="C1123" s="1">
        <v>42528</v>
      </c>
      <c r="D1123" t="s">
        <v>27</v>
      </c>
      <c r="E1123" t="str">
        <f>VLOOKUP(TRIM(D1123), Catalogo_gestiones!$A:$B, 2, FALSE)</f>
        <v>S</v>
      </c>
    </row>
    <row r="1124" spans="1:5" x14ac:dyDescent="0.25">
      <c r="A1124">
        <v>8163832</v>
      </c>
      <c r="B1124">
        <v>24843109</v>
      </c>
      <c r="C1124" s="1">
        <v>42528</v>
      </c>
      <c r="D1124" t="s">
        <v>28</v>
      </c>
      <c r="E1124" t="str">
        <f>VLOOKUP(TRIM(D1124), Catalogo_gestiones!$A:$B, 2, FALSE)</f>
        <v>N</v>
      </c>
    </row>
    <row r="1125" spans="1:5" x14ac:dyDescent="0.25">
      <c r="A1125">
        <v>8164317</v>
      </c>
      <c r="B1125">
        <v>24836777</v>
      </c>
      <c r="C1125" s="1">
        <v>42528</v>
      </c>
      <c r="D1125" t="s">
        <v>24</v>
      </c>
      <c r="E1125" t="str">
        <f>VLOOKUP(TRIM(D1125), Catalogo_gestiones!$A:$B, 2, FALSE)</f>
        <v>S</v>
      </c>
    </row>
    <row r="1126" spans="1:5" x14ac:dyDescent="0.25">
      <c r="A1126">
        <v>8164706</v>
      </c>
      <c r="B1126">
        <v>27675670</v>
      </c>
      <c r="C1126" s="1">
        <v>42528</v>
      </c>
      <c r="D1126" t="s">
        <v>25</v>
      </c>
      <c r="E1126" t="str">
        <f>VLOOKUP(TRIM(D1126), Catalogo_gestiones!$A:$B, 2, FALSE)</f>
        <v>N</v>
      </c>
    </row>
    <row r="1127" spans="1:5" x14ac:dyDescent="0.25">
      <c r="A1127">
        <v>8164716</v>
      </c>
      <c r="B1127">
        <v>23812101</v>
      </c>
      <c r="C1127" s="1">
        <v>42528</v>
      </c>
      <c r="D1127" t="s">
        <v>26</v>
      </c>
      <c r="E1127" t="str">
        <f>VLOOKUP(TRIM(D1127), Catalogo_gestiones!$A:$B, 2, FALSE)</f>
        <v>N</v>
      </c>
    </row>
    <row r="1128" spans="1:5" x14ac:dyDescent="0.25">
      <c r="A1128">
        <v>8164846</v>
      </c>
      <c r="B1128">
        <v>24213987</v>
      </c>
      <c r="C1128" s="1">
        <v>42528</v>
      </c>
      <c r="D1128" t="s">
        <v>27</v>
      </c>
      <c r="E1128" t="str">
        <f>VLOOKUP(TRIM(D1128), Catalogo_gestiones!$A:$B, 2, FALSE)</f>
        <v>S</v>
      </c>
    </row>
    <row r="1129" spans="1:5" x14ac:dyDescent="0.25">
      <c r="A1129">
        <v>8164886</v>
      </c>
      <c r="B1129">
        <v>26205139</v>
      </c>
      <c r="C1129" s="1">
        <v>42528</v>
      </c>
      <c r="D1129" t="s">
        <v>28</v>
      </c>
      <c r="E1129" t="str">
        <f>VLOOKUP(TRIM(D1129), Catalogo_gestiones!$A:$B, 2, FALSE)</f>
        <v>N</v>
      </c>
    </row>
    <row r="1130" spans="1:5" x14ac:dyDescent="0.25">
      <c r="A1130">
        <v>8164886</v>
      </c>
      <c r="B1130">
        <v>26206180</v>
      </c>
      <c r="C1130" s="1">
        <v>42528</v>
      </c>
      <c r="D1130" t="s">
        <v>30</v>
      </c>
      <c r="E1130" t="str">
        <f>VLOOKUP(TRIM(D1130), Catalogo_gestiones!$A:$B, 2, FALSE)</f>
        <v>S</v>
      </c>
    </row>
    <row r="1131" spans="1:5" x14ac:dyDescent="0.25">
      <c r="A1131">
        <v>8164974</v>
      </c>
      <c r="B1131">
        <v>25826418</v>
      </c>
      <c r="C1131" s="1">
        <v>42528</v>
      </c>
      <c r="D1131" t="s">
        <v>24</v>
      </c>
      <c r="E1131" t="str">
        <f>VLOOKUP(TRIM(D1131), Catalogo_gestiones!$A:$B, 2, FALSE)</f>
        <v>S</v>
      </c>
    </row>
    <row r="1132" spans="1:5" x14ac:dyDescent="0.25">
      <c r="A1132">
        <v>8165150</v>
      </c>
      <c r="B1132">
        <v>25261181</v>
      </c>
      <c r="C1132" s="1">
        <v>42528</v>
      </c>
      <c r="D1132" t="s">
        <v>25</v>
      </c>
      <c r="E1132" t="str">
        <f>VLOOKUP(TRIM(D1132), Catalogo_gestiones!$A:$B, 2, FALSE)</f>
        <v>N</v>
      </c>
    </row>
    <row r="1133" spans="1:5" x14ac:dyDescent="0.25">
      <c r="A1133">
        <v>8165309</v>
      </c>
      <c r="B1133">
        <v>27696033</v>
      </c>
      <c r="C1133" s="1">
        <v>42528</v>
      </c>
      <c r="D1133" t="s">
        <v>26</v>
      </c>
      <c r="E1133" t="str">
        <f>VLOOKUP(TRIM(D1133), Catalogo_gestiones!$A:$B, 2, FALSE)</f>
        <v>N</v>
      </c>
    </row>
    <row r="1134" spans="1:5" x14ac:dyDescent="0.25">
      <c r="A1134">
        <v>8165415</v>
      </c>
      <c r="B1134">
        <v>21264525</v>
      </c>
      <c r="C1134" s="1">
        <v>42528</v>
      </c>
      <c r="D1134" t="s">
        <v>27</v>
      </c>
      <c r="E1134" t="str">
        <f>VLOOKUP(TRIM(D1134), Catalogo_gestiones!$A:$B, 2, FALSE)</f>
        <v>S</v>
      </c>
    </row>
    <row r="1135" spans="1:5" x14ac:dyDescent="0.25">
      <c r="A1135">
        <v>8165415</v>
      </c>
      <c r="B1135">
        <v>28584076</v>
      </c>
      <c r="C1135" s="1">
        <v>42525</v>
      </c>
      <c r="D1135" t="s">
        <v>28</v>
      </c>
      <c r="E1135" t="str">
        <f>VLOOKUP(TRIM(D1135), Catalogo_gestiones!$A:$B, 2, FALSE)</f>
        <v>N</v>
      </c>
    </row>
    <row r="1136" spans="1:5" x14ac:dyDescent="0.25">
      <c r="A1136">
        <v>8165420</v>
      </c>
      <c r="B1136">
        <v>27823013</v>
      </c>
      <c r="C1136" s="1">
        <v>42528</v>
      </c>
      <c r="D1136" t="s">
        <v>24</v>
      </c>
      <c r="E1136" t="str">
        <f>VLOOKUP(TRIM(D1136), Catalogo_gestiones!$A:$B, 2, FALSE)</f>
        <v>S</v>
      </c>
    </row>
    <row r="1137" spans="1:5" x14ac:dyDescent="0.25">
      <c r="A1137">
        <v>8165423</v>
      </c>
      <c r="B1137">
        <v>27019405</v>
      </c>
      <c r="C1137" s="1">
        <v>42528</v>
      </c>
      <c r="D1137" t="s">
        <v>25</v>
      </c>
      <c r="E1137" t="str">
        <f>VLOOKUP(TRIM(D1137), Catalogo_gestiones!$A:$B, 2, FALSE)</f>
        <v>N</v>
      </c>
    </row>
    <row r="1138" spans="1:5" x14ac:dyDescent="0.25">
      <c r="A1138">
        <v>8165559</v>
      </c>
      <c r="B1138">
        <v>24129857</v>
      </c>
      <c r="C1138" s="1">
        <v>42528</v>
      </c>
      <c r="D1138" t="s">
        <v>26</v>
      </c>
      <c r="E1138" t="str">
        <f>VLOOKUP(TRIM(D1138), Catalogo_gestiones!$A:$B, 2, FALSE)</f>
        <v>N</v>
      </c>
    </row>
    <row r="1139" spans="1:5" x14ac:dyDescent="0.25">
      <c r="A1139">
        <v>8165867</v>
      </c>
      <c r="B1139">
        <v>28083468</v>
      </c>
      <c r="C1139" s="1">
        <v>42528</v>
      </c>
      <c r="D1139" t="s">
        <v>27</v>
      </c>
      <c r="E1139" t="str">
        <f>VLOOKUP(TRIM(D1139), Catalogo_gestiones!$A:$B, 2, FALSE)</f>
        <v>S</v>
      </c>
    </row>
    <row r="1140" spans="1:5" x14ac:dyDescent="0.25">
      <c r="A1140">
        <v>8165887</v>
      </c>
      <c r="B1140">
        <v>11364019</v>
      </c>
      <c r="C1140" s="1">
        <v>42528</v>
      </c>
      <c r="D1140" t="s">
        <v>28</v>
      </c>
      <c r="E1140" t="str">
        <f>VLOOKUP(TRIM(D1140), Catalogo_gestiones!$A:$B, 2, FALSE)</f>
        <v>N</v>
      </c>
    </row>
    <row r="1141" spans="1:5" x14ac:dyDescent="0.25">
      <c r="A1141">
        <v>8165887</v>
      </c>
      <c r="B1141">
        <v>26704806</v>
      </c>
      <c r="C1141" s="1">
        <v>42528</v>
      </c>
      <c r="D1141" t="s">
        <v>24</v>
      </c>
      <c r="E1141" t="str">
        <f>VLOOKUP(TRIM(D1141), Catalogo_gestiones!$A:$B, 2, FALSE)</f>
        <v>S</v>
      </c>
    </row>
    <row r="1142" spans="1:5" x14ac:dyDescent="0.25">
      <c r="A1142">
        <v>8165993</v>
      </c>
      <c r="B1142">
        <v>4366591</v>
      </c>
      <c r="C1142" s="1">
        <v>42531</v>
      </c>
      <c r="D1142" t="s">
        <v>25</v>
      </c>
      <c r="E1142" t="str">
        <f>VLOOKUP(TRIM(D1142), Catalogo_gestiones!$A:$B, 2, FALSE)</f>
        <v>N</v>
      </c>
    </row>
    <row r="1143" spans="1:5" x14ac:dyDescent="0.25">
      <c r="A1143">
        <v>8165993</v>
      </c>
      <c r="B1143">
        <v>26466300</v>
      </c>
      <c r="C1143" s="1">
        <v>42528</v>
      </c>
      <c r="D1143" t="s">
        <v>26</v>
      </c>
      <c r="E1143" t="str">
        <f>VLOOKUP(TRIM(D1143), Catalogo_gestiones!$A:$B, 2, FALSE)</f>
        <v>N</v>
      </c>
    </row>
    <row r="1144" spans="1:5" x14ac:dyDescent="0.25">
      <c r="A1144">
        <v>8165995</v>
      </c>
      <c r="B1144">
        <v>19787114</v>
      </c>
      <c r="C1144" s="1">
        <v>42528</v>
      </c>
      <c r="D1144" t="s">
        <v>27</v>
      </c>
      <c r="E1144" t="str">
        <f>VLOOKUP(TRIM(D1144), Catalogo_gestiones!$A:$B, 2, FALSE)</f>
        <v>S</v>
      </c>
    </row>
    <row r="1145" spans="1:5" x14ac:dyDescent="0.25">
      <c r="A1145">
        <v>8165995</v>
      </c>
      <c r="B1145">
        <v>28584115</v>
      </c>
      <c r="C1145" s="1">
        <v>42525</v>
      </c>
      <c r="D1145" t="s">
        <v>28</v>
      </c>
      <c r="E1145" t="str">
        <f>VLOOKUP(TRIM(D1145), Catalogo_gestiones!$A:$B, 2, FALSE)</f>
        <v>N</v>
      </c>
    </row>
    <row r="1146" spans="1:5" x14ac:dyDescent="0.25">
      <c r="A1146">
        <v>8166018</v>
      </c>
      <c r="B1146">
        <v>26407894</v>
      </c>
      <c r="C1146" s="1">
        <v>42528</v>
      </c>
      <c r="D1146" t="s">
        <v>30</v>
      </c>
      <c r="E1146" t="str">
        <f>VLOOKUP(TRIM(D1146), Catalogo_gestiones!$A:$B, 2, FALSE)</f>
        <v>S</v>
      </c>
    </row>
    <row r="1147" spans="1:5" x14ac:dyDescent="0.25">
      <c r="A1147">
        <v>8166066</v>
      </c>
      <c r="B1147">
        <v>25450737</v>
      </c>
      <c r="C1147" s="1">
        <v>42528</v>
      </c>
      <c r="D1147" t="s">
        <v>24</v>
      </c>
      <c r="E1147" t="str">
        <f>VLOOKUP(TRIM(D1147), Catalogo_gestiones!$A:$B, 2, FALSE)</f>
        <v>S</v>
      </c>
    </row>
    <row r="1148" spans="1:5" x14ac:dyDescent="0.25">
      <c r="A1148">
        <v>8166124</v>
      </c>
      <c r="B1148">
        <v>25535320</v>
      </c>
      <c r="C1148" s="1">
        <v>42528</v>
      </c>
      <c r="D1148" t="s">
        <v>25</v>
      </c>
      <c r="E1148" t="str">
        <f>VLOOKUP(TRIM(D1148), Catalogo_gestiones!$A:$B, 2, FALSE)</f>
        <v>N</v>
      </c>
    </row>
    <row r="1149" spans="1:5" x14ac:dyDescent="0.25">
      <c r="A1149">
        <v>8166124</v>
      </c>
      <c r="B1149">
        <v>27177694</v>
      </c>
      <c r="C1149" s="1">
        <v>42528</v>
      </c>
      <c r="D1149" t="s">
        <v>26</v>
      </c>
      <c r="E1149" t="str">
        <f>VLOOKUP(TRIM(D1149), Catalogo_gestiones!$A:$B, 2, FALSE)</f>
        <v>N</v>
      </c>
    </row>
    <row r="1150" spans="1:5" x14ac:dyDescent="0.25">
      <c r="A1150">
        <v>8166205</v>
      </c>
      <c r="B1150">
        <v>20943764</v>
      </c>
      <c r="C1150" s="1">
        <v>42528</v>
      </c>
      <c r="D1150" t="s">
        <v>27</v>
      </c>
      <c r="E1150" t="str">
        <f>VLOOKUP(TRIM(D1150), Catalogo_gestiones!$A:$B, 2, FALSE)</f>
        <v>S</v>
      </c>
    </row>
    <row r="1151" spans="1:5" x14ac:dyDescent="0.25">
      <c r="A1151">
        <v>8166205</v>
      </c>
      <c r="B1151">
        <v>20946217</v>
      </c>
      <c r="C1151" s="1">
        <v>42528</v>
      </c>
      <c r="D1151" t="s">
        <v>28</v>
      </c>
      <c r="E1151" t="str">
        <f>VLOOKUP(TRIM(D1151), Catalogo_gestiones!$A:$B, 2, FALSE)</f>
        <v>N</v>
      </c>
    </row>
    <row r="1152" spans="1:5" x14ac:dyDescent="0.25">
      <c r="A1152">
        <v>8166235</v>
      </c>
      <c r="B1152">
        <v>22194960</v>
      </c>
      <c r="C1152" s="1">
        <v>42528</v>
      </c>
      <c r="D1152" t="s">
        <v>24</v>
      </c>
      <c r="E1152" t="str">
        <f>VLOOKUP(TRIM(D1152), Catalogo_gestiones!$A:$B, 2, FALSE)</f>
        <v>S</v>
      </c>
    </row>
    <row r="1153" spans="1:5" x14ac:dyDescent="0.25">
      <c r="A1153">
        <v>8166235</v>
      </c>
      <c r="B1153">
        <v>23293642</v>
      </c>
      <c r="C1153" s="1">
        <v>42528</v>
      </c>
      <c r="D1153" t="s">
        <v>25</v>
      </c>
      <c r="E1153" t="str">
        <f>VLOOKUP(TRIM(D1153), Catalogo_gestiones!$A:$B, 2, FALSE)</f>
        <v>N</v>
      </c>
    </row>
    <row r="1154" spans="1:5" x14ac:dyDescent="0.25">
      <c r="A1154">
        <v>8166389</v>
      </c>
      <c r="B1154">
        <v>26935836</v>
      </c>
      <c r="C1154" s="1">
        <v>42528</v>
      </c>
      <c r="D1154" t="s">
        <v>26</v>
      </c>
      <c r="E1154" t="str">
        <f>VLOOKUP(TRIM(D1154), Catalogo_gestiones!$A:$B, 2, FALSE)</f>
        <v>N</v>
      </c>
    </row>
    <row r="1155" spans="1:5" x14ac:dyDescent="0.25">
      <c r="A1155">
        <v>8166412</v>
      </c>
      <c r="B1155">
        <v>28040121</v>
      </c>
      <c r="C1155" s="1">
        <v>42528</v>
      </c>
      <c r="D1155" t="s">
        <v>27</v>
      </c>
      <c r="E1155" t="str">
        <f>VLOOKUP(TRIM(D1155), Catalogo_gestiones!$A:$B, 2, FALSE)</f>
        <v>S</v>
      </c>
    </row>
    <row r="1156" spans="1:5" x14ac:dyDescent="0.25">
      <c r="A1156">
        <v>8166533</v>
      </c>
      <c r="B1156">
        <v>27048470</v>
      </c>
      <c r="C1156" s="1">
        <v>42528</v>
      </c>
      <c r="D1156" t="s">
        <v>28</v>
      </c>
      <c r="E1156" t="str">
        <f>VLOOKUP(TRIM(D1156), Catalogo_gestiones!$A:$B, 2, FALSE)</f>
        <v>N</v>
      </c>
    </row>
    <row r="1157" spans="1:5" x14ac:dyDescent="0.25">
      <c r="A1157">
        <v>8166876</v>
      </c>
      <c r="B1157">
        <v>25427986</v>
      </c>
      <c r="C1157" s="1">
        <v>42528</v>
      </c>
      <c r="D1157" t="s">
        <v>24</v>
      </c>
      <c r="E1157" t="str">
        <f>VLOOKUP(TRIM(D1157), Catalogo_gestiones!$A:$B, 2, FALSE)</f>
        <v>S</v>
      </c>
    </row>
    <row r="1158" spans="1:5" x14ac:dyDescent="0.25">
      <c r="A1158">
        <v>8166876</v>
      </c>
      <c r="B1158">
        <v>25433531</v>
      </c>
      <c r="C1158" s="1">
        <v>42528</v>
      </c>
      <c r="D1158" t="s">
        <v>25</v>
      </c>
      <c r="E1158" t="str">
        <f>VLOOKUP(TRIM(D1158), Catalogo_gestiones!$A:$B, 2, FALSE)</f>
        <v>N</v>
      </c>
    </row>
    <row r="1159" spans="1:5" x14ac:dyDescent="0.25">
      <c r="A1159">
        <v>8166895</v>
      </c>
      <c r="B1159">
        <v>17937860</v>
      </c>
      <c r="C1159" s="1">
        <v>42528</v>
      </c>
      <c r="D1159" t="s">
        <v>26</v>
      </c>
      <c r="E1159" t="str">
        <f>VLOOKUP(TRIM(D1159), Catalogo_gestiones!$A:$B, 2, FALSE)</f>
        <v>N</v>
      </c>
    </row>
    <row r="1160" spans="1:5" x14ac:dyDescent="0.25">
      <c r="A1160">
        <v>8167005</v>
      </c>
      <c r="B1160">
        <v>25382403</v>
      </c>
      <c r="C1160" s="1">
        <v>42528</v>
      </c>
      <c r="D1160" t="s">
        <v>27</v>
      </c>
      <c r="E1160" t="str">
        <f>VLOOKUP(TRIM(D1160), Catalogo_gestiones!$A:$B, 2, FALSE)</f>
        <v>S</v>
      </c>
    </row>
    <row r="1161" spans="1:5" x14ac:dyDescent="0.25">
      <c r="A1161">
        <v>8167005</v>
      </c>
      <c r="B1161">
        <v>27609725</v>
      </c>
      <c r="C1161" s="1">
        <v>42528</v>
      </c>
      <c r="D1161" t="s">
        <v>28</v>
      </c>
      <c r="E1161" t="str">
        <f>VLOOKUP(TRIM(D1161), Catalogo_gestiones!$A:$B, 2, FALSE)</f>
        <v>N</v>
      </c>
    </row>
    <row r="1162" spans="1:5" x14ac:dyDescent="0.25">
      <c r="A1162">
        <v>8167406</v>
      </c>
      <c r="B1162">
        <v>18535343</v>
      </c>
      <c r="C1162" s="1">
        <v>42528</v>
      </c>
      <c r="D1162" t="s">
        <v>30</v>
      </c>
      <c r="E1162" t="str">
        <f>VLOOKUP(TRIM(D1162), Catalogo_gestiones!$A:$B, 2, FALSE)</f>
        <v>S</v>
      </c>
    </row>
    <row r="1163" spans="1:5" x14ac:dyDescent="0.25">
      <c r="A1163">
        <v>8167480</v>
      </c>
      <c r="B1163">
        <v>24965165</v>
      </c>
      <c r="C1163" s="1">
        <v>42528</v>
      </c>
      <c r="D1163" t="s">
        <v>24</v>
      </c>
      <c r="E1163" t="str">
        <f>VLOOKUP(TRIM(D1163), Catalogo_gestiones!$A:$B, 2, FALSE)</f>
        <v>S</v>
      </c>
    </row>
    <row r="1164" spans="1:5" x14ac:dyDescent="0.25">
      <c r="A1164">
        <v>8167480</v>
      </c>
      <c r="B1164">
        <v>24967274</v>
      </c>
      <c r="C1164" s="1">
        <v>42528</v>
      </c>
      <c r="D1164" t="s">
        <v>25</v>
      </c>
      <c r="E1164" t="str">
        <f>VLOOKUP(TRIM(D1164), Catalogo_gestiones!$A:$B, 2, FALSE)</f>
        <v>N</v>
      </c>
    </row>
    <row r="1165" spans="1:5" x14ac:dyDescent="0.25">
      <c r="A1165">
        <v>8167480</v>
      </c>
      <c r="B1165">
        <v>25550360</v>
      </c>
      <c r="C1165" s="1">
        <v>42528</v>
      </c>
      <c r="D1165" t="s">
        <v>26</v>
      </c>
      <c r="E1165" t="str">
        <f>VLOOKUP(TRIM(D1165), Catalogo_gestiones!$A:$B, 2, FALSE)</f>
        <v>N</v>
      </c>
    </row>
    <row r="1166" spans="1:5" x14ac:dyDescent="0.25">
      <c r="A1166">
        <v>8167498</v>
      </c>
      <c r="B1166">
        <v>14496476</v>
      </c>
      <c r="C1166" s="1">
        <v>42528</v>
      </c>
      <c r="D1166" t="s">
        <v>27</v>
      </c>
      <c r="E1166" t="str">
        <f>VLOOKUP(TRIM(D1166), Catalogo_gestiones!$A:$B, 2, FALSE)</f>
        <v>S</v>
      </c>
    </row>
    <row r="1167" spans="1:5" x14ac:dyDescent="0.25">
      <c r="A1167">
        <v>8167510</v>
      </c>
      <c r="B1167">
        <v>24373132</v>
      </c>
      <c r="C1167" s="1">
        <v>42528</v>
      </c>
      <c r="D1167" t="s">
        <v>28</v>
      </c>
      <c r="E1167" t="str">
        <f>VLOOKUP(TRIM(D1167), Catalogo_gestiones!$A:$B, 2, FALSE)</f>
        <v>N</v>
      </c>
    </row>
    <row r="1168" spans="1:5" x14ac:dyDescent="0.25">
      <c r="A1168">
        <v>8167543</v>
      </c>
      <c r="B1168">
        <v>14590137</v>
      </c>
      <c r="C1168" s="1">
        <v>42528</v>
      </c>
      <c r="D1168" t="s">
        <v>24</v>
      </c>
      <c r="E1168" t="str">
        <f>VLOOKUP(TRIM(D1168), Catalogo_gestiones!$A:$B, 2, FALSE)</f>
        <v>S</v>
      </c>
    </row>
    <row r="1169" spans="1:5" x14ac:dyDescent="0.25">
      <c r="A1169">
        <v>8167778</v>
      </c>
      <c r="B1169">
        <v>27145364</v>
      </c>
      <c r="C1169" s="1">
        <v>42528</v>
      </c>
      <c r="D1169" t="s">
        <v>25</v>
      </c>
      <c r="E1169" t="str">
        <f>VLOOKUP(TRIM(D1169), Catalogo_gestiones!$A:$B, 2, FALSE)</f>
        <v>N</v>
      </c>
    </row>
    <row r="1170" spans="1:5" x14ac:dyDescent="0.25">
      <c r="A1170">
        <v>8167784</v>
      </c>
      <c r="B1170">
        <v>21647828</v>
      </c>
      <c r="C1170" s="1">
        <v>42528</v>
      </c>
      <c r="D1170" t="s">
        <v>26</v>
      </c>
      <c r="E1170" t="str">
        <f>VLOOKUP(TRIM(D1170), Catalogo_gestiones!$A:$B, 2, FALSE)</f>
        <v>N</v>
      </c>
    </row>
    <row r="1171" spans="1:5" x14ac:dyDescent="0.25">
      <c r="A1171">
        <v>8167985</v>
      </c>
      <c r="B1171">
        <v>21128781</v>
      </c>
      <c r="C1171" s="1">
        <v>42528</v>
      </c>
      <c r="D1171" t="s">
        <v>27</v>
      </c>
      <c r="E1171" t="str">
        <f>VLOOKUP(TRIM(D1171), Catalogo_gestiones!$A:$B, 2, FALSE)</f>
        <v>S</v>
      </c>
    </row>
    <row r="1172" spans="1:5" x14ac:dyDescent="0.25">
      <c r="A1172">
        <v>8168164</v>
      </c>
      <c r="B1172">
        <v>27255677</v>
      </c>
      <c r="C1172" s="1">
        <v>42528</v>
      </c>
      <c r="D1172" t="s">
        <v>28</v>
      </c>
      <c r="E1172" t="str">
        <f>VLOOKUP(TRIM(D1172), Catalogo_gestiones!$A:$B, 2, FALSE)</f>
        <v>N</v>
      </c>
    </row>
    <row r="1173" spans="1:5" x14ac:dyDescent="0.25">
      <c r="A1173">
        <v>8168198</v>
      </c>
      <c r="B1173">
        <v>23820381</v>
      </c>
      <c r="C1173" s="1">
        <v>42528</v>
      </c>
      <c r="D1173" t="s">
        <v>24</v>
      </c>
      <c r="E1173" t="str">
        <f>VLOOKUP(TRIM(D1173), Catalogo_gestiones!$A:$B, 2, FALSE)</f>
        <v>S</v>
      </c>
    </row>
    <row r="1174" spans="1:5" x14ac:dyDescent="0.25">
      <c r="A1174">
        <v>8168200</v>
      </c>
      <c r="B1174">
        <v>24390372</v>
      </c>
      <c r="C1174" s="1">
        <v>42524</v>
      </c>
      <c r="D1174" t="s">
        <v>25</v>
      </c>
      <c r="E1174" t="str">
        <f>VLOOKUP(TRIM(D1174), Catalogo_gestiones!$A:$B, 2, FALSE)</f>
        <v>N</v>
      </c>
    </row>
    <row r="1175" spans="1:5" x14ac:dyDescent="0.25">
      <c r="A1175">
        <v>8168429</v>
      </c>
      <c r="B1175">
        <v>28586542</v>
      </c>
      <c r="C1175" s="1">
        <v>42526</v>
      </c>
      <c r="D1175" t="s">
        <v>26</v>
      </c>
      <c r="E1175" t="str">
        <f>VLOOKUP(TRIM(D1175), Catalogo_gestiones!$A:$B, 2, FALSE)</f>
        <v>N</v>
      </c>
    </row>
    <row r="1176" spans="1:5" x14ac:dyDescent="0.25">
      <c r="A1176">
        <v>8168460</v>
      </c>
      <c r="B1176">
        <v>2891486</v>
      </c>
      <c r="C1176" s="1">
        <v>42528</v>
      </c>
      <c r="D1176" t="s">
        <v>27</v>
      </c>
      <c r="E1176" t="str">
        <f>VLOOKUP(TRIM(D1176), Catalogo_gestiones!$A:$B, 2, FALSE)</f>
        <v>S</v>
      </c>
    </row>
    <row r="1177" spans="1:5" x14ac:dyDescent="0.25">
      <c r="A1177">
        <v>8168855</v>
      </c>
      <c r="B1177">
        <v>19612833</v>
      </c>
      <c r="C1177" s="1">
        <v>42528</v>
      </c>
      <c r="D1177" t="s">
        <v>28</v>
      </c>
      <c r="E1177" t="str">
        <f>VLOOKUP(TRIM(D1177), Catalogo_gestiones!$A:$B, 2, FALSE)</f>
        <v>N</v>
      </c>
    </row>
    <row r="1178" spans="1:5" x14ac:dyDescent="0.25">
      <c r="A1178">
        <v>8168905</v>
      </c>
      <c r="B1178">
        <v>27915388</v>
      </c>
      <c r="C1178" s="1">
        <v>42528</v>
      </c>
      <c r="D1178" t="s">
        <v>30</v>
      </c>
      <c r="E1178" t="str">
        <f>VLOOKUP(TRIM(D1178), Catalogo_gestiones!$A:$B, 2, FALSE)</f>
        <v>S</v>
      </c>
    </row>
    <row r="1179" spans="1:5" x14ac:dyDescent="0.25">
      <c r="A1179">
        <v>8168937</v>
      </c>
      <c r="B1179">
        <v>21552660</v>
      </c>
      <c r="C1179" s="1">
        <v>42528</v>
      </c>
      <c r="D1179" t="s">
        <v>24</v>
      </c>
      <c r="E1179" t="str">
        <f>VLOOKUP(TRIM(D1179), Catalogo_gestiones!$A:$B, 2, FALSE)</f>
        <v>S</v>
      </c>
    </row>
    <row r="1180" spans="1:5" x14ac:dyDescent="0.25">
      <c r="A1180">
        <v>8169074</v>
      </c>
      <c r="B1180">
        <v>25017414</v>
      </c>
      <c r="C1180" s="1">
        <v>42528</v>
      </c>
      <c r="D1180" t="s">
        <v>25</v>
      </c>
      <c r="E1180" t="str">
        <f>VLOOKUP(TRIM(D1180), Catalogo_gestiones!$A:$B, 2, FALSE)</f>
        <v>N</v>
      </c>
    </row>
    <row r="1181" spans="1:5" x14ac:dyDescent="0.25">
      <c r="A1181">
        <v>8169074</v>
      </c>
      <c r="B1181">
        <v>25018031</v>
      </c>
      <c r="C1181" s="1">
        <v>42528</v>
      </c>
      <c r="D1181" t="s">
        <v>26</v>
      </c>
      <c r="E1181" t="str">
        <f>VLOOKUP(TRIM(D1181), Catalogo_gestiones!$A:$B, 2, FALSE)</f>
        <v>N</v>
      </c>
    </row>
    <row r="1182" spans="1:5" x14ac:dyDescent="0.25">
      <c r="A1182">
        <v>8169102</v>
      </c>
      <c r="B1182">
        <v>25450537</v>
      </c>
      <c r="C1182" s="1">
        <v>42528</v>
      </c>
      <c r="D1182" t="s">
        <v>27</v>
      </c>
      <c r="E1182" t="str">
        <f>VLOOKUP(TRIM(D1182), Catalogo_gestiones!$A:$B, 2, FALSE)</f>
        <v>S</v>
      </c>
    </row>
    <row r="1183" spans="1:5" x14ac:dyDescent="0.25">
      <c r="A1183">
        <v>8169114</v>
      </c>
      <c r="B1183">
        <v>28219094</v>
      </c>
      <c r="C1183" s="1">
        <v>42528</v>
      </c>
      <c r="D1183" t="s">
        <v>28</v>
      </c>
      <c r="E1183" t="str">
        <f>VLOOKUP(TRIM(D1183), Catalogo_gestiones!$A:$B, 2, FALSE)</f>
        <v>N</v>
      </c>
    </row>
    <row r="1184" spans="1:5" x14ac:dyDescent="0.25">
      <c r="A1184">
        <v>8169123</v>
      </c>
      <c r="B1184">
        <v>23737110</v>
      </c>
      <c r="C1184" s="1">
        <v>42528</v>
      </c>
      <c r="D1184" t="s">
        <v>24</v>
      </c>
      <c r="E1184" t="str">
        <f>VLOOKUP(TRIM(D1184), Catalogo_gestiones!$A:$B, 2, FALSE)</f>
        <v>S</v>
      </c>
    </row>
    <row r="1185" spans="1:5" x14ac:dyDescent="0.25">
      <c r="A1185">
        <v>8169305</v>
      </c>
      <c r="B1185">
        <v>23981315</v>
      </c>
      <c r="C1185" s="1">
        <v>42528</v>
      </c>
      <c r="D1185" t="s">
        <v>25</v>
      </c>
      <c r="E1185" t="str">
        <f>VLOOKUP(TRIM(D1185), Catalogo_gestiones!$A:$B, 2, FALSE)</f>
        <v>N</v>
      </c>
    </row>
    <row r="1186" spans="1:5" x14ac:dyDescent="0.25">
      <c r="A1186">
        <v>8169312</v>
      </c>
      <c r="B1186">
        <v>27097133</v>
      </c>
      <c r="C1186" s="1">
        <v>42528</v>
      </c>
      <c r="D1186" t="s">
        <v>26</v>
      </c>
      <c r="E1186" t="str">
        <f>VLOOKUP(TRIM(D1186), Catalogo_gestiones!$A:$B, 2, FALSE)</f>
        <v>N</v>
      </c>
    </row>
    <row r="1187" spans="1:5" x14ac:dyDescent="0.25">
      <c r="A1187">
        <v>8169455</v>
      </c>
      <c r="B1187">
        <v>17140148</v>
      </c>
      <c r="C1187" s="1">
        <v>42535</v>
      </c>
      <c r="D1187" t="s">
        <v>27</v>
      </c>
      <c r="E1187" t="str">
        <f>VLOOKUP(TRIM(D1187), Catalogo_gestiones!$A:$B, 2, FALSE)</f>
        <v>S</v>
      </c>
    </row>
    <row r="1188" spans="1:5" x14ac:dyDescent="0.25">
      <c r="A1188">
        <v>8169800</v>
      </c>
      <c r="B1188">
        <v>27338499</v>
      </c>
      <c r="C1188" s="1">
        <v>42535</v>
      </c>
      <c r="D1188" t="s">
        <v>28</v>
      </c>
      <c r="E1188" t="str">
        <f>VLOOKUP(TRIM(D1188), Catalogo_gestiones!$A:$B, 2, FALSE)</f>
        <v>N</v>
      </c>
    </row>
    <row r="1189" spans="1:5" x14ac:dyDescent="0.25">
      <c r="A1189">
        <v>8169896</v>
      </c>
      <c r="B1189">
        <v>23435595</v>
      </c>
      <c r="C1189" s="1">
        <v>42535</v>
      </c>
      <c r="D1189" t="s">
        <v>24</v>
      </c>
      <c r="E1189" t="str">
        <f>VLOOKUP(TRIM(D1189), Catalogo_gestiones!$A:$B, 2, FALSE)</f>
        <v>S</v>
      </c>
    </row>
    <row r="1190" spans="1:5" x14ac:dyDescent="0.25">
      <c r="A1190">
        <v>8169896</v>
      </c>
      <c r="B1190">
        <v>23435865</v>
      </c>
      <c r="C1190" s="1">
        <v>42535</v>
      </c>
      <c r="D1190" t="s">
        <v>25</v>
      </c>
      <c r="E1190" t="str">
        <f>VLOOKUP(TRIM(D1190), Catalogo_gestiones!$A:$B, 2, FALSE)</f>
        <v>N</v>
      </c>
    </row>
    <row r="1191" spans="1:5" x14ac:dyDescent="0.25">
      <c r="A1191">
        <v>8169918</v>
      </c>
      <c r="B1191">
        <v>25753095</v>
      </c>
      <c r="C1191" s="1">
        <v>42535</v>
      </c>
      <c r="D1191" t="s">
        <v>26</v>
      </c>
      <c r="E1191" t="str">
        <f>VLOOKUP(TRIM(D1191), Catalogo_gestiones!$A:$B, 2, FALSE)</f>
        <v>N</v>
      </c>
    </row>
    <row r="1192" spans="1:5" x14ac:dyDescent="0.25">
      <c r="A1192">
        <v>8169981</v>
      </c>
      <c r="B1192">
        <v>27032129</v>
      </c>
      <c r="C1192" s="1">
        <v>42535</v>
      </c>
      <c r="D1192" t="s">
        <v>27</v>
      </c>
      <c r="E1192" t="str">
        <f>VLOOKUP(TRIM(D1192), Catalogo_gestiones!$A:$B, 2, FALSE)</f>
        <v>S</v>
      </c>
    </row>
    <row r="1193" spans="1:5" x14ac:dyDescent="0.25">
      <c r="A1193">
        <v>8169981</v>
      </c>
      <c r="B1193">
        <v>27033156</v>
      </c>
      <c r="C1193" s="1">
        <v>42535</v>
      </c>
      <c r="D1193" t="s">
        <v>28</v>
      </c>
      <c r="E1193" t="str">
        <f>VLOOKUP(TRIM(D1193), Catalogo_gestiones!$A:$B, 2, FALSE)</f>
        <v>N</v>
      </c>
    </row>
    <row r="1194" spans="1:5" x14ac:dyDescent="0.25">
      <c r="A1194">
        <v>8170036</v>
      </c>
      <c r="B1194">
        <v>21447860</v>
      </c>
      <c r="C1194" s="1">
        <v>42535</v>
      </c>
      <c r="D1194" t="s">
        <v>30</v>
      </c>
      <c r="E1194" t="str">
        <f>VLOOKUP(TRIM(D1194), Catalogo_gestiones!$A:$B, 2, FALSE)</f>
        <v>S</v>
      </c>
    </row>
    <row r="1195" spans="1:5" x14ac:dyDescent="0.25">
      <c r="A1195">
        <v>8170123</v>
      </c>
      <c r="B1195">
        <v>25601009</v>
      </c>
      <c r="C1195" s="1">
        <v>42535</v>
      </c>
      <c r="D1195" t="s">
        <v>24</v>
      </c>
      <c r="E1195" t="str">
        <f>VLOOKUP(TRIM(D1195), Catalogo_gestiones!$A:$B, 2, FALSE)</f>
        <v>S</v>
      </c>
    </row>
    <row r="1196" spans="1:5" x14ac:dyDescent="0.25">
      <c r="A1196">
        <v>8170382</v>
      </c>
      <c r="B1196">
        <v>26499265</v>
      </c>
      <c r="C1196" s="1">
        <v>42531</v>
      </c>
      <c r="D1196" t="s">
        <v>25</v>
      </c>
      <c r="E1196" t="str">
        <f>VLOOKUP(TRIM(D1196), Catalogo_gestiones!$A:$B, 2, FALSE)</f>
        <v>N</v>
      </c>
    </row>
    <row r="1197" spans="1:5" x14ac:dyDescent="0.25">
      <c r="A1197">
        <v>8170382</v>
      </c>
      <c r="B1197">
        <v>28063744</v>
      </c>
      <c r="C1197" s="1">
        <v>42535</v>
      </c>
      <c r="D1197" t="s">
        <v>26</v>
      </c>
      <c r="E1197" t="str">
        <f>VLOOKUP(TRIM(D1197), Catalogo_gestiones!$A:$B, 2, FALSE)</f>
        <v>N</v>
      </c>
    </row>
    <row r="1198" spans="1:5" x14ac:dyDescent="0.25">
      <c r="A1198">
        <v>8170382</v>
      </c>
      <c r="B1198">
        <v>28065349</v>
      </c>
      <c r="C1198" s="1">
        <v>42535</v>
      </c>
      <c r="D1198" t="s">
        <v>27</v>
      </c>
      <c r="E1198" t="str">
        <f>VLOOKUP(TRIM(D1198), Catalogo_gestiones!$A:$B, 2, FALSE)</f>
        <v>S</v>
      </c>
    </row>
    <row r="1199" spans="1:5" x14ac:dyDescent="0.25">
      <c r="A1199">
        <v>8170439</v>
      </c>
      <c r="B1199">
        <v>27843990</v>
      </c>
      <c r="C1199" s="1">
        <v>42535</v>
      </c>
      <c r="D1199" t="s">
        <v>28</v>
      </c>
      <c r="E1199" t="str">
        <f>VLOOKUP(TRIM(D1199), Catalogo_gestiones!$A:$B, 2, FALSE)</f>
        <v>N</v>
      </c>
    </row>
    <row r="1200" spans="1:5" x14ac:dyDescent="0.25">
      <c r="A1200">
        <v>8170763</v>
      </c>
      <c r="B1200">
        <v>26772925</v>
      </c>
      <c r="C1200" s="1">
        <v>42530</v>
      </c>
      <c r="D1200" t="s">
        <v>24</v>
      </c>
      <c r="E1200" t="str">
        <f>VLOOKUP(TRIM(D1200), Catalogo_gestiones!$A:$B, 2, FALSE)</f>
        <v>S</v>
      </c>
    </row>
    <row r="1201" spans="1:5" x14ac:dyDescent="0.25">
      <c r="A1201">
        <v>8170763</v>
      </c>
      <c r="B1201">
        <v>27233973</v>
      </c>
      <c r="C1201" s="1">
        <v>42535</v>
      </c>
      <c r="D1201" t="s">
        <v>25</v>
      </c>
      <c r="E1201" t="str">
        <f>VLOOKUP(TRIM(D1201), Catalogo_gestiones!$A:$B, 2, FALSE)</f>
        <v>N</v>
      </c>
    </row>
    <row r="1202" spans="1:5" x14ac:dyDescent="0.25">
      <c r="A1202">
        <v>8170768</v>
      </c>
      <c r="B1202">
        <v>25300694</v>
      </c>
      <c r="C1202" s="1">
        <v>42535</v>
      </c>
      <c r="D1202" t="s">
        <v>26</v>
      </c>
      <c r="E1202" t="str">
        <f>VLOOKUP(TRIM(D1202), Catalogo_gestiones!$A:$B, 2, FALSE)</f>
        <v>N</v>
      </c>
    </row>
    <row r="1203" spans="1:5" x14ac:dyDescent="0.25">
      <c r="A1203">
        <v>8170777</v>
      </c>
      <c r="B1203">
        <v>26247384</v>
      </c>
      <c r="C1203" s="1">
        <v>42535</v>
      </c>
      <c r="D1203" t="s">
        <v>27</v>
      </c>
      <c r="E1203" t="str">
        <f>VLOOKUP(TRIM(D1203), Catalogo_gestiones!$A:$B, 2, FALSE)</f>
        <v>S</v>
      </c>
    </row>
    <row r="1204" spans="1:5" x14ac:dyDescent="0.25">
      <c r="A1204">
        <v>8170777</v>
      </c>
      <c r="B1204">
        <v>27130922</v>
      </c>
      <c r="C1204" s="1">
        <v>42535</v>
      </c>
      <c r="D1204" t="s">
        <v>28</v>
      </c>
      <c r="E1204" t="str">
        <f>VLOOKUP(TRIM(D1204), Catalogo_gestiones!$A:$B, 2, FALSE)</f>
        <v>N</v>
      </c>
    </row>
    <row r="1205" spans="1:5" x14ac:dyDescent="0.25">
      <c r="A1205">
        <v>8170803</v>
      </c>
      <c r="B1205">
        <v>25962079</v>
      </c>
      <c r="C1205" s="1">
        <v>42535</v>
      </c>
      <c r="D1205" t="s">
        <v>24</v>
      </c>
      <c r="E1205" t="str">
        <f>VLOOKUP(TRIM(D1205), Catalogo_gestiones!$A:$B, 2, FALSE)</f>
        <v>S</v>
      </c>
    </row>
    <row r="1206" spans="1:5" x14ac:dyDescent="0.25">
      <c r="A1206">
        <v>8170829</v>
      </c>
      <c r="B1206">
        <v>27287702</v>
      </c>
      <c r="C1206" s="1">
        <v>42535</v>
      </c>
      <c r="D1206" t="s">
        <v>25</v>
      </c>
      <c r="E1206" t="str">
        <f>VLOOKUP(TRIM(D1206), Catalogo_gestiones!$A:$B, 2, FALSE)</f>
        <v>N</v>
      </c>
    </row>
    <row r="1207" spans="1:5" x14ac:dyDescent="0.25">
      <c r="A1207">
        <v>8170829</v>
      </c>
      <c r="B1207">
        <v>27289838</v>
      </c>
      <c r="C1207" s="1">
        <v>42535</v>
      </c>
      <c r="D1207" t="s">
        <v>26</v>
      </c>
      <c r="E1207" t="str">
        <f>VLOOKUP(TRIM(D1207), Catalogo_gestiones!$A:$B, 2, FALSE)</f>
        <v>N</v>
      </c>
    </row>
    <row r="1208" spans="1:5" x14ac:dyDescent="0.25">
      <c r="A1208">
        <v>8170851</v>
      </c>
      <c r="B1208">
        <v>27057377</v>
      </c>
      <c r="C1208" s="1">
        <v>42535</v>
      </c>
      <c r="D1208" t="s">
        <v>27</v>
      </c>
      <c r="E1208" t="str">
        <f>VLOOKUP(TRIM(D1208), Catalogo_gestiones!$A:$B, 2, FALSE)</f>
        <v>S</v>
      </c>
    </row>
    <row r="1209" spans="1:5" x14ac:dyDescent="0.25">
      <c r="A1209">
        <v>8170902</v>
      </c>
      <c r="B1209">
        <v>4617082</v>
      </c>
      <c r="C1209" s="1">
        <v>42535</v>
      </c>
      <c r="D1209" t="s">
        <v>28</v>
      </c>
      <c r="E1209" t="str">
        <f>VLOOKUP(TRIM(D1209), Catalogo_gestiones!$A:$B, 2, FALSE)</f>
        <v>N</v>
      </c>
    </row>
    <row r="1210" spans="1:5" x14ac:dyDescent="0.25">
      <c r="A1210">
        <v>8170902</v>
      </c>
      <c r="B1210">
        <v>11334214</v>
      </c>
      <c r="C1210" s="1">
        <v>42535</v>
      </c>
      <c r="D1210" t="s">
        <v>30</v>
      </c>
      <c r="E1210" t="str">
        <f>VLOOKUP(TRIM(D1210), Catalogo_gestiones!$A:$B, 2, FALSE)</f>
        <v>S</v>
      </c>
    </row>
    <row r="1211" spans="1:5" x14ac:dyDescent="0.25">
      <c r="A1211">
        <v>8171445</v>
      </c>
      <c r="B1211">
        <v>23926424</v>
      </c>
      <c r="C1211" s="1">
        <v>42535</v>
      </c>
      <c r="D1211" t="s">
        <v>24</v>
      </c>
      <c r="E1211" t="str">
        <f>VLOOKUP(TRIM(D1211), Catalogo_gestiones!$A:$B, 2, FALSE)</f>
        <v>S</v>
      </c>
    </row>
    <row r="1212" spans="1:5" x14ac:dyDescent="0.25">
      <c r="A1212">
        <v>8171508</v>
      </c>
      <c r="B1212">
        <v>27924163</v>
      </c>
      <c r="C1212" s="1">
        <v>42535</v>
      </c>
      <c r="D1212" t="s">
        <v>25</v>
      </c>
      <c r="E1212" t="str">
        <f>VLOOKUP(TRIM(D1212), Catalogo_gestiones!$A:$B, 2, FALSE)</f>
        <v>N</v>
      </c>
    </row>
    <row r="1213" spans="1:5" x14ac:dyDescent="0.25">
      <c r="A1213">
        <v>8171519</v>
      </c>
      <c r="B1213">
        <v>24829797</v>
      </c>
      <c r="C1213" s="1">
        <v>42535</v>
      </c>
      <c r="D1213" t="s">
        <v>26</v>
      </c>
      <c r="E1213" t="str">
        <f>VLOOKUP(TRIM(D1213), Catalogo_gestiones!$A:$B, 2, FALSE)</f>
        <v>N</v>
      </c>
    </row>
    <row r="1214" spans="1:5" x14ac:dyDescent="0.25">
      <c r="A1214">
        <v>8171519</v>
      </c>
      <c r="B1214">
        <v>25310605</v>
      </c>
      <c r="C1214" s="1">
        <v>42535</v>
      </c>
      <c r="D1214" t="s">
        <v>27</v>
      </c>
      <c r="E1214" t="str">
        <f>VLOOKUP(TRIM(D1214), Catalogo_gestiones!$A:$B, 2, FALSE)</f>
        <v>S</v>
      </c>
    </row>
    <row r="1215" spans="1:5" x14ac:dyDescent="0.25">
      <c r="A1215">
        <v>8171572</v>
      </c>
      <c r="B1215">
        <v>26893789</v>
      </c>
      <c r="C1215" s="1">
        <v>42531</v>
      </c>
      <c r="D1215" t="s">
        <v>28</v>
      </c>
      <c r="E1215" t="str">
        <f>VLOOKUP(TRIM(D1215), Catalogo_gestiones!$A:$B, 2, FALSE)</f>
        <v>N</v>
      </c>
    </row>
    <row r="1216" spans="1:5" x14ac:dyDescent="0.25">
      <c r="A1216">
        <v>8171572</v>
      </c>
      <c r="B1216">
        <v>27857046</v>
      </c>
      <c r="C1216" s="1">
        <v>42531</v>
      </c>
      <c r="D1216" t="s">
        <v>24</v>
      </c>
      <c r="E1216" t="str">
        <f>VLOOKUP(TRIM(D1216), Catalogo_gestiones!$A:$B, 2, FALSE)</f>
        <v>S</v>
      </c>
    </row>
    <row r="1217" spans="1:5" x14ac:dyDescent="0.25">
      <c r="A1217">
        <v>8171572</v>
      </c>
      <c r="B1217">
        <v>27858009</v>
      </c>
      <c r="C1217" s="1">
        <v>42531</v>
      </c>
      <c r="D1217" t="s">
        <v>25</v>
      </c>
      <c r="E1217" t="str">
        <f>VLOOKUP(TRIM(D1217), Catalogo_gestiones!$A:$B, 2, FALSE)</f>
        <v>N</v>
      </c>
    </row>
    <row r="1218" spans="1:5" x14ac:dyDescent="0.25">
      <c r="A1218">
        <v>8171608</v>
      </c>
      <c r="B1218">
        <v>27717868</v>
      </c>
      <c r="C1218" s="1">
        <v>42535</v>
      </c>
      <c r="D1218" t="s">
        <v>26</v>
      </c>
      <c r="E1218" t="str">
        <f>VLOOKUP(TRIM(D1218), Catalogo_gestiones!$A:$B, 2, FALSE)</f>
        <v>N</v>
      </c>
    </row>
    <row r="1219" spans="1:5" x14ac:dyDescent="0.25">
      <c r="A1219">
        <v>8171628</v>
      </c>
      <c r="B1219">
        <v>25979102</v>
      </c>
      <c r="C1219" s="1">
        <v>42535</v>
      </c>
      <c r="D1219" t="s">
        <v>27</v>
      </c>
      <c r="E1219" t="str">
        <f>VLOOKUP(TRIM(D1219), Catalogo_gestiones!$A:$B, 2, FALSE)</f>
        <v>S</v>
      </c>
    </row>
    <row r="1220" spans="1:5" x14ac:dyDescent="0.25">
      <c r="A1220">
        <v>8171685</v>
      </c>
      <c r="B1220">
        <v>27541896</v>
      </c>
      <c r="C1220" s="1">
        <v>42535</v>
      </c>
      <c r="D1220" t="s">
        <v>28</v>
      </c>
      <c r="E1220" t="str">
        <f>VLOOKUP(TRIM(D1220), Catalogo_gestiones!$A:$B, 2, FALSE)</f>
        <v>N</v>
      </c>
    </row>
    <row r="1221" spans="1:5" x14ac:dyDescent="0.25">
      <c r="A1221">
        <v>8171798</v>
      </c>
      <c r="B1221">
        <v>24099866</v>
      </c>
      <c r="C1221" s="1">
        <v>42535</v>
      </c>
      <c r="D1221" t="s">
        <v>24</v>
      </c>
      <c r="E1221" t="str">
        <f>VLOOKUP(TRIM(D1221), Catalogo_gestiones!$A:$B, 2, FALSE)</f>
        <v>S</v>
      </c>
    </row>
    <row r="1222" spans="1:5" x14ac:dyDescent="0.25">
      <c r="A1222">
        <v>8171800</v>
      </c>
      <c r="B1222">
        <v>26378227</v>
      </c>
      <c r="C1222" s="1">
        <v>42535</v>
      </c>
      <c r="D1222" t="s">
        <v>25</v>
      </c>
      <c r="E1222" t="str">
        <f>VLOOKUP(TRIM(D1222), Catalogo_gestiones!$A:$B, 2, FALSE)</f>
        <v>N</v>
      </c>
    </row>
    <row r="1223" spans="1:5" x14ac:dyDescent="0.25">
      <c r="A1223">
        <v>8171807</v>
      </c>
      <c r="B1223">
        <v>14659275</v>
      </c>
      <c r="C1223" s="1">
        <v>42535</v>
      </c>
      <c r="D1223" t="s">
        <v>26</v>
      </c>
      <c r="E1223" t="str">
        <f>VLOOKUP(TRIM(D1223), Catalogo_gestiones!$A:$B, 2, FALSE)</f>
        <v>N</v>
      </c>
    </row>
    <row r="1224" spans="1:5" x14ac:dyDescent="0.25">
      <c r="A1224">
        <v>8171812</v>
      </c>
      <c r="B1224">
        <v>10480436</v>
      </c>
      <c r="C1224" s="1">
        <v>42535</v>
      </c>
      <c r="D1224" t="s">
        <v>27</v>
      </c>
      <c r="E1224" t="str">
        <f>VLOOKUP(TRIM(D1224), Catalogo_gestiones!$A:$B, 2, FALSE)</f>
        <v>S</v>
      </c>
    </row>
    <row r="1225" spans="1:5" x14ac:dyDescent="0.25">
      <c r="A1225">
        <v>8171817</v>
      </c>
      <c r="B1225">
        <v>21620879</v>
      </c>
      <c r="C1225" s="1">
        <v>42535</v>
      </c>
      <c r="D1225" t="s">
        <v>28</v>
      </c>
      <c r="E1225" t="str">
        <f>VLOOKUP(TRIM(D1225), Catalogo_gestiones!$A:$B, 2, FALSE)</f>
        <v>N</v>
      </c>
    </row>
    <row r="1226" spans="1:5" x14ac:dyDescent="0.25">
      <c r="A1226">
        <v>8171824</v>
      </c>
      <c r="B1226">
        <v>21483616</v>
      </c>
      <c r="C1226" s="1">
        <v>42535</v>
      </c>
      <c r="D1226" t="s">
        <v>30</v>
      </c>
      <c r="E1226" t="str">
        <f>VLOOKUP(TRIM(D1226), Catalogo_gestiones!$A:$B, 2, FALSE)</f>
        <v>S</v>
      </c>
    </row>
    <row r="1227" spans="1:5" x14ac:dyDescent="0.25">
      <c r="A1227">
        <v>8171975</v>
      </c>
      <c r="B1227">
        <v>16563072</v>
      </c>
      <c r="C1227" s="1">
        <v>42535</v>
      </c>
      <c r="D1227" t="s">
        <v>24</v>
      </c>
      <c r="E1227" t="str">
        <f>VLOOKUP(TRIM(D1227), Catalogo_gestiones!$A:$B, 2, FALSE)</f>
        <v>S</v>
      </c>
    </row>
    <row r="1228" spans="1:5" x14ac:dyDescent="0.25">
      <c r="A1228">
        <v>8171975</v>
      </c>
      <c r="B1228">
        <v>25481844</v>
      </c>
      <c r="C1228" s="1">
        <v>42535</v>
      </c>
      <c r="D1228" t="s">
        <v>25</v>
      </c>
      <c r="E1228" t="str">
        <f>VLOOKUP(TRIM(D1228), Catalogo_gestiones!$A:$B, 2, FALSE)</f>
        <v>N</v>
      </c>
    </row>
    <row r="1229" spans="1:5" x14ac:dyDescent="0.25">
      <c r="A1229">
        <v>8172057</v>
      </c>
      <c r="B1229">
        <v>26227202</v>
      </c>
      <c r="C1229" s="1">
        <v>42535</v>
      </c>
      <c r="D1229" t="s">
        <v>26</v>
      </c>
      <c r="E1229" t="str">
        <f>VLOOKUP(TRIM(D1229), Catalogo_gestiones!$A:$B, 2, FALSE)</f>
        <v>N</v>
      </c>
    </row>
    <row r="1230" spans="1:5" x14ac:dyDescent="0.25">
      <c r="A1230">
        <v>8172184</v>
      </c>
      <c r="B1230">
        <v>10919528</v>
      </c>
      <c r="C1230" s="1">
        <v>42535</v>
      </c>
      <c r="D1230" t="s">
        <v>27</v>
      </c>
      <c r="E1230" t="str">
        <f>VLOOKUP(TRIM(D1230), Catalogo_gestiones!$A:$B, 2, FALSE)</f>
        <v>S</v>
      </c>
    </row>
    <row r="1231" spans="1:5" x14ac:dyDescent="0.25">
      <c r="A1231">
        <v>8172545</v>
      </c>
      <c r="B1231">
        <v>25644851</v>
      </c>
      <c r="C1231" s="1">
        <v>42535</v>
      </c>
      <c r="D1231" t="s">
        <v>28</v>
      </c>
      <c r="E1231" t="str">
        <f>VLOOKUP(TRIM(D1231), Catalogo_gestiones!$A:$B, 2, FALSE)</f>
        <v>N</v>
      </c>
    </row>
    <row r="1232" spans="1:5" x14ac:dyDescent="0.25">
      <c r="A1232">
        <v>8172545</v>
      </c>
      <c r="B1232">
        <v>25646668</v>
      </c>
      <c r="C1232" s="1">
        <v>42535</v>
      </c>
      <c r="D1232" t="s">
        <v>24</v>
      </c>
      <c r="E1232" t="str">
        <f>VLOOKUP(TRIM(D1232), Catalogo_gestiones!$A:$B, 2, FALSE)</f>
        <v>S</v>
      </c>
    </row>
    <row r="1233" spans="1:5" x14ac:dyDescent="0.25">
      <c r="A1233">
        <v>8172545</v>
      </c>
      <c r="B1233">
        <v>26004598</v>
      </c>
      <c r="C1233" s="1">
        <v>42535</v>
      </c>
      <c r="D1233" t="s">
        <v>25</v>
      </c>
      <c r="E1233" t="str">
        <f>VLOOKUP(TRIM(D1233), Catalogo_gestiones!$A:$B, 2, FALSE)</f>
        <v>N</v>
      </c>
    </row>
    <row r="1234" spans="1:5" x14ac:dyDescent="0.25">
      <c r="A1234">
        <v>8172550</v>
      </c>
      <c r="B1234">
        <v>25090717</v>
      </c>
      <c r="C1234" s="1">
        <v>42535</v>
      </c>
      <c r="D1234" t="s">
        <v>26</v>
      </c>
      <c r="E1234" t="str">
        <f>VLOOKUP(TRIM(D1234), Catalogo_gestiones!$A:$B, 2, FALSE)</f>
        <v>N</v>
      </c>
    </row>
    <row r="1235" spans="1:5" x14ac:dyDescent="0.25">
      <c r="A1235">
        <v>8172550</v>
      </c>
      <c r="B1235">
        <v>25277134</v>
      </c>
      <c r="C1235" s="1">
        <v>42535</v>
      </c>
      <c r="D1235" t="s">
        <v>27</v>
      </c>
      <c r="E1235" t="str">
        <f>VLOOKUP(TRIM(D1235), Catalogo_gestiones!$A:$B, 2, FALSE)</f>
        <v>S</v>
      </c>
    </row>
    <row r="1236" spans="1:5" x14ac:dyDescent="0.25">
      <c r="A1236">
        <v>8172608</v>
      </c>
      <c r="B1236">
        <v>26813449</v>
      </c>
      <c r="C1236" s="1">
        <v>42535</v>
      </c>
      <c r="D1236" t="s">
        <v>28</v>
      </c>
      <c r="E1236" t="str">
        <f>VLOOKUP(TRIM(D1236), Catalogo_gestiones!$A:$B, 2, FALSE)</f>
        <v>N</v>
      </c>
    </row>
    <row r="1237" spans="1:5" x14ac:dyDescent="0.25">
      <c r="A1237">
        <v>8172822</v>
      </c>
      <c r="B1237">
        <v>24100634</v>
      </c>
      <c r="C1237" s="1">
        <v>42533</v>
      </c>
      <c r="D1237" t="s">
        <v>24</v>
      </c>
      <c r="E1237" t="str">
        <f>VLOOKUP(TRIM(D1237), Catalogo_gestiones!$A:$B, 2, FALSE)</f>
        <v>S</v>
      </c>
    </row>
    <row r="1238" spans="1:5" x14ac:dyDescent="0.25">
      <c r="A1238">
        <v>8172834</v>
      </c>
      <c r="B1238">
        <v>21754177</v>
      </c>
      <c r="C1238" s="1">
        <v>42533</v>
      </c>
      <c r="D1238" t="s">
        <v>25</v>
      </c>
      <c r="E1238" t="str">
        <f>VLOOKUP(TRIM(D1238), Catalogo_gestiones!$A:$B, 2, FALSE)</f>
        <v>N</v>
      </c>
    </row>
    <row r="1239" spans="1:5" x14ac:dyDescent="0.25">
      <c r="A1239">
        <v>8172834</v>
      </c>
      <c r="B1239">
        <v>25341571</v>
      </c>
      <c r="C1239" s="1">
        <v>42533</v>
      </c>
      <c r="D1239" t="s">
        <v>26</v>
      </c>
      <c r="E1239" t="str">
        <f>VLOOKUP(TRIM(D1239), Catalogo_gestiones!$A:$B, 2, FALSE)</f>
        <v>N</v>
      </c>
    </row>
    <row r="1240" spans="1:5" x14ac:dyDescent="0.25">
      <c r="A1240">
        <v>8172857</v>
      </c>
      <c r="B1240">
        <v>27565008</v>
      </c>
      <c r="C1240" s="1">
        <v>42533</v>
      </c>
      <c r="D1240" t="s">
        <v>27</v>
      </c>
      <c r="E1240" t="str">
        <f>VLOOKUP(TRIM(D1240), Catalogo_gestiones!$A:$B, 2, FALSE)</f>
        <v>S</v>
      </c>
    </row>
    <row r="1241" spans="1:5" x14ac:dyDescent="0.25">
      <c r="A1241">
        <v>8172884</v>
      </c>
      <c r="B1241">
        <v>21348233</v>
      </c>
      <c r="C1241" s="1">
        <v>42531</v>
      </c>
      <c r="D1241" t="s">
        <v>28</v>
      </c>
      <c r="E1241" t="str">
        <f>VLOOKUP(TRIM(D1241), Catalogo_gestiones!$A:$B, 2, FALSE)</f>
        <v>N</v>
      </c>
    </row>
    <row r="1242" spans="1:5" x14ac:dyDescent="0.25">
      <c r="A1242">
        <v>8172884</v>
      </c>
      <c r="B1242">
        <v>23312798</v>
      </c>
      <c r="C1242" s="1">
        <v>42533</v>
      </c>
      <c r="D1242" t="s">
        <v>30</v>
      </c>
      <c r="E1242" t="str">
        <f>VLOOKUP(TRIM(D1242), Catalogo_gestiones!$A:$B, 2, FALSE)</f>
        <v>S</v>
      </c>
    </row>
    <row r="1243" spans="1:5" x14ac:dyDescent="0.25">
      <c r="A1243">
        <v>8172884</v>
      </c>
      <c r="B1243">
        <v>23313640</v>
      </c>
      <c r="C1243" s="1">
        <v>42533</v>
      </c>
      <c r="D1243" t="s">
        <v>24</v>
      </c>
      <c r="E1243" t="str">
        <f>VLOOKUP(TRIM(D1243), Catalogo_gestiones!$A:$B, 2, FALSE)</f>
        <v>S</v>
      </c>
    </row>
    <row r="1244" spans="1:5" x14ac:dyDescent="0.25">
      <c r="A1244">
        <v>8172906</v>
      </c>
      <c r="B1244">
        <v>25709096</v>
      </c>
      <c r="C1244" s="1">
        <v>42533</v>
      </c>
      <c r="D1244" t="s">
        <v>25</v>
      </c>
      <c r="E1244" t="str">
        <f>VLOOKUP(TRIM(D1244), Catalogo_gestiones!$A:$B, 2, FALSE)</f>
        <v>N</v>
      </c>
    </row>
    <row r="1245" spans="1:5" x14ac:dyDescent="0.25">
      <c r="A1245">
        <v>8172916</v>
      </c>
      <c r="B1245">
        <v>28122029</v>
      </c>
      <c r="C1245" s="1">
        <v>42533</v>
      </c>
      <c r="D1245" t="s">
        <v>26</v>
      </c>
      <c r="E1245" t="str">
        <f>VLOOKUP(TRIM(D1245), Catalogo_gestiones!$A:$B, 2, FALSE)</f>
        <v>N</v>
      </c>
    </row>
    <row r="1246" spans="1:5" x14ac:dyDescent="0.25">
      <c r="A1246">
        <v>8172935</v>
      </c>
      <c r="B1246">
        <v>27864939</v>
      </c>
      <c r="C1246" s="1">
        <v>42533</v>
      </c>
      <c r="D1246" t="s">
        <v>27</v>
      </c>
      <c r="E1246" t="str">
        <f>VLOOKUP(TRIM(D1246), Catalogo_gestiones!$A:$B, 2, FALSE)</f>
        <v>S</v>
      </c>
    </row>
    <row r="1247" spans="1:5" x14ac:dyDescent="0.25">
      <c r="A1247">
        <v>8173426</v>
      </c>
      <c r="B1247">
        <v>27096953</v>
      </c>
      <c r="C1247" s="1">
        <v>42533</v>
      </c>
      <c r="D1247" t="s">
        <v>28</v>
      </c>
      <c r="E1247" t="str">
        <f>VLOOKUP(TRIM(D1247), Catalogo_gestiones!$A:$B, 2, FALSE)</f>
        <v>N</v>
      </c>
    </row>
    <row r="1248" spans="1:5" x14ac:dyDescent="0.25">
      <c r="A1248">
        <v>8173437</v>
      </c>
      <c r="B1248">
        <v>26476759</v>
      </c>
      <c r="C1248" s="1">
        <v>42531</v>
      </c>
      <c r="D1248" t="s">
        <v>24</v>
      </c>
      <c r="E1248" t="str">
        <f>VLOOKUP(TRIM(D1248), Catalogo_gestiones!$A:$B, 2, FALSE)</f>
        <v>S</v>
      </c>
    </row>
    <row r="1249" spans="1:5" x14ac:dyDescent="0.25">
      <c r="A1249">
        <v>8173437</v>
      </c>
      <c r="B1249">
        <v>26774236</v>
      </c>
      <c r="C1249" s="1">
        <v>42533</v>
      </c>
      <c r="D1249" t="s">
        <v>25</v>
      </c>
      <c r="E1249" t="str">
        <f>VLOOKUP(TRIM(D1249), Catalogo_gestiones!$A:$B, 2, FALSE)</f>
        <v>N</v>
      </c>
    </row>
    <row r="1250" spans="1:5" x14ac:dyDescent="0.25">
      <c r="A1250">
        <v>8173444</v>
      </c>
      <c r="B1250">
        <v>27690468</v>
      </c>
      <c r="C1250" s="1">
        <v>42533</v>
      </c>
      <c r="D1250" t="s">
        <v>26</v>
      </c>
      <c r="E1250" t="str">
        <f>VLOOKUP(TRIM(D1250), Catalogo_gestiones!$A:$B, 2, FALSE)</f>
        <v>N</v>
      </c>
    </row>
    <row r="1251" spans="1:5" x14ac:dyDescent="0.25">
      <c r="A1251">
        <v>8173552</v>
      </c>
      <c r="B1251">
        <v>15784792</v>
      </c>
      <c r="C1251" s="1">
        <v>42533</v>
      </c>
      <c r="D1251" t="s">
        <v>27</v>
      </c>
      <c r="E1251" t="str">
        <f>VLOOKUP(TRIM(D1251), Catalogo_gestiones!$A:$B, 2, FALSE)</f>
        <v>S</v>
      </c>
    </row>
    <row r="1252" spans="1:5" x14ac:dyDescent="0.25">
      <c r="A1252">
        <v>8173552</v>
      </c>
      <c r="B1252">
        <v>20787125</v>
      </c>
      <c r="C1252" s="1">
        <v>42533</v>
      </c>
      <c r="D1252" t="s">
        <v>28</v>
      </c>
      <c r="E1252" t="str">
        <f>VLOOKUP(TRIM(D1252), Catalogo_gestiones!$A:$B, 2, FALSE)</f>
        <v>N</v>
      </c>
    </row>
    <row r="1253" spans="1:5" x14ac:dyDescent="0.25">
      <c r="A1253">
        <v>8173554</v>
      </c>
      <c r="B1253">
        <v>26936631</v>
      </c>
      <c r="C1253" s="1">
        <v>42533</v>
      </c>
      <c r="D1253" t="s">
        <v>24</v>
      </c>
      <c r="E1253" t="str">
        <f>VLOOKUP(TRIM(D1253), Catalogo_gestiones!$A:$B, 2, FALSE)</f>
        <v>S</v>
      </c>
    </row>
    <row r="1254" spans="1:5" x14ac:dyDescent="0.25">
      <c r="A1254">
        <v>8173554</v>
      </c>
      <c r="B1254">
        <v>28584103</v>
      </c>
      <c r="C1254" s="1">
        <v>42525</v>
      </c>
      <c r="D1254" t="s">
        <v>25</v>
      </c>
      <c r="E1254" t="str">
        <f>VLOOKUP(TRIM(D1254), Catalogo_gestiones!$A:$B, 2, FALSE)</f>
        <v>N</v>
      </c>
    </row>
    <row r="1255" spans="1:5" x14ac:dyDescent="0.25">
      <c r="A1255">
        <v>8173659</v>
      </c>
      <c r="B1255">
        <v>22424854</v>
      </c>
      <c r="C1255" s="1">
        <v>42533</v>
      </c>
      <c r="D1255" t="s">
        <v>26</v>
      </c>
      <c r="E1255" t="str">
        <f>VLOOKUP(TRIM(D1255), Catalogo_gestiones!$A:$B, 2, FALSE)</f>
        <v>N</v>
      </c>
    </row>
    <row r="1256" spans="1:5" x14ac:dyDescent="0.25">
      <c r="A1256">
        <v>8173659</v>
      </c>
      <c r="B1256">
        <v>26356232</v>
      </c>
      <c r="C1256" s="1">
        <v>42533</v>
      </c>
      <c r="D1256" t="s">
        <v>27</v>
      </c>
      <c r="E1256" t="str">
        <f>VLOOKUP(TRIM(D1256), Catalogo_gestiones!$A:$B, 2, FALSE)</f>
        <v>S</v>
      </c>
    </row>
    <row r="1257" spans="1:5" x14ac:dyDescent="0.25">
      <c r="A1257">
        <v>8173751</v>
      </c>
      <c r="B1257">
        <v>23390348</v>
      </c>
      <c r="C1257" s="1">
        <v>42533</v>
      </c>
      <c r="D1257" t="s">
        <v>28</v>
      </c>
      <c r="E1257" t="str">
        <f>VLOOKUP(TRIM(D1257), Catalogo_gestiones!$A:$B, 2, FALSE)</f>
        <v>N</v>
      </c>
    </row>
    <row r="1258" spans="1:5" x14ac:dyDescent="0.25">
      <c r="A1258">
        <v>8173877</v>
      </c>
      <c r="B1258">
        <v>23856527</v>
      </c>
      <c r="C1258" s="1">
        <v>42533</v>
      </c>
      <c r="D1258" t="s">
        <v>30</v>
      </c>
      <c r="E1258" t="str">
        <f>VLOOKUP(TRIM(D1258), Catalogo_gestiones!$A:$B, 2, FALSE)</f>
        <v>S</v>
      </c>
    </row>
    <row r="1259" spans="1:5" x14ac:dyDescent="0.25">
      <c r="A1259">
        <v>8173935</v>
      </c>
      <c r="B1259">
        <v>26913436</v>
      </c>
      <c r="C1259" s="1">
        <v>42533</v>
      </c>
      <c r="D1259" t="s">
        <v>24</v>
      </c>
      <c r="E1259" t="str">
        <f>VLOOKUP(TRIM(D1259), Catalogo_gestiones!$A:$B, 2, FALSE)</f>
        <v>S</v>
      </c>
    </row>
    <row r="1260" spans="1:5" x14ac:dyDescent="0.25">
      <c r="A1260">
        <v>8173944</v>
      </c>
      <c r="B1260">
        <v>21732738</v>
      </c>
      <c r="C1260" s="1">
        <v>42533</v>
      </c>
      <c r="D1260" t="s">
        <v>25</v>
      </c>
      <c r="E1260" t="str">
        <f>VLOOKUP(TRIM(D1260), Catalogo_gestiones!$A:$B, 2, FALSE)</f>
        <v>N</v>
      </c>
    </row>
    <row r="1261" spans="1:5" x14ac:dyDescent="0.25">
      <c r="A1261">
        <v>8173948</v>
      </c>
      <c r="B1261">
        <v>12213655</v>
      </c>
      <c r="C1261" s="1">
        <v>42533</v>
      </c>
      <c r="D1261" t="s">
        <v>26</v>
      </c>
      <c r="E1261" t="str">
        <f>VLOOKUP(TRIM(D1261), Catalogo_gestiones!$A:$B, 2, FALSE)</f>
        <v>N</v>
      </c>
    </row>
    <row r="1262" spans="1:5" x14ac:dyDescent="0.25">
      <c r="A1262">
        <v>8174057</v>
      </c>
      <c r="B1262">
        <v>25232710</v>
      </c>
      <c r="C1262" s="1">
        <v>42533</v>
      </c>
      <c r="D1262" t="s">
        <v>27</v>
      </c>
      <c r="E1262" t="str">
        <f>VLOOKUP(TRIM(D1262), Catalogo_gestiones!$A:$B, 2, FALSE)</f>
        <v>S</v>
      </c>
    </row>
    <row r="1263" spans="1:5" x14ac:dyDescent="0.25">
      <c r="A1263">
        <v>8174057</v>
      </c>
      <c r="B1263">
        <v>26383422</v>
      </c>
      <c r="C1263" s="1">
        <v>42533</v>
      </c>
      <c r="D1263" t="s">
        <v>28</v>
      </c>
      <c r="E1263" t="str">
        <f>VLOOKUP(TRIM(D1263), Catalogo_gestiones!$A:$B, 2, FALSE)</f>
        <v>N</v>
      </c>
    </row>
    <row r="1264" spans="1:5" x14ac:dyDescent="0.25">
      <c r="A1264">
        <v>8174057</v>
      </c>
      <c r="B1264">
        <v>26909240</v>
      </c>
      <c r="C1264" s="1">
        <v>42533</v>
      </c>
      <c r="D1264" t="s">
        <v>24</v>
      </c>
      <c r="E1264" t="str">
        <f>VLOOKUP(TRIM(D1264), Catalogo_gestiones!$A:$B, 2, FALSE)</f>
        <v>S</v>
      </c>
    </row>
    <row r="1265" spans="1:5" x14ac:dyDescent="0.25">
      <c r="A1265">
        <v>8174057</v>
      </c>
      <c r="B1265">
        <v>28215222</v>
      </c>
      <c r="C1265" s="1">
        <v>42533</v>
      </c>
      <c r="D1265" t="s">
        <v>25</v>
      </c>
      <c r="E1265" t="str">
        <f>VLOOKUP(TRIM(D1265), Catalogo_gestiones!$A:$B, 2, FALSE)</f>
        <v>N</v>
      </c>
    </row>
    <row r="1266" spans="1:5" x14ac:dyDescent="0.25">
      <c r="A1266">
        <v>8174059</v>
      </c>
      <c r="B1266">
        <v>22099246</v>
      </c>
      <c r="C1266" s="1">
        <v>42533</v>
      </c>
      <c r="D1266" t="s">
        <v>26</v>
      </c>
      <c r="E1266" t="str">
        <f>VLOOKUP(TRIM(D1266), Catalogo_gestiones!$A:$B, 2, FALSE)</f>
        <v>N</v>
      </c>
    </row>
    <row r="1267" spans="1:5" x14ac:dyDescent="0.25">
      <c r="A1267">
        <v>8174059</v>
      </c>
      <c r="B1267">
        <v>23427410</v>
      </c>
      <c r="C1267" s="1">
        <v>42533</v>
      </c>
      <c r="D1267" t="s">
        <v>27</v>
      </c>
      <c r="E1267" t="str">
        <f>VLOOKUP(TRIM(D1267), Catalogo_gestiones!$A:$B, 2, FALSE)</f>
        <v>S</v>
      </c>
    </row>
    <row r="1268" spans="1:5" x14ac:dyDescent="0.25">
      <c r="A1268">
        <v>8174167</v>
      </c>
      <c r="B1268">
        <v>22474920</v>
      </c>
      <c r="C1268" s="1">
        <v>42533</v>
      </c>
      <c r="D1268" t="s">
        <v>28</v>
      </c>
      <c r="E1268" t="str">
        <f>VLOOKUP(TRIM(D1268), Catalogo_gestiones!$A:$B, 2, FALSE)</f>
        <v>N</v>
      </c>
    </row>
    <row r="1269" spans="1:5" x14ac:dyDescent="0.25">
      <c r="A1269">
        <v>8174228</v>
      </c>
      <c r="B1269">
        <v>25119402</v>
      </c>
      <c r="C1269" s="1">
        <v>42533</v>
      </c>
      <c r="D1269" t="s">
        <v>24</v>
      </c>
      <c r="E1269" t="str">
        <f>VLOOKUP(TRIM(D1269), Catalogo_gestiones!$A:$B, 2, FALSE)</f>
        <v>S</v>
      </c>
    </row>
    <row r="1270" spans="1:5" x14ac:dyDescent="0.25">
      <c r="A1270">
        <v>8174723</v>
      </c>
      <c r="B1270">
        <v>20516171</v>
      </c>
      <c r="C1270" s="1">
        <v>42533</v>
      </c>
      <c r="D1270" t="s">
        <v>25</v>
      </c>
      <c r="E1270" t="str">
        <f>VLOOKUP(TRIM(D1270), Catalogo_gestiones!$A:$B, 2, FALSE)</f>
        <v>N</v>
      </c>
    </row>
    <row r="1271" spans="1:5" x14ac:dyDescent="0.25">
      <c r="A1271">
        <v>8174723</v>
      </c>
      <c r="B1271">
        <v>22647176</v>
      </c>
      <c r="C1271" s="1">
        <v>42533</v>
      </c>
      <c r="D1271" t="s">
        <v>26</v>
      </c>
      <c r="E1271" t="str">
        <f>VLOOKUP(TRIM(D1271), Catalogo_gestiones!$A:$B, 2, FALSE)</f>
        <v>N</v>
      </c>
    </row>
    <row r="1272" spans="1:5" x14ac:dyDescent="0.25">
      <c r="A1272">
        <v>8174927</v>
      </c>
      <c r="B1272">
        <v>25357564</v>
      </c>
      <c r="C1272" s="1">
        <v>42533</v>
      </c>
      <c r="D1272" t="s">
        <v>27</v>
      </c>
      <c r="E1272" t="str">
        <f>VLOOKUP(TRIM(D1272), Catalogo_gestiones!$A:$B, 2, FALSE)</f>
        <v>S</v>
      </c>
    </row>
    <row r="1273" spans="1:5" x14ac:dyDescent="0.25">
      <c r="A1273">
        <v>8175003</v>
      </c>
      <c r="B1273">
        <v>11405813</v>
      </c>
      <c r="C1273" s="1">
        <v>42533</v>
      </c>
      <c r="D1273" t="s">
        <v>28</v>
      </c>
      <c r="E1273" t="str">
        <f>VLOOKUP(TRIM(D1273), Catalogo_gestiones!$A:$B, 2, FALSE)</f>
        <v>N</v>
      </c>
    </row>
    <row r="1274" spans="1:5" x14ac:dyDescent="0.25">
      <c r="A1274">
        <v>8175087</v>
      </c>
      <c r="B1274">
        <v>26656234</v>
      </c>
      <c r="C1274" s="1">
        <v>42533</v>
      </c>
      <c r="D1274" t="s">
        <v>30</v>
      </c>
      <c r="E1274" t="str">
        <f>VLOOKUP(TRIM(D1274), Catalogo_gestiones!$A:$B, 2, FALSE)</f>
        <v>S</v>
      </c>
    </row>
    <row r="1275" spans="1:5" x14ac:dyDescent="0.25">
      <c r="A1275">
        <v>8175094</v>
      </c>
      <c r="B1275">
        <v>25678340</v>
      </c>
      <c r="C1275" s="1">
        <v>42533</v>
      </c>
      <c r="D1275" t="s">
        <v>24</v>
      </c>
      <c r="E1275" t="str">
        <f>VLOOKUP(TRIM(D1275), Catalogo_gestiones!$A:$B, 2, FALSE)</f>
        <v>S</v>
      </c>
    </row>
    <row r="1276" spans="1:5" x14ac:dyDescent="0.25">
      <c r="A1276">
        <v>8175117</v>
      </c>
      <c r="B1276">
        <v>21924524</v>
      </c>
      <c r="C1276" s="1">
        <v>42533</v>
      </c>
      <c r="D1276" t="s">
        <v>25</v>
      </c>
      <c r="E1276" t="str">
        <f>VLOOKUP(TRIM(D1276), Catalogo_gestiones!$A:$B, 2, FALSE)</f>
        <v>N</v>
      </c>
    </row>
    <row r="1277" spans="1:5" x14ac:dyDescent="0.25">
      <c r="A1277">
        <v>8175117</v>
      </c>
      <c r="B1277">
        <v>24163237</v>
      </c>
      <c r="C1277" s="1">
        <v>42533</v>
      </c>
      <c r="D1277" t="s">
        <v>26</v>
      </c>
      <c r="E1277" t="str">
        <f>VLOOKUP(TRIM(D1277), Catalogo_gestiones!$A:$B, 2, FALSE)</f>
        <v>N</v>
      </c>
    </row>
    <row r="1278" spans="1:5" x14ac:dyDescent="0.25">
      <c r="A1278">
        <v>8175233</v>
      </c>
      <c r="B1278">
        <v>27048969</v>
      </c>
      <c r="C1278" s="1">
        <v>42533</v>
      </c>
      <c r="D1278" t="s">
        <v>27</v>
      </c>
      <c r="E1278" t="str">
        <f>VLOOKUP(TRIM(D1278), Catalogo_gestiones!$A:$B, 2, FALSE)</f>
        <v>S</v>
      </c>
    </row>
    <row r="1279" spans="1:5" x14ac:dyDescent="0.25">
      <c r="A1279">
        <v>8175412</v>
      </c>
      <c r="B1279">
        <v>27722229</v>
      </c>
      <c r="C1279" s="1">
        <v>42533</v>
      </c>
      <c r="D1279" t="s">
        <v>28</v>
      </c>
      <c r="E1279" t="str">
        <f>VLOOKUP(TRIM(D1279), Catalogo_gestiones!$A:$B, 2, FALSE)</f>
        <v>N</v>
      </c>
    </row>
    <row r="1280" spans="1:5" x14ac:dyDescent="0.25">
      <c r="A1280">
        <v>8175432</v>
      </c>
      <c r="B1280">
        <v>26725384</v>
      </c>
      <c r="C1280" s="1">
        <v>42533</v>
      </c>
      <c r="D1280" t="s">
        <v>24</v>
      </c>
      <c r="E1280" t="str">
        <f>VLOOKUP(TRIM(D1280), Catalogo_gestiones!$A:$B, 2, FALSE)</f>
        <v>S</v>
      </c>
    </row>
    <row r="1281" spans="1:5" x14ac:dyDescent="0.25">
      <c r="A1281">
        <v>8175434</v>
      </c>
      <c r="B1281">
        <v>21490702</v>
      </c>
      <c r="C1281" s="1">
        <v>42533</v>
      </c>
      <c r="D1281" t="s">
        <v>25</v>
      </c>
      <c r="E1281" t="str">
        <f>VLOOKUP(TRIM(D1281), Catalogo_gestiones!$A:$B, 2, FALSE)</f>
        <v>N</v>
      </c>
    </row>
    <row r="1282" spans="1:5" x14ac:dyDescent="0.25">
      <c r="A1282">
        <v>8175434</v>
      </c>
      <c r="B1282">
        <v>22984080</v>
      </c>
      <c r="C1282" s="1">
        <v>42533</v>
      </c>
      <c r="D1282" t="s">
        <v>26</v>
      </c>
      <c r="E1282" t="str">
        <f>VLOOKUP(TRIM(D1282), Catalogo_gestiones!$A:$B, 2, FALSE)</f>
        <v>N</v>
      </c>
    </row>
    <row r="1283" spans="1:5" x14ac:dyDescent="0.25">
      <c r="A1283">
        <v>8175434</v>
      </c>
      <c r="B1283">
        <v>22984353</v>
      </c>
      <c r="C1283" s="1">
        <v>42533</v>
      </c>
      <c r="D1283" t="s">
        <v>27</v>
      </c>
      <c r="E1283" t="str">
        <f>VLOOKUP(TRIM(D1283), Catalogo_gestiones!$A:$B, 2, FALSE)</f>
        <v>S</v>
      </c>
    </row>
    <row r="1284" spans="1:5" x14ac:dyDescent="0.25">
      <c r="A1284">
        <v>8175434</v>
      </c>
      <c r="B1284">
        <v>23068002</v>
      </c>
      <c r="C1284" s="1">
        <v>42533</v>
      </c>
      <c r="D1284" t="s">
        <v>28</v>
      </c>
      <c r="E1284" t="str">
        <f>VLOOKUP(TRIM(D1284), Catalogo_gestiones!$A:$B, 2, FALSE)</f>
        <v>N</v>
      </c>
    </row>
    <row r="1285" spans="1:5" x14ac:dyDescent="0.25">
      <c r="A1285">
        <v>8175434</v>
      </c>
      <c r="B1285">
        <v>23123539</v>
      </c>
      <c r="C1285" s="1">
        <v>42533</v>
      </c>
      <c r="D1285" t="s">
        <v>24</v>
      </c>
      <c r="E1285" t="str">
        <f>VLOOKUP(TRIM(D1285), Catalogo_gestiones!$A:$B, 2, FALSE)</f>
        <v>S</v>
      </c>
    </row>
    <row r="1286" spans="1:5" x14ac:dyDescent="0.25">
      <c r="A1286">
        <v>8175434</v>
      </c>
      <c r="B1286">
        <v>23827455</v>
      </c>
      <c r="C1286" s="1">
        <v>42533</v>
      </c>
      <c r="D1286" t="s">
        <v>25</v>
      </c>
      <c r="E1286" t="str">
        <f>VLOOKUP(TRIM(D1286), Catalogo_gestiones!$A:$B, 2, FALSE)</f>
        <v>N</v>
      </c>
    </row>
    <row r="1287" spans="1:5" x14ac:dyDescent="0.25">
      <c r="A1287">
        <v>8175434</v>
      </c>
      <c r="B1287">
        <v>24903975</v>
      </c>
      <c r="C1287" s="1">
        <v>42533</v>
      </c>
      <c r="D1287" t="s">
        <v>26</v>
      </c>
      <c r="E1287" t="str">
        <f>VLOOKUP(TRIM(D1287), Catalogo_gestiones!$A:$B, 2, FALSE)</f>
        <v>N</v>
      </c>
    </row>
    <row r="1288" spans="1:5" x14ac:dyDescent="0.25">
      <c r="A1288">
        <v>8175521</v>
      </c>
      <c r="B1288">
        <v>28584078</v>
      </c>
      <c r="C1288" s="1">
        <v>42526</v>
      </c>
      <c r="D1288" t="s">
        <v>27</v>
      </c>
      <c r="E1288" t="str">
        <f>VLOOKUP(TRIM(D1288), Catalogo_gestiones!$A:$B, 2, FALSE)</f>
        <v>S</v>
      </c>
    </row>
    <row r="1289" spans="1:5" x14ac:dyDescent="0.25">
      <c r="A1289">
        <v>8177174</v>
      </c>
      <c r="B1289">
        <v>16031676</v>
      </c>
      <c r="C1289" s="1">
        <v>42533</v>
      </c>
      <c r="D1289" t="s">
        <v>28</v>
      </c>
      <c r="E1289" t="str">
        <f>VLOOKUP(TRIM(D1289), Catalogo_gestiones!$A:$B, 2, FALSE)</f>
        <v>N</v>
      </c>
    </row>
    <row r="1290" spans="1:5" x14ac:dyDescent="0.25">
      <c r="A1290">
        <v>8177174</v>
      </c>
      <c r="B1290">
        <v>17210228</v>
      </c>
      <c r="C1290" s="1">
        <v>42533</v>
      </c>
      <c r="D1290" t="s">
        <v>30</v>
      </c>
      <c r="E1290" t="str">
        <f>VLOOKUP(TRIM(D1290), Catalogo_gestiones!$A:$B, 2, FALSE)</f>
        <v>S</v>
      </c>
    </row>
    <row r="1291" spans="1:5" x14ac:dyDescent="0.25">
      <c r="A1291">
        <v>8177716</v>
      </c>
      <c r="B1291">
        <v>26262210</v>
      </c>
      <c r="C1291" s="1">
        <v>42533</v>
      </c>
      <c r="D1291" t="s">
        <v>24</v>
      </c>
      <c r="E1291" t="str">
        <f>VLOOKUP(TRIM(D1291), Catalogo_gestiones!$A:$B, 2, FALSE)</f>
        <v>S</v>
      </c>
    </row>
    <row r="1292" spans="1:5" x14ac:dyDescent="0.25">
      <c r="A1292">
        <v>8177887</v>
      </c>
      <c r="B1292">
        <v>26004795</v>
      </c>
      <c r="C1292" s="1">
        <v>42533</v>
      </c>
      <c r="D1292" t="s">
        <v>25</v>
      </c>
      <c r="E1292" t="str">
        <f>VLOOKUP(TRIM(D1292), Catalogo_gestiones!$A:$B, 2, FALSE)</f>
        <v>N</v>
      </c>
    </row>
    <row r="1293" spans="1:5" x14ac:dyDescent="0.25">
      <c r="A1293">
        <v>8178293</v>
      </c>
      <c r="B1293">
        <v>19935619</v>
      </c>
      <c r="C1293" s="1">
        <v>42533</v>
      </c>
      <c r="D1293" t="s">
        <v>26</v>
      </c>
      <c r="E1293" t="str">
        <f>VLOOKUP(TRIM(D1293), Catalogo_gestiones!$A:$B, 2, FALSE)</f>
        <v>N</v>
      </c>
    </row>
    <row r="1294" spans="1:5" x14ac:dyDescent="0.25">
      <c r="A1294">
        <v>8178346</v>
      </c>
      <c r="B1294">
        <v>26154252</v>
      </c>
      <c r="C1294" s="1">
        <v>42533</v>
      </c>
      <c r="D1294" t="s">
        <v>27</v>
      </c>
      <c r="E1294" t="str">
        <f>VLOOKUP(TRIM(D1294), Catalogo_gestiones!$A:$B, 2, FALSE)</f>
        <v>S</v>
      </c>
    </row>
    <row r="1295" spans="1:5" x14ac:dyDescent="0.25">
      <c r="A1295">
        <v>8180768</v>
      </c>
      <c r="B1295">
        <v>1438298</v>
      </c>
      <c r="C1295" s="1">
        <v>42533</v>
      </c>
      <c r="D1295" t="s">
        <v>28</v>
      </c>
      <c r="E1295" t="str">
        <f>VLOOKUP(TRIM(D1295), Catalogo_gestiones!$A:$B, 2, FALSE)</f>
        <v>N</v>
      </c>
    </row>
    <row r="1296" spans="1:5" x14ac:dyDescent="0.25">
      <c r="A1296">
        <v>8181055</v>
      </c>
      <c r="B1296">
        <v>21622993</v>
      </c>
      <c r="C1296" s="1">
        <v>42533</v>
      </c>
      <c r="D1296" t="s">
        <v>24</v>
      </c>
      <c r="E1296" t="str">
        <f>VLOOKUP(TRIM(D1296), Catalogo_gestiones!$A:$B, 2, FALSE)</f>
        <v>S</v>
      </c>
    </row>
    <row r="1297" spans="1:5" x14ac:dyDescent="0.25">
      <c r="A1297">
        <v>8181055</v>
      </c>
      <c r="B1297">
        <v>21623286</v>
      </c>
      <c r="C1297" s="1">
        <v>42533</v>
      </c>
      <c r="D1297" t="s">
        <v>25</v>
      </c>
      <c r="E1297" t="str">
        <f>VLOOKUP(TRIM(D1297), Catalogo_gestiones!$A:$B, 2, FALSE)</f>
        <v>N</v>
      </c>
    </row>
    <row r="1298" spans="1:5" x14ac:dyDescent="0.25">
      <c r="A1298">
        <v>8181850</v>
      </c>
      <c r="B1298">
        <v>16943512</v>
      </c>
      <c r="C1298" s="1">
        <v>42533</v>
      </c>
      <c r="D1298" t="s">
        <v>26</v>
      </c>
      <c r="E1298" t="str">
        <f>VLOOKUP(TRIM(D1298), Catalogo_gestiones!$A:$B, 2, FALSE)</f>
        <v>N</v>
      </c>
    </row>
    <row r="1299" spans="1:5" x14ac:dyDescent="0.25">
      <c r="A1299">
        <v>8182206</v>
      </c>
      <c r="B1299">
        <v>12411571</v>
      </c>
      <c r="C1299" s="1">
        <v>42533</v>
      </c>
      <c r="D1299" t="s">
        <v>27</v>
      </c>
      <c r="E1299" t="str">
        <f>VLOOKUP(TRIM(D1299), Catalogo_gestiones!$A:$B, 2, FALSE)</f>
        <v>S</v>
      </c>
    </row>
    <row r="1300" spans="1:5" x14ac:dyDescent="0.25">
      <c r="A1300">
        <v>8182206</v>
      </c>
      <c r="B1300">
        <v>15355963</v>
      </c>
      <c r="C1300" s="1">
        <v>42533</v>
      </c>
      <c r="D1300" t="s">
        <v>28</v>
      </c>
      <c r="E1300" t="str">
        <f>VLOOKUP(TRIM(D1300), Catalogo_gestiones!$A:$B, 2, FALSE)</f>
        <v>N</v>
      </c>
    </row>
    <row r="1301" spans="1:5" x14ac:dyDescent="0.25">
      <c r="A1301">
        <v>8182206</v>
      </c>
      <c r="B1301">
        <v>15356943</v>
      </c>
      <c r="C1301" s="1">
        <v>42533</v>
      </c>
      <c r="D1301" t="s">
        <v>24</v>
      </c>
      <c r="E1301" t="str">
        <f>VLOOKUP(TRIM(D1301), Catalogo_gestiones!$A:$B, 2, FALSE)</f>
        <v>S</v>
      </c>
    </row>
    <row r="1302" spans="1:5" x14ac:dyDescent="0.25">
      <c r="A1302">
        <v>8182453</v>
      </c>
      <c r="B1302">
        <v>4284933</v>
      </c>
      <c r="C1302" s="1">
        <v>42533</v>
      </c>
      <c r="D1302" t="s">
        <v>25</v>
      </c>
      <c r="E1302" t="str">
        <f>VLOOKUP(TRIM(D1302), Catalogo_gestiones!$A:$B, 2, FALSE)</f>
        <v>N</v>
      </c>
    </row>
    <row r="1303" spans="1:5" x14ac:dyDescent="0.25">
      <c r="A1303">
        <v>8182453</v>
      </c>
      <c r="B1303">
        <v>10408712</v>
      </c>
      <c r="C1303" s="1">
        <v>42533</v>
      </c>
      <c r="D1303" t="s">
        <v>26</v>
      </c>
      <c r="E1303" t="str">
        <f>VLOOKUP(TRIM(D1303), Catalogo_gestiones!$A:$B, 2, FALSE)</f>
        <v>N</v>
      </c>
    </row>
    <row r="1304" spans="1:5" x14ac:dyDescent="0.25">
      <c r="A1304">
        <v>8182453</v>
      </c>
      <c r="B1304">
        <v>15475872</v>
      </c>
      <c r="C1304" s="1">
        <v>42533</v>
      </c>
      <c r="D1304" t="s">
        <v>27</v>
      </c>
      <c r="E1304" t="str">
        <f>VLOOKUP(TRIM(D1304), Catalogo_gestiones!$A:$B, 2, FALSE)</f>
        <v>S</v>
      </c>
    </row>
    <row r="1305" spans="1:5" x14ac:dyDescent="0.25">
      <c r="A1305">
        <v>8183550</v>
      </c>
      <c r="B1305">
        <v>25922154</v>
      </c>
      <c r="C1305" s="1">
        <v>42533</v>
      </c>
      <c r="D1305" t="s">
        <v>28</v>
      </c>
      <c r="E1305" t="str">
        <f>VLOOKUP(TRIM(D1305), Catalogo_gestiones!$A:$B, 2, FALSE)</f>
        <v>N</v>
      </c>
    </row>
    <row r="1306" spans="1:5" x14ac:dyDescent="0.25">
      <c r="A1306">
        <v>8183593</v>
      </c>
      <c r="B1306">
        <v>3487181</v>
      </c>
      <c r="C1306" s="1">
        <v>42533</v>
      </c>
      <c r="D1306" t="s">
        <v>30</v>
      </c>
      <c r="E1306" t="str">
        <f>VLOOKUP(TRIM(D1306), Catalogo_gestiones!$A:$B, 2, FALSE)</f>
        <v>S</v>
      </c>
    </row>
    <row r="1307" spans="1:5" x14ac:dyDescent="0.25">
      <c r="A1307">
        <v>8183593</v>
      </c>
      <c r="B1307">
        <v>3487537</v>
      </c>
      <c r="C1307" s="1">
        <v>42533</v>
      </c>
      <c r="D1307" t="s">
        <v>24</v>
      </c>
      <c r="E1307" t="str">
        <f>VLOOKUP(TRIM(D1307), Catalogo_gestiones!$A:$B, 2, FALSE)</f>
        <v>S</v>
      </c>
    </row>
    <row r="1308" spans="1:5" x14ac:dyDescent="0.25">
      <c r="A1308">
        <v>8183881</v>
      </c>
      <c r="B1308">
        <v>25845909</v>
      </c>
      <c r="C1308" s="1">
        <v>42533</v>
      </c>
      <c r="D1308" t="s">
        <v>25</v>
      </c>
      <c r="E1308" t="str">
        <f>VLOOKUP(TRIM(D1308), Catalogo_gestiones!$A:$B, 2, FALSE)</f>
        <v>N</v>
      </c>
    </row>
    <row r="1309" spans="1:5" x14ac:dyDescent="0.25">
      <c r="A1309">
        <v>8183881</v>
      </c>
      <c r="B1309">
        <v>25846725</v>
      </c>
      <c r="C1309" s="1">
        <v>42533</v>
      </c>
      <c r="D1309" t="s">
        <v>26</v>
      </c>
      <c r="E1309" t="str">
        <f>VLOOKUP(TRIM(D1309), Catalogo_gestiones!$A:$B, 2, FALSE)</f>
        <v>N</v>
      </c>
    </row>
    <row r="1310" spans="1:5" x14ac:dyDescent="0.25">
      <c r="A1310">
        <v>8184628</v>
      </c>
      <c r="B1310">
        <v>24982681</v>
      </c>
      <c r="C1310" s="1">
        <v>42533</v>
      </c>
      <c r="D1310" t="s">
        <v>27</v>
      </c>
      <c r="E1310" t="str">
        <f>VLOOKUP(TRIM(D1310), Catalogo_gestiones!$A:$B, 2, FALSE)</f>
        <v>S</v>
      </c>
    </row>
    <row r="1311" spans="1:5" x14ac:dyDescent="0.25">
      <c r="A1311">
        <v>8184681</v>
      </c>
      <c r="B1311">
        <v>21188298</v>
      </c>
      <c r="C1311" s="1">
        <v>42524</v>
      </c>
      <c r="D1311" t="s">
        <v>28</v>
      </c>
      <c r="E1311" t="str">
        <f>VLOOKUP(TRIM(D1311), Catalogo_gestiones!$A:$B, 2, FALSE)</f>
        <v>N</v>
      </c>
    </row>
    <row r="1312" spans="1:5" x14ac:dyDescent="0.25">
      <c r="A1312">
        <v>8184854</v>
      </c>
      <c r="B1312">
        <v>22156065</v>
      </c>
      <c r="C1312" s="1">
        <v>42533</v>
      </c>
      <c r="D1312" t="s">
        <v>24</v>
      </c>
      <c r="E1312" t="str">
        <f>VLOOKUP(TRIM(D1312), Catalogo_gestiones!$A:$B, 2, FALSE)</f>
        <v>S</v>
      </c>
    </row>
    <row r="1313" spans="1:5" x14ac:dyDescent="0.25">
      <c r="A1313">
        <v>8185898</v>
      </c>
      <c r="B1313">
        <v>26379550</v>
      </c>
      <c r="C1313" s="1">
        <v>42533</v>
      </c>
      <c r="D1313" t="s">
        <v>25</v>
      </c>
      <c r="E1313" t="str">
        <f>VLOOKUP(TRIM(D1313), Catalogo_gestiones!$A:$B, 2, FALSE)</f>
        <v>N</v>
      </c>
    </row>
    <row r="1314" spans="1:5" x14ac:dyDescent="0.25">
      <c r="A1314">
        <v>8186426</v>
      </c>
      <c r="B1314">
        <v>22931031</v>
      </c>
      <c r="C1314" s="1">
        <v>42533</v>
      </c>
      <c r="D1314" t="s">
        <v>26</v>
      </c>
      <c r="E1314" t="str">
        <f>VLOOKUP(TRIM(D1314), Catalogo_gestiones!$A:$B, 2, FALSE)</f>
        <v>N</v>
      </c>
    </row>
    <row r="1315" spans="1:5" x14ac:dyDescent="0.25">
      <c r="A1315">
        <v>8187113</v>
      </c>
      <c r="B1315">
        <v>21767160</v>
      </c>
      <c r="C1315" s="1">
        <v>42533</v>
      </c>
      <c r="D1315" t="s">
        <v>27</v>
      </c>
      <c r="E1315" t="str">
        <f>VLOOKUP(TRIM(D1315), Catalogo_gestiones!$A:$B, 2, FALSE)</f>
        <v>S</v>
      </c>
    </row>
    <row r="1316" spans="1:5" x14ac:dyDescent="0.25">
      <c r="A1316">
        <v>8187231</v>
      </c>
      <c r="B1316">
        <v>28056854</v>
      </c>
      <c r="C1316" s="1">
        <v>42524</v>
      </c>
      <c r="D1316" t="s">
        <v>28</v>
      </c>
      <c r="E1316" t="str">
        <f>VLOOKUP(TRIM(D1316), Catalogo_gestiones!$A:$B, 2, FALSE)</f>
        <v>N</v>
      </c>
    </row>
    <row r="1317" spans="1:5" x14ac:dyDescent="0.25">
      <c r="A1317">
        <v>8187553</v>
      </c>
      <c r="B1317">
        <v>27233220</v>
      </c>
      <c r="C1317" s="1">
        <v>42533</v>
      </c>
      <c r="D1317" t="s">
        <v>24</v>
      </c>
      <c r="E1317" t="str">
        <f>VLOOKUP(TRIM(D1317), Catalogo_gestiones!$A:$B, 2, FALSE)</f>
        <v>S</v>
      </c>
    </row>
    <row r="1318" spans="1:5" x14ac:dyDescent="0.25">
      <c r="A1318">
        <v>8187734</v>
      </c>
      <c r="B1318">
        <v>10938673</v>
      </c>
      <c r="C1318" s="1">
        <v>42524</v>
      </c>
      <c r="D1318" t="s">
        <v>25</v>
      </c>
      <c r="E1318" t="str">
        <f>VLOOKUP(TRIM(D1318), Catalogo_gestiones!$A:$B, 2, FALSE)</f>
        <v>N</v>
      </c>
    </row>
    <row r="1319" spans="1:5" x14ac:dyDescent="0.25">
      <c r="A1319">
        <v>8187955</v>
      </c>
      <c r="B1319">
        <v>22742458</v>
      </c>
      <c r="C1319" s="1">
        <v>42533</v>
      </c>
      <c r="D1319" t="s">
        <v>26</v>
      </c>
      <c r="E1319" t="str">
        <f>VLOOKUP(TRIM(D1319), Catalogo_gestiones!$A:$B, 2, FALSE)</f>
        <v>N</v>
      </c>
    </row>
    <row r="1320" spans="1:5" x14ac:dyDescent="0.25">
      <c r="A1320">
        <v>8188190</v>
      </c>
      <c r="B1320">
        <v>22079343</v>
      </c>
      <c r="C1320" s="1">
        <v>42525</v>
      </c>
      <c r="D1320" t="s">
        <v>27</v>
      </c>
      <c r="E1320" t="str">
        <f>VLOOKUP(TRIM(D1320), Catalogo_gestiones!$A:$B, 2, FALSE)</f>
        <v>S</v>
      </c>
    </row>
    <row r="1321" spans="1:5" x14ac:dyDescent="0.25">
      <c r="A1321">
        <v>8188190</v>
      </c>
      <c r="B1321">
        <v>23063678</v>
      </c>
      <c r="C1321" s="1">
        <v>42525</v>
      </c>
      <c r="D1321" t="s">
        <v>28</v>
      </c>
      <c r="E1321" t="str">
        <f>VLOOKUP(TRIM(D1321), Catalogo_gestiones!$A:$B, 2, FALSE)</f>
        <v>N</v>
      </c>
    </row>
    <row r="1322" spans="1:5" x14ac:dyDescent="0.25">
      <c r="A1322">
        <v>8188190</v>
      </c>
      <c r="B1322">
        <v>23064775</v>
      </c>
      <c r="C1322" s="1">
        <v>42525</v>
      </c>
      <c r="D1322" t="s">
        <v>30</v>
      </c>
      <c r="E1322" t="str">
        <f>VLOOKUP(TRIM(D1322), Catalogo_gestiones!$A:$B, 2, FALSE)</f>
        <v>S</v>
      </c>
    </row>
    <row r="1323" spans="1:5" x14ac:dyDescent="0.25">
      <c r="A1323">
        <v>8188778</v>
      </c>
      <c r="B1323">
        <v>24100840</v>
      </c>
      <c r="C1323" s="1">
        <v>42533</v>
      </c>
      <c r="D1323" t="s">
        <v>24</v>
      </c>
      <c r="E1323" t="str">
        <f>VLOOKUP(TRIM(D1323), Catalogo_gestiones!$A:$B, 2, FALSE)</f>
        <v>S</v>
      </c>
    </row>
    <row r="1324" spans="1:5" x14ac:dyDescent="0.25">
      <c r="A1324">
        <v>8188778</v>
      </c>
      <c r="B1324">
        <v>24358304</v>
      </c>
      <c r="C1324" s="1">
        <v>42533</v>
      </c>
      <c r="D1324" t="s">
        <v>25</v>
      </c>
      <c r="E1324" t="str">
        <f>VLOOKUP(TRIM(D1324), Catalogo_gestiones!$A:$B, 2, FALSE)</f>
        <v>N</v>
      </c>
    </row>
    <row r="1325" spans="1:5" x14ac:dyDescent="0.25">
      <c r="A1325">
        <v>8188778</v>
      </c>
      <c r="B1325">
        <v>24359949</v>
      </c>
      <c r="C1325" s="1">
        <v>42533</v>
      </c>
      <c r="D1325" t="s">
        <v>26</v>
      </c>
      <c r="E1325" t="str">
        <f>VLOOKUP(TRIM(D1325), Catalogo_gestiones!$A:$B, 2, FALSE)</f>
        <v>N</v>
      </c>
    </row>
    <row r="1326" spans="1:5" x14ac:dyDescent="0.25">
      <c r="A1326">
        <v>8188922</v>
      </c>
      <c r="B1326">
        <v>25276234</v>
      </c>
      <c r="C1326" s="1">
        <v>42533</v>
      </c>
      <c r="D1326" t="s">
        <v>27</v>
      </c>
      <c r="E1326" t="str">
        <f>VLOOKUP(TRIM(D1326), Catalogo_gestiones!$A:$B, 2, FALSE)</f>
        <v>S</v>
      </c>
    </row>
    <row r="1327" spans="1:5" x14ac:dyDescent="0.25">
      <c r="A1327">
        <v>8188922</v>
      </c>
      <c r="B1327">
        <v>25278013</v>
      </c>
      <c r="C1327" s="1">
        <v>42533</v>
      </c>
      <c r="D1327" t="s">
        <v>28</v>
      </c>
      <c r="E1327" t="str">
        <f>VLOOKUP(TRIM(D1327), Catalogo_gestiones!$A:$B, 2, FALSE)</f>
        <v>N</v>
      </c>
    </row>
    <row r="1328" spans="1:5" x14ac:dyDescent="0.25">
      <c r="A1328">
        <v>8188922</v>
      </c>
      <c r="B1328">
        <v>25291355</v>
      </c>
      <c r="C1328" s="1">
        <v>42533</v>
      </c>
      <c r="D1328" t="s">
        <v>24</v>
      </c>
      <c r="E1328" t="str">
        <f>VLOOKUP(TRIM(D1328), Catalogo_gestiones!$A:$B, 2, FALSE)</f>
        <v>S</v>
      </c>
    </row>
    <row r="1329" spans="1:5" x14ac:dyDescent="0.25">
      <c r="A1329">
        <v>8188922</v>
      </c>
      <c r="B1329">
        <v>26207742</v>
      </c>
      <c r="C1329" s="1">
        <v>42533</v>
      </c>
      <c r="D1329" t="s">
        <v>25</v>
      </c>
      <c r="E1329" t="str">
        <f>VLOOKUP(TRIM(D1329), Catalogo_gestiones!$A:$B, 2, FALSE)</f>
        <v>N</v>
      </c>
    </row>
    <row r="1330" spans="1:5" x14ac:dyDescent="0.25">
      <c r="A1330">
        <v>8241775</v>
      </c>
      <c r="B1330">
        <v>25340462</v>
      </c>
      <c r="C1330" s="1">
        <v>42533</v>
      </c>
      <c r="D1330" t="s">
        <v>26</v>
      </c>
      <c r="E1330" t="str">
        <f>VLOOKUP(TRIM(D1330), Catalogo_gestiones!$A:$B, 2, FALSE)</f>
        <v>N</v>
      </c>
    </row>
    <row r="1331" spans="1:5" x14ac:dyDescent="0.25">
      <c r="A1331">
        <v>8241793</v>
      </c>
      <c r="B1331">
        <v>25338590</v>
      </c>
      <c r="C1331" s="1">
        <v>42533</v>
      </c>
      <c r="D1331" t="s">
        <v>27</v>
      </c>
      <c r="E1331" t="str">
        <f>VLOOKUP(TRIM(D1331), Catalogo_gestiones!$A:$B, 2, FALSE)</f>
        <v>S</v>
      </c>
    </row>
    <row r="1332" spans="1:5" x14ac:dyDescent="0.25">
      <c r="A1332">
        <v>8241793</v>
      </c>
      <c r="B1332">
        <v>27398392</v>
      </c>
      <c r="C1332" s="1">
        <v>42533</v>
      </c>
      <c r="D1332" t="s">
        <v>28</v>
      </c>
      <c r="E1332" t="str">
        <f>VLOOKUP(TRIM(D1332), Catalogo_gestiones!$A:$B, 2, FALSE)</f>
        <v>N</v>
      </c>
    </row>
    <row r="1333" spans="1:5" x14ac:dyDescent="0.25">
      <c r="A1333">
        <v>8250710</v>
      </c>
      <c r="B1333">
        <v>27049625</v>
      </c>
      <c r="C1333" s="1">
        <v>42533</v>
      </c>
      <c r="D1333" t="s">
        <v>24</v>
      </c>
      <c r="E1333" t="str">
        <f>VLOOKUP(TRIM(D1333), Catalogo_gestiones!$A:$B, 2, FALSE)</f>
        <v>S</v>
      </c>
    </row>
    <row r="1334" spans="1:5" x14ac:dyDescent="0.25">
      <c r="A1334">
        <v>8250963</v>
      </c>
      <c r="B1334">
        <v>27064250</v>
      </c>
      <c r="C1334" s="1">
        <v>42533</v>
      </c>
      <c r="D1334" t="s">
        <v>25</v>
      </c>
      <c r="E1334" t="str">
        <f>VLOOKUP(TRIM(D1334), Catalogo_gestiones!$A:$B, 2, FALSE)</f>
        <v>N</v>
      </c>
    </row>
    <row r="1335" spans="1:5" x14ac:dyDescent="0.25">
      <c r="A1335">
        <v>8251019</v>
      </c>
      <c r="B1335">
        <v>23719460</v>
      </c>
      <c r="C1335" s="1">
        <v>42533</v>
      </c>
      <c r="D1335" t="s">
        <v>26</v>
      </c>
      <c r="E1335" t="str">
        <f>VLOOKUP(TRIM(D1335), Catalogo_gestiones!$A:$B, 2, FALSE)</f>
        <v>N</v>
      </c>
    </row>
    <row r="1336" spans="1:5" x14ac:dyDescent="0.25">
      <c r="A1336">
        <v>8251019</v>
      </c>
      <c r="B1336">
        <v>25290944</v>
      </c>
      <c r="C1336" s="1">
        <v>42533</v>
      </c>
      <c r="D1336" t="s">
        <v>27</v>
      </c>
      <c r="E1336" t="str">
        <f>VLOOKUP(TRIM(D1336), Catalogo_gestiones!$A:$B, 2, FALSE)</f>
        <v>S</v>
      </c>
    </row>
    <row r="1337" spans="1:5" x14ac:dyDescent="0.25">
      <c r="A1337">
        <v>8251177</v>
      </c>
      <c r="B1337">
        <v>21128914</v>
      </c>
      <c r="C1337" s="1">
        <v>42533</v>
      </c>
      <c r="D1337" t="s">
        <v>28</v>
      </c>
      <c r="E1337" t="str">
        <f>VLOOKUP(TRIM(D1337), Catalogo_gestiones!$A:$B, 2, FALSE)</f>
        <v>N</v>
      </c>
    </row>
    <row r="1338" spans="1:5" x14ac:dyDescent="0.25">
      <c r="A1338">
        <v>8251177</v>
      </c>
      <c r="B1338">
        <v>21131643</v>
      </c>
      <c r="C1338" s="1">
        <v>42533</v>
      </c>
      <c r="D1338" t="s">
        <v>30</v>
      </c>
      <c r="E1338" t="str">
        <f>VLOOKUP(TRIM(D1338), Catalogo_gestiones!$A:$B, 2, FALSE)</f>
        <v>S</v>
      </c>
    </row>
    <row r="1339" spans="1:5" x14ac:dyDescent="0.25">
      <c r="A1339">
        <v>8259541</v>
      </c>
      <c r="B1339">
        <v>25529977</v>
      </c>
      <c r="C1339" s="1">
        <v>42533</v>
      </c>
      <c r="D1339" t="s">
        <v>24</v>
      </c>
      <c r="E1339" t="str">
        <f>VLOOKUP(TRIM(D1339), Catalogo_gestiones!$A:$B, 2, FALSE)</f>
        <v>S</v>
      </c>
    </row>
    <row r="1340" spans="1:5" x14ac:dyDescent="0.25">
      <c r="A1340">
        <v>8259637</v>
      </c>
      <c r="B1340">
        <v>22944995</v>
      </c>
      <c r="C1340" s="1">
        <v>42533</v>
      </c>
      <c r="D1340" t="s">
        <v>25</v>
      </c>
      <c r="E1340" t="str">
        <f>VLOOKUP(TRIM(D1340), Catalogo_gestiones!$A:$B, 2, FALSE)</f>
        <v>N</v>
      </c>
    </row>
    <row r="1341" spans="1:5" x14ac:dyDescent="0.25">
      <c r="A1341">
        <v>8259892</v>
      </c>
      <c r="B1341">
        <v>27130647</v>
      </c>
      <c r="C1341" s="1">
        <v>42533</v>
      </c>
      <c r="D1341" t="s">
        <v>26</v>
      </c>
      <c r="E1341" t="str">
        <f>VLOOKUP(TRIM(D1341), Catalogo_gestiones!$A:$B, 2, FALSE)</f>
        <v>N</v>
      </c>
    </row>
    <row r="1342" spans="1:5" x14ac:dyDescent="0.25">
      <c r="A1342">
        <v>8259910</v>
      </c>
      <c r="B1342">
        <v>25711831</v>
      </c>
      <c r="C1342" s="1">
        <v>42533</v>
      </c>
      <c r="D1342" t="s">
        <v>27</v>
      </c>
      <c r="E1342" t="str">
        <f>VLOOKUP(TRIM(D1342), Catalogo_gestiones!$A:$B, 2, FALSE)</f>
        <v>S</v>
      </c>
    </row>
    <row r="1343" spans="1:5" x14ac:dyDescent="0.25">
      <c r="A1343">
        <v>8259919</v>
      </c>
      <c r="B1343">
        <v>22073982</v>
      </c>
      <c r="C1343" s="1">
        <v>42533</v>
      </c>
      <c r="D1343" t="s">
        <v>28</v>
      </c>
      <c r="E1343" t="str">
        <f>VLOOKUP(TRIM(D1343), Catalogo_gestiones!$A:$B, 2, FALSE)</f>
        <v>N</v>
      </c>
    </row>
    <row r="1344" spans="1:5" x14ac:dyDescent="0.25">
      <c r="A1344">
        <v>8260027</v>
      </c>
      <c r="B1344">
        <v>24186163</v>
      </c>
      <c r="C1344" s="1">
        <v>42533</v>
      </c>
      <c r="D1344" t="s">
        <v>24</v>
      </c>
      <c r="E1344" t="str">
        <f>VLOOKUP(TRIM(D1344), Catalogo_gestiones!$A:$B, 2, FALSE)</f>
        <v>S</v>
      </c>
    </row>
    <row r="1345" spans="1:5" x14ac:dyDescent="0.25">
      <c r="A1345">
        <v>8260069</v>
      </c>
      <c r="B1345">
        <v>25090532</v>
      </c>
      <c r="C1345" s="1">
        <v>42533</v>
      </c>
      <c r="D1345" t="s">
        <v>25</v>
      </c>
      <c r="E1345" t="str">
        <f>VLOOKUP(TRIM(D1345), Catalogo_gestiones!$A:$B, 2, FALSE)</f>
        <v>N</v>
      </c>
    </row>
    <row r="1346" spans="1:5" x14ac:dyDescent="0.25">
      <c r="A1346">
        <v>8260078</v>
      </c>
      <c r="B1346">
        <v>21721963</v>
      </c>
      <c r="C1346" s="1">
        <v>42533</v>
      </c>
      <c r="D1346" t="s">
        <v>26</v>
      </c>
      <c r="E1346" t="str">
        <f>VLOOKUP(TRIM(D1346), Catalogo_gestiones!$A:$B, 2, FALSE)</f>
        <v>N</v>
      </c>
    </row>
    <row r="1347" spans="1:5" x14ac:dyDescent="0.25">
      <c r="A1347">
        <v>8260078</v>
      </c>
      <c r="B1347">
        <v>21777819</v>
      </c>
      <c r="C1347" s="1">
        <v>42531</v>
      </c>
      <c r="D1347" t="s">
        <v>27</v>
      </c>
      <c r="E1347" t="str">
        <f>VLOOKUP(TRIM(D1347), Catalogo_gestiones!$A:$B, 2, FALSE)</f>
        <v>S</v>
      </c>
    </row>
    <row r="1348" spans="1:5" x14ac:dyDescent="0.25">
      <c r="A1348">
        <v>8260160</v>
      </c>
      <c r="B1348">
        <v>27607686</v>
      </c>
      <c r="C1348" s="1">
        <v>42533</v>
      </c>
      <c r="D1348" t="s">
        <v>28</v>
      </c>
      <c r="E1348" t="str">
        <f>VLOOKUP(TRIM(D1348), Catalogo_gestiones!$A:$B, 2, FALSE)</f>
        <v>N</v>
      </c>
    </row>
    <row r="1349" spans="1:5" x14ac:dyDescent="0.25">
      <c r="A1349">
        <v>8260578</v>
      </c>
      <c r="B1349">
        <v>27404616</v>
      </c>
      <c r="C1349" s="1">
        <v>42533</v>
      </c>
      <c r="D1349" t="s">
        <v>24</v>
      </c>
      <c r="E1349" t="str">
        <f>VLOOKUP(TRIM(D1349), Catalogo_gestiones!$A:$B, 2, FALSE)</f>
        <v>S</v>
      </c>
    </row>
    <row r="1350" spans="1:5" x14ac:dyDescent="0.25">
      <c r="A1350">
        <v>8260654</v>
      </c>
      <c r="B1350">
        <v>25058357</v>
      </c>
      <c r="C1350" s="1">
        <v>42533</v>
      </c>
      <c r="D1350" t="s">
        <v>25</v>
      </c>
      <c r="E1350" t="str">
        <f>VLOOKUP(TRIM(D1350), Catalogo_gestiones!$A:$B, 2, FALSE)</f>
        <v>N</v>
      </c>
    </row>
    <row r="1351" spans="1:5" x14ac:dyDescent="0.25">
      <c r="A1351">
        <v>8260654</v>
      </c>
      <c r="B1351">
        <v>25097727</v>
      </c>
      <c r="C1351" s="1">
        <v>42533</v>
      </c>
      <c r="D1351" t="s">
        <v>26</v>
      </c>
      <c r="E1351" t="str">
        <f>VLOOKUP(TRIM(D1351), Catalogo_gestiones!$A:$B, 2, FALSE)</f>
        <v>N</v>
      </c>
    </row>
    <row r="1352" spans="1:5" x14ac:dyDescent="0.25">
      <c r="A1352">
        <v>8260684</v>
      </c>
      <c r="B1352">
        <v>25807487</v>
      </c>
      <c r="C1352" s="1">
        <v>42533</v>
      </c>
      <c r="D1352" t="s">
        <v>27</v>
      </c>
      <c r="E1352" t="str">
        <f>VLOOKUP(TRIM(D1352), Catalogo_gestiones!$A:$B, 2, FALSE)</f>
        <v>S</v>
      </c>
    </row>
    <row r="1353" spans="1:5" x14ac:dyDescent="0.25">
      <c r="A1353">
        <v>8260684</v>
      </c>
      <c r="B1353">
        <v>26368969</v>
      </c>
      <c r="C1353" s="1">
        <v>42533</v>
      </c>
      <c r="D1353" t="s">
        <v>28</v>
      </c>
      <c r="E1353" t="str">
        <f>VLOOKUP(TRIM(D1353), Catalogo_gestiones!$A:$B, 2, FALSE)</f>
        <v>N</v>
      </c>
    </row>
    <row r="1354" spans="1:5" x14ac:dyDescent="0.25">
      <c r="A1354">
        <v>8260684</v>
      </c>
      <c r="B1354">
        <v>26369715</v>
      </c>
      <c r="C1354" s="1">
        <v>42533</v>
      </c>
      <c r="D1354" t="s">
        <v>30</v>
      </c>
      <c r="E1354" t="str">
        <f>VLOOKUP(TRIM(D1354), Catalogo_gestiones!$A:$B, 2, FALSE)</f>
        <v>S</v>
      </c>
    </row>
    <row r="1355" spans="1:5" x14ac:dyDescent="0.25">
      <c r="A1355">
        <v>8260684</v>
      </c>
      <c r="B1355">
        <v>27853647</v>
      </c>
      <c r="C1355" s="1">
        <v>42533</v>
      </c>
      <c r="D1355" t="s">
        <v>24</v>
      </c>
      <c r="E1355" t="str">
        <f>VLOOKUP(TRIM(D1355), Catalogo_gestiones!$A:$B, 2, FALSE)</f>
        <v>S</v>
      </c>
    </row>
    <row r="1356" spans="1:5" x14ac:dyDescent="0.25">
      <c r="A1356">
        <v>8260719</v>
      </c>
      <c r="B1356">
        <v>20150113</v>
      </c>
      <c r="C1356" s="1">
        <v>42533</v>
      </c>
      <c r="D1356" t="s">
        <v>25</v>
      </c>
      <c r="E1356" t="str">
        <f>VLOOKUP(TRIM(D1356), Catalogo_gestiones!$A:$B, 2, FALSE)</f>
        <v>N</v>
      </c>
    </row>
    <row r="1357" spans="1:5" x14ac:dyDescent="0.25">
      <c r="A1357">
        <v>8260923</v>
      </c>
      <c r="B1357">
        <v>23139966</v>
      </c>
      <c r="C1357" s="1">
        <v>42533</v>
      </c>
      <c r="D1357" t="s">
        <v>26</v>
      </c>
      <c r="E1357" t="str">
        <f>VLOOKUP(TRIM(D1357), Catalogo_gestiones!$A:$B, 2, FALSE)</f>
        <v>N</v>
      </c>
    </row>
    <row r="1358" spans="1:5" x14ac:dyDescent="0.25">
      <c r="A1358">
        <v>8260923</v>
      </c>
      <c r="B1358">
        <v>23216432</v>
      </c>
      <c r="C1358" s="1">
        <v>42533</v>
      </c>
      <c r="D1358" t="s">
        <v>27</v>
      </c>
      <c r="E1358" t="str">
        <f>VLOOKUP(TRIM(D1358), Catalogo_gestiones!$A:$B, 2, FALSE)</f>
        <v>S</v>
      </c>
    </row>
    <row r="1359" spans="1:5" x14ac:dyDescent="0.25">
      <c r="A1359">
        <v>8261115</v>
      </c>
      <c r="B1359">
        <v>21710750</v>
      </c>
      <c r="C1359" s="1">
        <v>42533</v>
      </c>
      <c r="D1359" t="s">
        <v>28</v>
      </c>
      <c r="E1359" t="str">
        <f>VLOOKUP(TRIM(D1359), Catalogo_gestiones!$A:$B, 2, FALSE)</f>
        <v>N</v>
      </c>
    </row>
    <row r="1360" spans="1:5" x14ac:dyDescent="0.25">
      <c r="A1360">
        <v>8261115</v>
      </c>
      <c r="B1360">
        <v>25119832</v>
      </c>
      <c r="C1360" s="1">
        <v>42533</v>
      </c>
      <c r="D1360" t="s">
        <v>24</v>
      </c>
      <c r="E1360" t="str">
        <f>VLOOKUP(TRIM(D1360), Catalogo_gestiones!$A:$B, 2, FALSE)</f>
        <v>S</v>
      </c>
    </row>
    <row r="1361" spans="1:5" x14ac:dyDescent="0.25">
      <c r="A1361">
        <v>8261154</v>
      </c>
      <c r="B1361">
        <v>14966446</v>
      </c>
      <c r="C1361" s="1">
        <v>42533</v>
      </c>
      <c r="D1361" t="s">
        <v>25</v>
      </c>
      <c r="E1361" t="str">
        <f>VLOOKUP(TRIM(D1361), Catalogo_gestiones!$A:$B, 2, FALSE)</f>
        <v>N</v>
      </c>
    </row>
    <row r="1362" spans="1:5" x14ac:dyDescent="0.25">
      <c r="A1362">
        <v>8261154</v>
      </c>
      <c r="B1362">
        <v>27689534</v>
      </c>
      <c r="C1362" s="1">
        <v>42533</v>
      </c>
      <c r="D1362" t="s">
        <v>26</v>
      </c>
      <c r="E1362" t="str">
        <f>VLOOKUP(TRIM(D1362), Catalogo_gestiones!$A:$B, 2, FALSE)</f>
        <v>N</v>
      </c>
    </row>
    <row r="1363" spans="1:5" x14ac:dyDescent="0.25">
      <c r="A1363">
        <v>8261236</v>
      </c>
      <c r="B1363">
        <v>9671809</v>
      </c>
      <c r="C1363" s="1">
        <v>42533</v>
      </c>
      <c r="D1363" t="s">
        <v>27</v>
      </c>
      <c r="E1363" t="str">
        <f>VLOOKUP(TRIM(D1363), Catalogo_gestiones!$A:$B, 2, FALSE)</f>
        <v>S</v>
      </c>
    </row>
    <row r="1364" spans="1:5" x14ac:dyDescent="0.25">
      <c r="A1364">
        <v>8261236</v>
      </c>
      <c r="B1364">
        <v>9845561</v>
      </c>
      <c r="C1364" s="1">
        <v>42533</v>
      </c>
      <c r="D1364" t="s">
        <v>28</v>
      </c>
      <c r="E1364" t="str">
        <f>VLOOKUP(TRIM(D1364), Catalogo_gestiones!$A:$B, 2, FALSE)</f>
        <v>N</v>
      </c>
    </row>
    <row r="1365" spans="1:5" x14ac:dyDescent="0.25">
      <c r="A1365">
        <v>8261363</v>
      </c>
      <c r="B1365">
        <v>26328981</v>
      </c>
      <c r="C1365" s="1">
        <v>42533</v>
      </c>
      <c r="D1365" t="s">
        <v>24</v>
      </c>
      <c r="E1365" t="str">
        <f>VLOOKUP(TRIM(D1365), Catalogo_gestiones!$A:$B, 2, FALSE)</f>
        <v>S</v>
      </c>
    </row>
    <row r="1366" spans="1:5" x14ac:dyDescent="0.25">
      <c r="A1366">
        <v>8261363</v>
      </c>
      <c r="B1366">
        <v>26330652</v>
      </c>
      <c r="C1366" s="1">
        <v>42533</v>
      </c>
      <c r="D1366" t="s">
        <v>25</v>
      </c>
      <c r="E1366" t="str">
        <f>VLOOKUP(TRIM(D1366), Catalogo_gestiones!$A:$B, 2, FALSE)</f>
        <v>N</v>
      </c>
    </row>
    <row r="1367" spans="1:5" x14ac:dyDescent="0.25">
      <c r="A1367">
        <v>8261433</v>
      </c>
      <c r="B1367">
        <v>23671002</v>
      </c>
      <c r="C1367" s="1">
        <v>42533</v>
      </c>
      <c r="D1367" t="s">
        <v>26</v>
      </c>
      <c r="E1367" t="str">
        <f>VLOOKUP(TRIM(D1367), Catalogo_gestiones!$A:$B, 2, FALSE)</f>
        <v>N</v>
      </c>
    </row>
    <row r="1368" spans="1:5" x14ac:dyDescent="0.25">
      <c r="A1368">
        <v>8261433</v>
      </c>
      <c r="B1368">
        <v>23672387</v>
      </c>
      <c r="C1368" s="1">
        <v>42533</v>
      </c>
      <c r="D1368" t="s">
        <v>27</v>
      </c>
      <c r="E1368" t="str">
        <f>VLOOKUP(TRIM(D1368), Catalogo_gestiones!$A:$B, 2, FALSE)</f>
        <v>S</v>
      </c>
    </row>
    <row r="1369" spans="1:5" x14ac:dyDescent="0.25">
      <c r="A1369">
        <v>8261433</v>
      </c>
      <c r="B1369">
        <v>25964110</v>
      </c>
      <c r="C1369" s="1">
        <v>42533</v>
      </c>
      <c r="D1369" t="s">
        <v>28</v>
      </c>
      <c r="E1369" t="str">
        <f>VLOOKUP(TRIM(D1369), Catalogo_gestiones!$A:$B, 2, FALSE)</f>
        <v>N</v>
      </c>
    </row>
    <row r="1370" spans="1:5" x14ac:dyDescent="0.25">
      <c r="A1370">
        <v>8261458</v>
      </c>
      <c r="B1370">
        <v>28570206</v>
      </c>
      <c r="C1370" s="1">
        <v>42526</v>
      </c>
      <c r="D1370" t="s">
        <v>30</v>
      </c>
      <c r="E1370" t="str">
        <f>VLOOKUP(TRIM(D1370), Catalogo_gestiones!$A:$B, 2, FALSE)</f>
        <v>S</v>
      </c>
    </row>
    <row r="1371" spans="1:5" x14ac:dyDescent="0.25">
      <c r="A1371">
        <v>8261475</v>
      </c>
      <c r="B1371">
        <v>26270252</v>
      </c>
      <c r="C1371" s="1">
        <v>42533</v>
      </c>
      <c r="D1371" t="s">
        <v>24</v>
      </c>
      <c r="E1371" t="str">
        <f>VLOOKUP(TRIM(D1371), Catalogo_gestiones!$A:$B, 2, FALSE)</f>
        <v>S</v>
      </c>
    </row>
    <row r="1372" spans="1:5" x14ac:dyDescent="0.25">
      <c r="A1372">
        <v>8261475</v>
      </c>
      <c r="B1372">
        <v>26272747</v>
      </c>
      <c r="C1372" s="1">
        <v>42533</v>
      </c>
      <c r="D1372" t="s">
        <v>25</v>
      </c>
      <c r="E1372" t="str">
        <f>VLOOKUP(TRIM(D1372), Catalogo_gestiones!$A:$B, 2, FALSE)</f>
        <v>N</v>
      </c>
    </row>
    <row r="1373" spans="1:5" x14ac:dyDescent="0.25">
      <c r="A1373">
        <v>8261570</v>
      </c>
      <c r="B1373">
        <v>25379962</v>
      </c>
      <c r="C1373" s="1">
        <v>42525</v>
      </c>
      <c r="D1373" t="s">
        <v>26</v>
      </c>
      <c r="E1373" t="str">
        <f>VLOOKUP(TRIM(D1373), Catalogo_gestiones!$A:$B, 2, FALSE)</f>
        <v>N</v>
      </c>
    </row>
    <row r="1374" spans="1:5" x14ac:dyDescent="0.25">
      <c r="A1374">
        <v>8261570</v>
      </c>
      <c r="B1374">
        <v>27224146</v>
      </c>
      <c r="C1374" s="1">
        <v>42533</v>
      </c>
      <c r="D1374" t="s">
        <v>27</v>
      </c>
      <c r="E1374" t="str">
        <f>VLOOKUP(TRIM(D1374), Catalogo_gestiones!$A:$B, 2, FALSE)</f>
        <v>S</v>
      </c>
    </row>
    <row r="1375" spans="1:5" x14ac:dyDescent="0.25">
      <c r="A1375">
        <v>8261611</v>
      </c>
      <c r="B1375">
        <v>26389240</v>
      </c>
      <c r="C1375" s="1">
        <v>42524</v>
      </c>
      <c r="D1375" t="s">
        <v>28</v>
      </c>
      <c r="E1375" t="str">
        <f>VLOOKUP(TRIM(D1375), Catalogo_gestiones!$A:$B, 2, FALSE)</f>
        <v>N</v>
      </c>
    </row>
    <row r="1376" spans="1:5" x14ac:dyDescent="0.25">
      <c r="A1376">
        <v>8261866</v>
      </c>
      <c r="B1376">
        <v>25129407</v>
      </c>
      <c r="C1376" s="1">
        <v>42533</v>
      </c>
      <c r="D1376" t="s">
        <v>24</v>
      </c>
      <c r="E1376" t="str">
        <f>VLOOKUP(TRIM(D1376), Catalogo_gestiones!$A:$B, 2, FALSE)</f>
        <v>S</v>
      </c>
    </row>
    <row r="1377" spans="1:5" x14ac:dyDescent="0.25">
      <c r="A1377">
        <v>8261875</v>
      </c>
      <c r="B1377">
        <v>25550442</v>
      </c>
      <c r="C1377" s="1">
        <v>42533</v>
      </c>
      <c r="D1377" t="s">
        <v>25</v>
      </c>
      <c r="E1377" t="str">
        <f>VLOOKUP(TRIM(D1377), Catalogo_gestiones!$A:$B, 2, FALSE)</f>
        <v>N</v>
      </c>
    </row>
    <row r="1378" spans="1:5" x14ac:dyDescent="0.25">
      <c r="A1378">
        <v>8261875</v>
      </c>
      <c r="B1378">
        <v>25550928</v>
      </c>
      <c r="C1378" s="1">
        <v>42533</v>
      </c>
      <c r="D1378" t="s">
        <v>26</v>
      </c>
      <c r="E1378" t="str">
        <f>VLOOKUP(TRIM(D1378), Catalogo_gestiones!$A:$B, 2, FALSE)</f>
        <v>N</v>
      </c>
    </row>
    <row r="1379" spans="1:5" x14ac:dyDescent="0.25">
      <c r="A1379">
        <v>8262049</v>
      </c>
      <c r="B1379">
        <v>25202484</v>
      </c>
      <c r="C1379" s="1">
        <v>42533</v>
      </c>
      <c r="D1379" t="s">
        <v>27</v>
      </c>
      <c r="E1379" t="str">
        <f>VLOOKUP(TRIM(D1379), Catalogo_gestiones!$A:$B, 2, FALSE)</f>
        <v>S</v>
      </c>
    </row>
    <row r="1380" spans="1:5" x14ac:dyDescent="0.25">
      <c r="A1380">
        <v>8262517</v>
      </c>
      <c r="B1380">
        <v>2978036</v>
      </c>
      <c r="C1380" s="1">
        <v>42533</v>
      </c>
      <c r="D1380" t="s">
        <v>28</v>
      </c>
      <c r="E1380" t="str">
        <f>VLOOKUP(TRIM(D1380), Catalogo_gestiones!$A:$B, 2, FALSE)</f>
        <v>N</v>
      </c>
    </row>
    <row r="1381" spans="1:5" x14ac:dyDescent="0.25">
      <c r="A1381">
        <v>8262593</v>
      </c>
      <c r="B1381">
        <v>27011869</v>
      </c>
      <c r="C1381" s="1">
        <v>42533</v>
      </c>
      <c r="D1381" t="s">
        <v>24</v>
      </c>
      <c r="E1381" t="str">
        <f>VLOOKUP(TRIM(D1381), Catalogo_gestiones!$A:$B, 2, FALSE)</f>
        <v>S</v>
      </c>
    </row>
    <row r="1382" spans="1:5" x14ac:dyDescent="0.25">
      <c r="A1382">
        <v>8262593</v>
      </c>
      <c r="B1382">
        <v>27012894</v>
      </c>
      <c r="C1382" s="1">
        <v>42533</v>
      </c>
      <c r="D1382" t="s">
        <v>25</v>
      </c>
      <c r="E1382" t="str">
        <f>VLOOKUP(TRIM(D1382), Catalogo_gestiones!$A:$B, 2, FALSE)</f>
        <v>N</v>
      </c>
    </row>
    <row r="1383" spans="1:5" x14ac:dyDescent="0.25">
      <c r="A1383">
        <v>8262993</v>
      </c>
      <c r="B1383">
        <v>21194113</v>
      </c>
      <c r="C1383" s="1">
        <v>42533</v>
      </c>
      <c r="D1383" t="s">
        <v>26</v>
      </c>
      <c r="E1383" t="str">
        <f>VLOOKUP(TRIM(D1383), Catalogo_gestiones!$A:$B, 2, FALSE)</f>
        <v>N</v>
      </c>
    </row>
    <row r="1384" spans="1:5" x14ac:dyDescent="0.25">
      <c r="A1384">
        <v>8263081</v>
      </c>
      <c r="B1384">
        <v>25950581</v>
      </c>
      <c r="C1384" s="1">
        <v>42533</v>
      </c>
      <c r="D1384" t="s">
        <v>27</v>
      </c>
      <c r="E1384" t="str">
        <f>VLOOKUP(TRIM(D1384), Catalogo_gestiones!$A:$B, 2, FALSE)</f>
        <v>S</v>
      </c>
    </row>
    <row r="1385" spans="1:5" x14ac:dyDescent="0.25">
      <c r="A1385">
        <v>8263349</v>
      </c>
      <c r="B1385">
        <v>21676069</v>
      </c>
      <c r="C1385" s="1">
        <v>42533</v>
      </c>
      <c r="D1385" t="s">
        <v>28</v>
      </c>
      <c r="E1385" t="str">
        <f>VLOOKUP(TRIM(D1385), Catalogo_gestiones!$A:$B, 2, FALSE)</f>
        <v>N</v>
      </c>
    </row>
    <row r="1386" spans="1:5" x14ac:dyDescent="0.25">
      <c r="A1386">
        <v>8263349</v>
      </c>
      <c r="B1386">
        <v>21676178</v>
      </c>
      <c r="C1386" s="1">
        <v>42533</v>
      </c>
      <c r="D1386" t="s">
        <v>30</v>
      </c>
      <c r="E1386" t="str">
        <f>VLOOKUP(TRIM(D1386), Catalogo_gestiones!$A:$B, 2, FALSE)</f>
        <v>S</v>
      </c>
    </row>
    <row r="1387" spans="1:5" x14ac:dyDescent="0.25">
      <c r="A1387">
        <v>8263349</v>
      </c>
      <c r="B1387">
        <v>21676329</v>
      </c>
      <c r="C1387" s="1">
        <v>42533</v>
      </c>
      <c r="D1387" t="s">
        <v>24</v>
      </c>
      <c r="E1387" t="str">
        <f>VLOOKUP(TRIM(D1387), Catalogo_gestiones!$A:$B, 2, FALSE)</f>
        <v>S</v>
      </c>
    </row>
    <row r="1388" spans="1:5" x14ac:dyDescent="0.25">
      <c r="A1388">
        <v>8263436</v>
      </c>
      <c r="B1388">
        <v>27653166</v>
      </c>
      <c r="C1388" s="1">
        <v>42533</v>
      </c>
      <c r="D1388" t="s">
        <v>25</v>
      </c>
      <c r="E1388" t="str">
        <f>VLOOKUP(TRIM(D1388), Catalogo_gestiones!$A:$B, 2, FALSE)</f>
        <v>N</v>
      </c>
    </row>
    <row r="1389" spans="1:5" x14ac:dyDescent="0.25">
      <c r="A1389">
        <v>8263516</v>
      </c>
      <c r="B1389">
        <v>15578869</v>
      </c>
      <c r="C1389" s="1">
        <v>42533</v>
      </c>
      <c r="D1389" t="s">
        <v>26</v>
      </c>
      <c r="E1389" t="str">
        <f>VLOOKUP(TRIM(D1389), Catalogo_gestiones!$A:$B, 2, FALSE)</f>
        <v>N</v>
      </c>
    </row>
    <row r="1390" spans="1:5" x14ac:dyDescent="0.25">
      <c r="A1390">
        <v>8263672</v>
      </c>
      <c r="B1390">
        <v>15202553</v>
      </c>
      <c r="C1390" s="1">
        <v>42533</v>
      </c>
      <c r="D1390" t="s">
        <v>27</v>
      </c>
      <c r="E1390" t="str">
        <f>VLOOKUP(TRIM(D1390), Catalogo_gestiones!$A:$B, 2, FALSE)</f>
        <v>S</v>
      </c>
    </row>
    <row r="1391" spans="1:5" x14ac:dyDescent="0.25">
      <c r="A1391">
        <v>8263672</v>
      </c>
      <c r="B1391">
        <v>20692962</v>
      </c>
      <c r="C1391" s="1">
        <v>42524</v>
      </c>
      <c r="D1391" t="s">
        <v>28</v>
      </c>
      <c r="E1391" t="str">
        <f>VLOOKUP(TRIM(D1391), Catalogo_gestiones!$A:$B, 2, FALSE)</f>
        <v>N</v>
      </c>
    </row>
    <row r="1392" spans="1:5" x14ac:dyDescent="0.25">
      <c r="A1392">
        <v>8263683</v>
      </c>
      <c r="B1392">
        <v>25096884</v>
      </c>
      <c r="C1392" s="1">
        <v>42533</v>
      </c>
      <c r="D1392" t="s">
        <v>24</v>
      </c>
      <c r="E1392" t="str">
        <f>VLOOKUP(TRIM(D1392), Catalogo_gestiones!$A:$B, 2, FALSE)</f>
        <v>S</v>
      </c>
    </row>
    <row r="1393" spans="1:5" x14ac:dyDescent="0.25">
      <c r="A1393">
        <v>8263683</v>
      </c>
      <c r="B1393">
        <v>25097831</v>
      </c>
      <c r="C1393" s="1">
        <v>42533</v>
      </c>
      <c r="D1393" t="s">
        <v>25</v>
      </c>
      <c r="E1393" t="str">
        <f>VLOOKUP(TRIM(D1393), Catalogo_gestiones!$A:$B, 2, FALSE)</f>
        <v>N</v>
      </c>
    </row>
    <row r="1394" spans="1:5" x14ac:dyDescent="0.25">
      <c r="A1394">
        <v>8290112</v>
      </c>
      <c r="B1394">
        <v>25098094</v>
      </c>
      <c r="C1394" s="1">
        <v>42533</v>
      </c>
      <c r="D1394" t="s">
        <v>26</v>
      </c>
      <c r="E1394" t="str">
        <f>VLOOKUP(TRIM(D1394), Catalogo_gestiones!$A:$B, 2, FALSE)</f>
        <v>N</v>
      </c>
    </row>
    <row r="1395" spans="1:5" x14ac:dyDescent="0.25">
      <c r="A1395">
        <v>8290119</v>
      </c>
      <c r="B1395">
        <v>25238974</v>
      </c>
      <c r="C1395" s="1">
        <v>42524</v>
      </c>
      <c r="D1395" t="s">
        <v>27</v>
      </c>
      <c r="E1395" t="str">
        <f>VLOOKUP(TRIM(D1395), Catalogo_gestiones!$A:$B, 2, FALSE)</f>
        <v>S</v>
      </c>
    </row>
    <row r="1396" spans="1:5" x14ac:dyDescent="0.25">
      <c r="A1396">
        <v>8290119</v>
      </c>
      <c r="B1396">
        <v>26623589</v>
      </c>
      <c r="C1396" s="1">
        <v>42524</v>
      </c>
      <c r="D1396" t="s">
        <v>28</v>
      </c>
      <c r="E1396" t="str">
        <f>VLOOKUP(TRIM(D1396), Catalogo_gestiones!$A:$B, 2, FALSE)</f>
        <v>N</v>
      </c>
    </row>
    <row r="1397" spans="1:5" x14ac:dyDescent="0.25">
      <c r="A1397">
        <v>8290119</v>
      </c>
      <c r="B1397">
        <v>27571222</v>
      </c>
      <c r="C1397" s="1">
        <v>42524</v>
      </c>
      <c r="D1397" t="s">
        <v>24</v>
      </c>
      <c r="E1397" t="str">
        <f>VLOOKUP(TRIM(D1397), Catalogo_gestiones!$A:$B, 2, FALSE)</f>
        <v>S</v>
      </c>
    </row>
    <row r="1398" spans="1:5" x14ac:dyDescent="0.25">
      <c r="A1398">
        <v>8290119</v>
      </c>
      <c r="B1398">
        <v>27817138</v>
      </c>
      <c r="C1398" s="1">
        <v>42524</v>
      </c>
      <c r="D1398" t="s">
        <v>25</v>
      </c>
      <c r="E1398" t="str">
        <f>VLOOKUP(TRIM(D1398), Catalogo_gestiones!$A:$B, 2, FALSE)</f>
        <v>N</v>
      </c>
    </row>
    <row r="1399" spans="1:5" x14ac:dyDescent="0.25">
      <c r="A1399">
        <v>8290233</v>
      </c>
      <c r="B1399">
        <v>4571968</v>
      </c>
      <c r="C1399" s="1">
        <v>42533</v>
      </c>
      <c r="D1399" t="s">
        <v>26</v>
      </c>
      <c r="E1399" t="str">
        <f>VLOOKUP(TRIM(D1399), Catalogo_gestiones!$A:$B, 2, FALSE)</f>
        <v>N</v>
      </c>
    </row>
    <row r="1400" spans="1:5" x14ac:dyDescent="0.25">
      <c r="A1400">
        <v>8290480</v>
      </c>
      <c r="B1400">
        <v>25411228</v>
      </c>
      <c r="C1400" s="1">
        <v>42533</v>
      </c>
      <c r="D1400" t="s">
        <v>27</v>
      </c>
      <c r="E1400" t="str">
        <f>VLOOKUP(TRIM(D1400), Catalogo_gestiones!$A:$B, 2, FALSE)</f>
        <v>S</v>
      </c>
    </row>
    <row r="1401" spans="1:5" x14ac:dyDescent="0.25">
      <c r="A1401">
        <v>8290480</v>
      </c>
      <c r="B1401">
        <v>28310909</v>
      </c>
      <c r="C1401" s="1">
        <v>42533</v>
      </c>
      <c r="D1401" t="s">
        <v>28</v>
      </c>
      <c r="E1401" t="str">
        <f>VLOOKUP(TRIM(D1401), Catalogo_gestiones!$A:$B, 2, FALSE)</f>
        <v>N</v>
      </c>
    </row>
    <row r="1402" spans="1:5" x14ac:dyDescent="0.25">
      <c r="A1402">
        <v>8290528</v>
      </c>
      <c r="B1402">
        <v>24781042</v>
      </c>
      <c r="C1402" s="1">
        <v>42533</v>
      </c>
      <c r="D1402" t="s">
        <v>30</v>
      </c>
      <c r="E1402" t="str">
        <f>VLOOKUP(TRIM(D1402), Catalogo_gestiones!$A:$B, 2, FALSE)</f>
        <v>S</v>
      </c>
    </row>
    <row r="1403" spans="1:5" x14ac:dyDescent="0.25">
      <c r="A1403">
        <v>8290528</v>
      </c>
      <c r="B1403">
        <v>24951190</v>
      </c>
      <c r="C1403" s="1">
        <v>42533</v>
      </c>
      <c r="D1403" t="s">
        <v>24</v>
      </c>
      <c r="E1403" t="str">
        <f>VLOOKUP(TRIM(D1403), Catalogo_gestiones!$A:$B, 2, FALSE)</f>
        <v>S</v>
      </c>
    </row>
    <row r="1404" spans="1:5" x14ac:dyDescent="0.25">
      <c r="A1404">
        <v>8290588</v>
      </c>
      <c r="B1404">
        <v>28040498</v>
      </c>
      <c r="C1404" s="1">
        <v>42533</v>
      </c>
      <c r="D1404" t="s">
        <v>25</v>
      </c>
      <c r="E1404" t="str">
        <f>VLOOKUP(TRIM(D1404), Catalogo_gestiones!$A:$B, 2, FALSE)</f>
        <v>N</v>
      </c>
    </row>
    <row r="1405" spans="1:5" x14ac:dyDescent="0.25">
      <c r="A1405">
        <v>8290811</v>
      </c>
      <c r="B1405">
        <v>21139953</v>
      </c>
      <c r="C1405" s="1">
        <v>42533</v>
      </c>
      <c r="D1405" t="s">
        <v>26</v>
      </c>
      <c r="E1405" t="str">
        <f>VLOOKUP(TRIM(D1405), Catalogo_gestiones!$A:$B, 2, FALSE)</f>
        <v>N</v>
      </c>
    </row>
    <row r="1406" spans="1:5" x14ac:dyDescent="0.25">
      <c r="A1406">
        <v>8290811</v>
      </c>
      <c r="B1406">
        <v>22295364</v>
      </c>
      <c r="C1406" s="1">
        <v>42531</v>
      </c>
      <c r="D1406" t="s">
        <v>27</v>
      </c>
      <c r="E1406" t="str">
        <f>VLOOKUP(TRIM(D1406), Catalogo_gestiones!$A:$B, 2, FALSE)</f>
        <v>S</v>
      </c>
    </row>
    <row r="1407" spans="1:5" x14ac:dyDescent="0.25">
      <c r="A1407">
        <v>8290882</v>
      </c>
      <c r="B1407">
        <v>23606029</v>
      </c>
      <c r="C1407" s="1">
        <v>42533</v>
      </c>
      <c r="D1407" t="s">
        <v>28</v>
      </c>
      <c r="E1407" t="str">
        <f>VLOOKUP(TRIM(D1407), Catalogo_gestiones!$A:$B, 2, FALSE)</f>
        <v>N</v>
      </c>
    </row>
    <row r="1408" spans="1:5" x14ac:dyDescent="0.25">
      <c r="A1408">
        <v>8290882</v>
      </c>
      <c r="B1408">
        <v>24187730</v>
      </c>
      <c r="C1408" s="1">
        <v>42533</v>
      </c>
      <c r="D1408" t="s">
        <v>24</v>
      </c>
      <c r="E1408" t="str">
        <f>VLOOKUP(TRIM(D1408), Catalogo_gestiones!$A:$B, 2, FALSE)</f>
        <v>S</v>
      </c>
    </row>
    <row r="1409" spans="1:5" x14ac:dyDescent="0.25">
      <c r="A1409">
        <v>8290902</v>
      </c>
      <c r="B1409">
        <v>23811559</v>
      </c>
      <c r="C1409" s="1">
        <v>42533</v>
      </c>
      <c r="D1409" t="s">
        <v>25</v>
      </c>
      <c r="E1409" t="str">
        <f>VLOOKUP(TRIM(D1409), Catalogo_gestiones!$A:$B, 2, FALSE)</f>
        <v>N</v>
      </c>
    </row>
    <row r="1410" spans="1:5" x14ac:dyDescent="0.25">
      <c r="A1410">
        <v>8291182</v>
      </c>
      <c r="B1410">
        <v>27917878</v>
      </c>
      <c r="C1410" s="1">
        <v>42533</v>
      </c>
      <c r="D1410" t="s">
        <v>26</v>
      </c>
      <c r="E1410" t="str">
        <f>VLOOKUP(TRIM(D1410), Catalogo_gestiones!$A:$B, 2, FALSE)</f>
        <v>N</v>
      </c>
    </row>
    <row r="1411" spans="1:5" x14ac:dyDescent="0.25">
      <c r="A1411">
        <v>8291274</v>
      </c>
      <c r="B1411">
        <v>22367717</v>
      </c>
      <c r="C1411" s="1">
        <v>42533</v>
      </c>
      <c r="D1411" t="s">
        <v>27</v>
      </c>
      <c r="E1411" t="str">
        <f>VLOOKUP(TRIM(D1411), Catalogo_gestiones!$A:$B, 2, FALSE)</f>
        <v>S</v>
      </c>
    </row>
    <row r="1412" spans="1:5" x14ac:dyDescent="0.25">
      <c r="A1412">
        <v>8291307</v>
      </c>
      <c r="B1412">
        <v>19789068</v>
      </c>
      <c r="C1412" s="1">
        <v>42533</v>
      </c>
      <c r="D1412" t="s">
        <v>28</v>
      </c>
      <c r="E1412" t="str">
        <f>VLOOKUP(TRIM(D1412), Catalogo_gestiones!$A:$B, 2, FALSE)</f>
        <v>N</v>
      </c>
    </row>
    <row r="1413" spans="1:5" x14ac:dyDescent="0.25">
      <c r="A1413">
        <v>8291401</v>
      </c>
      <c r="B1413">
        <v>26664011</v>
      </c>
      <c r="C1413" s="1">
        <v>42533</v>
      </c>
      <c r="D1413" t="s">
        <v>24</v>
      </c>
      <c r="E1413" t="str">
        <f>VLOOKUP(TRIM(D1413), Catalogo_gestiones!$A:$B, 2, FALSE)</f>
        <v>S</v>
      </c>
    </row>
    <row r="1414" spans="1:5" x14ac:dyDescent="0.25">
      <c r="A1414">
        <v>8291401</v>
      </c>
      <c r="B1414">
        <v>27049838</v>
      </c>
      <c r="C1414" s="1">
        <v>42533</v>
      </c>
      <c r="D1414" t="s">
        <v>25</v>
      </c>
      <c r="E1414" t="str">
        <f>VLOOKUP(TRIM(D1414), Catalogo_gestiones!$A:$B, 2, FALSE)</f>
        <v>N</v>
      </c>
    </row>
    <row r="1415" spans="1:5" x14ac:dyDescent="0.25">
      <c r="A1415">
        <v>8291401</v>
      </c>
      <c r="B1415">
        <v>27785613</v>
      </c>
      <c r="C1415" s="1">
        <v>42526</v>
      </c>
      <c r="D1415" t="s">
        <v>26</v>
      </c>
      <c r="E1415" t="str">
        <f>VLOOKUP(TRIM(D1415), Catalogo_gestiones!$A:$B, 2, FALSE)</f>
        <v>N</v>
      </c>
    </row>
    <row r="1416" spans="1:5" x14ac:dyDescent="0.25">
      <c r="A1416">
        <v>8291427</v>
      </c>
      <c r="B1416">
        <v>22621938</v>
      </c>
      <c r="C1416" s="1">
        <v>42533</v>
      </c>
      <c r="D1416" t="s">
        <v>27</v>
      </c>
      <c r="E1416" t="str">
        <f>VLOOKUP(TRIM(D1416), Catalogo_gestiones!$A:$B, 2, FALSE)</f>
        <v>S</v>
      </c>
    </row>
    <row r="1417" spans="1:5" x14ac:dyDescent="0.25">
      <c r="A1417">
        <v>8291467</v>
      </c>
      <c r="B1417">
        <v>27243058</v>
      </c>
      <c r="C1417" s="1">
        <v>42533</v>
      </c>
      <c r="D1417" t="s">
        <v>28</v>
      </c>
      <c r="E1417" t="str">
        <f>VLOOKUP(TRIM(D1417), Catalogo_gestiones!$A:$B, 2, FALSE)</f>
        <v>N</v>
      </c>
    </row>
    <row r="1418" spans="1:5" x14ac:dyDescent="0.25">
      <c r="A1418">
        <v>8291545</v>
      </c>
      <c r="B1418">
        <v>27047202</v>
      </c>
      <c r="C1418" s="1">
        <v>42533</v>
      </c>
      <c r="D1418" t="s">
        <v>30</v>
      </c>
      <c r="E1418" t="str">
        <f>VLOOKUP(TRIM(D1418), Catalogo_gestiones!$A:$B, 2, FALSE)</f>
        <v>S</v>
      </c>
    </row>
    <row r="1419" spans="1:5" x14ac:dyDescent="0.25">
      <c r="A1419">
        <v>8291631</v>
      </c>
      <c r="B1419">
        <v>25284857</v>
      </c>
      <c r="C1419" s="1">
        <v>42533</v>
      </c>
      <c r="D1419" t="s">
        <v>24</v>
      </c>
      <c r="E1419" t="str">
        <f>VLOOKUP(TRIM(D1419), Catalogo_gestiones!$A:$B, 2, FALSE)</f>
        <v>S</v>
      </c>
    </row>
    <row r="1420" spans="1:5" x14ac:dyDescent="0.25">
      <c r="A1420">
        <v>8291662</v>
      </c>
      <c r="B1420">
        <v>27245072</v>
      </c>
      <c r="C1420" s="1">
        <v>42533</v>
      </c>
      <c r="D1420" t="s">
        <v>25</v>
      </c>
      <c r="E1420" t="str">
        <f>VLOOKUP(TRIM(D1420), Catalogo_gestiones!$A:$B, 2, FALSE)</f>
        <v>N</v>
      </c>
    </row>
    <row r="1421" spans="1:5" x14ac:dyDescent="0.25">
      <c r="A1421">
        <v>8291666</v>
      </c>
      <c r="B1421">
        <v>25136314</v>
      </c>
      <c r="C1421" s="1">
        <v>42533</v>
      </c>
      <c r="D1421" t="s">
        <v>26</v>
      </c>
      <c r="E1421" t="str">
        <f>VLOOKUP(TRIM(D1421), Catalogo_gestiones!$A:$B, 2, FALSE)</f>
        <v>N</v>
      </c>
    </row>
    <row r="1422" spans="1:5" x14ac:dyDescent="0.25">
      <c r="A1422">
        <v>8291695</v>
      </c>
      <c r="B1422">
        <v>23721045</v>
      </c>
      <c r="C1422" s="1">
        <v>42533</v>
      </c>
      <c r="D1422" t="s">
        <v>27</v>
      </c>
      <c r="E1422" t="str">
        <f>VLOOKUP(TRIM(D1422), Catalogo_gestiones!$A:$B, 2, FALSE)</f>
        <v>S</v>
      </c>
    </row>
    <row r="1423" spans="1:5" x14ac:dyDescent="0.25">
      <c r="A1423">
        <v>8291734</v>
      </c>
      <c r="B1423">
        <v>26115306</v>
      </c>
      <c r="C1423" s="1">
        <v>42533</v>
      </c>
      <c r="D1423" t="s">
        <v>28</v>
      </c>
      <c r="E1423" t="str">
        <f>VLOOKUP(TRIM(D1423), Catalogo_gestiones!$A:$B, 2, FALSE)</f>
        <v>N</v>
      </c>
    </row>
    <row r="1424" spans="1:5" x14ac:dyDescent="0.25">
      <c r="A1424">
        <v>8291748</v>
      </c>
      <c r="B1424">
        <v>26162028</v>
      </c>
      <c r="C1424" s="1">
        <v>42533</v>
      </c>
      <c r="D1424" t="s">
        <v>24</v>
      </c>
      <c r="E1424" t="str">
        <f>VLOOKUP(TRIM(D1424), Catalogo_gestiones!$A:$B, 2, FALSE)</f>
        <v>S</v>
      </c>
    </row>
    <row r="1425" spans="1:5" x14ac:dyDescent="0.25">
      <c r="A1425">
        <v>8291785</v>
      </c>
      <c r="B1425">
        <v>22084852</v>
      </c>
      <c r="C1425" s="1">
        <v>42533</v>
      </c>
      <c r="D1425" t="s">
        <v>25</v>
      </c>
      <c r="E1425" t="str">
        <f>VLOOKUP(TRIM(D1425), Catalogo_gestiones!$A:$B, 2, FALSE)</f>
        <v>N</v>
      </c>
    </row>
    <row r="1426" spans="1:5" x14ac:dyDescent="0.25">
      <c r="A1426">
        <v>8291961</v>
      </c>
      <c r="B1426">
        <v>22494166</v>
      </c>
      <c r="C1426" s="1">
        <v>42533</v>
      </c>
      <c r="D1426" t="s">
        <v>26</v>
      </c>
      <c r="E1426" t="str">
        <f>VLOOKUP(TRIM(D1426), Catalogo_gestiones!$A:$B, 2, FALSE)</f>
        <v>N</v>
      </c>
    </row>
    <row r="1427" spans="1:5" x14ac:dyDescent="0.25">
      <c r="A1427">
        <v>8291961</v>
      </c>
      <c r="B1427">
        <v>24906889</v>
      </c>
      <c r="C1427" s="1">
        <v>42533</v>
      </c>
      <c r="D1427" t="s">
        <v>27</v>
      </c>
      <c r="E1427" t="str">
        <f>VLOOKUP(TRIM(D1427), Catalogo_gestiones!$A:$B, 2, FALSE)</f>
        <v>S</v>
      </c>
    </row>
    <row r="1428" spans="1:5" x14ac:dyDescent="0.25">
      <c r="A1428">
        <v>8292187</v>
      </c>
      <c r="B1428">
        <v>27077731</v>
      </c>
      <c r="C1428" s="1">
        <v>42533</v>
      </c>
      <c r="D1428" t="s">
        <v>28</v>
      </c>
      <c r="E1428" t="str">
        <f>VLOOKUP(TRIM(D1428), Catalogo_gestiones!$A:$B, 2, FALSE)</f>
        <v>N</v>
      </c>
    </row>
    <row r="1429" spans="1:5" x14ac:dyDescent="0.25">
      <c r="A1429">
        <v>8292187</v>
      </c>
      <c r="B1429">
        <v>27136580</v>
      </c>
      <c r="C1429" s="1">
        <v>42533</v>
      </c>
      <c r="D1429" t="s">
        <v>24</v>
      </c>
      <c r="E1429" t="str">
        <f>VLOOKUP(TRIM(D1429), Catalogo_gestiones!$A:$B, 2, FALSE)</f>
        <v>S</v>
      </c>
    </row>
    <row r="1430" spans="1:5" x14ac:dyDescent="0.25">
      <c r="A1430">
        <v>8292203</v>
      </c>
      <c r="B1430">
        <v>26723896</v>
      </c>
      <c r="C1430" s="1">
        <v>42533</v>
      </c>
      <c r="D1430" t="s">
        <v>25</v>
      </c>
      <c r="E1430" t="str">
        <f>VLOOKUP(TRIM(D1430), Catalogo_gestiones!$A:$B, 2, FALSE)</f>
        <v>N</v>
      </c>
    </row>
    <row r="1431" spans="1:5" x14ac:dyDescent="0.25">
      <c r="A1431">
        <v>8292203</v>
      </c>
      <c r="B1431">
        <v>26725887</v>
      </c>
      <c r="C1431" s="1">
        <v>42533</v>
      </c>
      <c r="D1431" t="s">
        <v>26</v>
      </c>
      <c r="E1431" t="str">
        <f>VLOOKUP(TRIM(D1431), Catalogo_gestiones!$A:$B, 2, FALSE)</f>
        <v>N</v>
      </c>
    </row>
    <row r="1432" spans="1:5" x14ac:dyDescent="0.25">
      <c r="A1432">
        <v>8292243</v>
      </c>
      <c r="B1432">
        <v>25479795</v>
      </c>
      <c r="C1432" s="1">
        <v>42533</v>
      </c>
      <c r="D1432" t="s">
        <v>27</v>
      </c>
      <c r="E1432" t="str">
        <f>VLOOKUP(TRIM(D1432), Catalogo_gestiones!$A:$B, 2, FALSE)</f>
        <v>S</v>
      </c>
    </row>
    <row r="1433" spans="1:5" x14ac:dyDescent="0.25">
      <c r="A1433">
        <v>8292285</v>
      </c>
      <c r="B1433">
        <v>21276240</v>
      </c>
      <c r="C1433" s="1">
        <v>42533</v>
      </c>
      <c r="D1433" t="s">
        <v>28</v>
      </c>
      <c r="E1433" t="str">
        <f>VLOOKUP(TRIM(D1433), Catalogo_gestiones!$A:$B, 2, FALSE)</f>
        <v>N</v>
      </c>
    </row>
    <row r="1434" spans="1:5" x14ac:dyDescent="0.25">
      <c r="A1434">
        <v>8292287</v>
      </c>
      <c r="B1434">
        <v>25270652</v>
      </c>
      <c r="C1434" s="1">
        <v>42533</v>
      </c>
      <c r="D1434" t="s">
        <v>30</v>
      </c>
      <c r="E1434" t="str">
        <f>VLOOKUP(TRIM(D1434), Catalogo_gestiones!$A:$B, 2, FALSE)</f>
        <v>S</v>
      </c>
    </row>
    <row r="1435" spans="1:5" x14ac:dyDescent="0.25">
      <c r="A1435">
        <v>8292341</v>
      </c>
      <c r="B1435">
        <v>22512363</v>
      </c>
      <c r="C1435" s="1">
        <v>42533</v>
      </c>
      <c r="D1435" t="s">
        <v>24</v>
      </c>
      <c r="E1435" t="str">
        <f>VLOOKUP(TRIM(D1435), Catalogo_gestiones!$A:$B, 2, FALSE)</f>
        <v>S</v>
      </c>
    </row>
    <row r="1436" spans="1:5" x14ac:dyDescent="0.25">
      <c r="A1436">
        <v>8292341</v>
      </c>
      <c r="B1436">
        <v>23583782</v>
      </c>
      <c r="C1436" s="1">
        <v>42533</v>
      </c>
      <c r="D1436" t="s">
        <v>25</v>
      </c>
      <c r="E1436" t="str">
        <f>VLOOKUP(TRIM(D1436), Catalogo_gestiones!$A:$B, 2, FALSE)</f>
        <v>N</v>
      </c>
    </row>
    <row r="1437" spans="1:5" x14ac:dyDescent="0.25">
      <c r="A1437">
        <v>8292460</v>
      </c>
      <c r="B1437">
        <v>26369115</v>
      </c>
      <c r="C1437" s="1">
        <v>42533</v>
      </c>
      <c r="D1437" t="s">
        <v>26</v>
      </c>
      <c r="E1437" t="str">
        <f>VLOOKUP(TRIM(D1437), Catalogo_gestiones!$A:$B, 2, FALSE)</f>
        <v>N</v>
      </c>
    </row>
    <row r="1438" spans="1:5" x14ac:dyDescent="0.25">
      <c r="A1438">
        <v>8292460</v>
      </c>
      <c r="B1438">
        <v>26370820</v>
      </c>
      <c r="C1438" s="1">
        <v>42533</v>
      </c>
      <c r="D1438" t="s">
        <v>27</v>
      </c>
      <c r="E1438" t="str">
        <f>VLOOKUP(TRIM(D1438), Catalogo_gestiones!$A:$B, 2, FALSE)</f>
        <v>S</v>
      </c>
    </row>
    <row r="1439" spans="1:5" x14ac:dyDescent="0.25">
      <c r="A1439">
        <v>8292560</v>
      </c>
      <c r="B1439">
        <v>21245444</v>
      </c>
      <c r="C1439" s="1">
        <v>42533</v>
      </c>
      <c r="D1439" t="s">
        <v>28</v>
      </c>
      <c r="E1439" t="str">
        <f>VLOOKUP(TRIM(D1439), Catalogo_gestiones!$A:$B, 2, FALSE)</f>
        <v>N</v>
      </c>
    </row>
    <row r="1440" spans="1:5" x14ac:dyDescent="0.25">
      <c r="A1440">
        <v>8292560</v>
      </c>
      <c r="B1440">
        <v>24257181</v>
      </c>
      <c r="C1440" s="1">
        <v>42533</v>
      </c>
      <c r="D1440" t="s">
        <v>24</v>
      </c>
      <c r="E1440" t="str">
        <f>VLOOKUP(TRIM(D1440), Catalogo_gestiones!$A:$B, 2, FALSE)</f>
        <v>S</v>
      </c>
    </row>
    <row r="1441" spans="1:5" x14ac:dyDescent="0.25">
      <c r="A1441">
        <v>8292688</v>
      </c>
      <c r="B1441">
        <v>21904033</v>
      </c>
      <c r="C1441" s="1">
        <v>42533</v>
      </c>
      <c r="D1441" t="s">
        <v>25</v>
      </c>
      <c r="E1441" t="str">
        <f>VLOOKUP(TRIM(D1441), Catalogo_gestiones!$A:$B, 2, FALSE)</f>
        <v>N</v>
      </c>
    </row>
    <row r="1442" spans="1:5" x14ac:dyDescent="0.25">
      <c r="A1442">
        <v>8292689</v>
      </c>
      <c r="B1442">
        <v>27077359</v>
      </c>
      <c r="C1442" s="1">
        <v>42533</v>
      </c>
      <c r="D1442" t="s">
        <v>26</v>
      </c>
      <c r="E1442" t="str">
        <f>VLOOKUP(TRIM(D1442), Catalogo_gestiones!$A:$B, 2, FALSE)</f>
        <v>N</v>
      </c>
    </row>
    <row r="1443" spans="1:5" x14ac:dyDescent="0.25">
      <c r="A1443">
        <v>8292740</v>
      </c>
      <c r="B1443">
        <v>25350877</v>
      </c>
      <c r="C1443" s="1">
        <v>42533</v>
      </c>
      <c r="D1443" t="s">
        <v>27</v>
      </c>
      <c r="E1443" t="str">
        <f>VLOOKUP(TRIM(D1443), Catalogo_gestiones!$A:$B, 2, FALSE)</f>
        <v>S</v>
      </c>
    </row>
    <row r="1444" spans="1:5" x14ac:dyDescent="0.25">
      <c r="A1444">
        <v>8292842</v>
      </c>
      <c r="B1444">
        <v>17344821</v>
      </c>
      <c r="C1444" s="1">
        <v>42533</v>
      </c>
      <c r="D1444" t="s">
        <v>28</v>
      </c>
      <c r="E1444" t="str">
        <f>VLOOKUP(TRIM(D1444), Catalogo_gestiones!$A:$B, 2, FALSE)</f>
        <v>N</v>
      </c>
    </row>
    <row r="1445" spans="1:5" x14ac:dyDescent="0.25">
      <c r="A1445">
        <v>8292855</v>
      </c>
      <c r="B1445">
        <v>16975449</v>
      </c>
      <c r="C1445" s="1">
        <v>42533</v>
      </c>
      <c r="D1445" t="s">
        <v>24</v>
      </c>
      <c r="E1445" t="str">
        <f>VLOOKUP(TRIM(D1445), Catalogo_gestiones!$A:$B, 2, FALSE)</f>
        <v>S</v>
      </c>
    </row>
    <row r="1446" spans="1:5" x14ac:dyDescent="0.25">
      <c r="A1446">
        <v>8292862</v>
      </c>
      <c r="B1446">
        <v>19916764</v>
      </c>
      <c r="C1446" s="1">
        <v>42533</v>
      </c>
      <c r="D1446" t="s">
        <v>25</v>
      </c>
      <c r="E1446" t="str">
        <f>VLOOKUP(TRIM(D1446), Catalogo_gestiones!$A:$B, 2, FALSE)</f>
        <v>N</v>
      </c>
    </row>
    <row r="1447" spans="1:5" x14ac:dyDescent="0.25">
      <c r="A1447">
        <v>8292896</v>
      </c>
      <c r="B1447">
        <v>26273017</v>
      </c>
      <c r="C1447" s="1">
        <v>42533</v>
      </c>
      <c r="D1447" t="s">
        <v>26</v>
      </c>
      <c r="E1447" t="str">
        <f>VLOOKUP(TRIM(D1447), Catalogo_gestiones!$A:$B, 2, FALSE)</f>
        <v>N</v>
      </c>
    </row>
    <row r="1448" spans="1:5" x14ac:dyDescent="0.25">
      <c r="A1448">
        <v>8292902</v>
      </c>
      <c r="B1448">
        <v>27040978</v>
      </c>
      <c r="C1448" s="1">
        <v>42533</v>
      </c>
      <c r="D1448" t="s">
        <v>27</v>
      </c>
      <c r="E1448" t="str">
        <f>VLOOKUP(TRIM(D1448), Catalogo_gestiones!$A:$B, 2, FALSE)</f>
        <v>S</v>
      </c>
    </row>
    <row r="1449" spans="1:5" x14ac:dyDescent="0.25">
      <c r="A1449">
        <v>8292978</v>
      </c>
      <c r="B1449">
        <v>26491653</v>
      </c>
      <c r="C1449" s="1">
        <v>42533</v>
      </c>
      <c r="D1449" t="s">
        <v>28</v>
      </c>
      <c r="E1449" t="str">
        <f>VLOOKUP(TRIM(D1449), Catalogo_gestiones!$A:$B, 2, FALSE)</f>
        <v>N</v>
      </c>
    </row>
    <row r="1450" spans="1:5" x14ac:dyDescent="0.25">
      <c r="A1450">
        <v>8293153</v>
      </c>
      <c r="B1450">
        <v>28586833</v>
      </c>
      <c r="C1450" s="1">
        <v>42526</v>
      </c>
      <c r="D1450" t="s">
        <v>30</v>
      </c>
      <c r="E1450" t="str">
        <f>VLOOKUP(TRIM(D1450), Catalogo_gestiones!$A:$B, 2, FALSE)</f>
        <v>S</v>
      </c>
    </row>
    <row r="1451" spans="1:5" x14ac:dyDescent="0.25">
      <c r="A1451">
        <v>8293228</v>
      </c>
      <c r="B1451">
        <v>21674961</v>
      </c>
      <c r="C1451" s="1">
        <v>42533</v>
      </c>
      <c r="D1451" t="s">
        <v>24</v>
      </c>
      <c r="E1451" t="str">
        <f>VLOOKUP(TRIM(D1451), Catalogo_gestiones!$A:$B, 2, FALSE)</f>
        <v>S</v>
      </c>
    </row>
    <row r="1452" spans="1:5" x14ac:dyDescent="0.25">
      <c r="A1452">
        <v>8293228</v>
      </c>
      <c r="B1452">
        <v>25179756</v>
      </c>
      <c r="C1452" s="1">
        <v>42533</v>
      </c>
      <c r="D1452" t="s">
        <v>25</v>
      </c>
      <c r="E1452" t="str">
        <f>VLOOKUP(TRIM(D1452), Catalogo_gestiones!$A:$B, 2, FALSE)</f>
        <v>N</v>
      </c>
    </row>
    <row r="1453" spans="1:5" x14ac:dyDescent="0.25">
      <c r="A1453">
        <v>8293228</v>
      </c>
      <c r="B1453">
        <v>27864553</v>
      </c>
      <c r="C1453" s="1">
        <v>42533</v>
      </c>
      <c r="D1453" t="s">
        <v>26</v>
      </c>
      <c r="E1453" t="str">
        <f>VLOOKUP(TRIM(D1453), Catalogo_gestiones!$A:$B, 2, FALSE)</f>
        <v>N</v>
      </c>
    </row>
    <row r="1454" spans="1:5" x14ac:dyDescent="0.25">
      <c r="A1454">
        <v>8293235</v>
      </c>
      <c r="B1454">
        <v>26262840</v>
      </c>
      <c r="C1454" s="1">
        <v>42533</v>
      </c>
      <c r="D1454" t="s">
        <v>27</v>
      </c>
      <c r="E1454" t="str">
        <f>VLOOKUP(TRIM(D1454), Catalogo_gestiones!$A:$B, 2, FALSE)</f>
        <v>S</v>
      </c>
    </row>
    <row r="1455" spans="1:5" x14ac:dyDescent="0.25">
      <c r="A1455">
        <v>8293244</v>
      </c>
      <c r="B1455">
        <v>19738680</v>
      </c>
      <c r="C1455" s="1">
        <v>42525</v>
      </c>
      <c r="D1455" t="s">
        <v>28</v>
      </c>
      <c r="E1455" t="str">
        <f>VLOOKUP(TRIM(D1455), Catalogo_gestiones!$A:$B, 2, FALSE)</f>
        <v>N</v>
      </c>
    </row>
    <row r="1456" spans="1:5" x14ac:dyDescent="0.25">
      <c r="A1456">
        <v>8293244</v>
      </c>
      <c r="B1456">
        <v>21786213</v>
      </c>
      <c r="C1456" s="1">
        <v>42533</v>
      </c>
      <c r="D1456" t="s">
        <v>24</v>
      </c>
      <c r="E1456" t="str">
        <f>VLOOKUP(TRIM(D1456), Catalogo_gestiones!$A:$B, 2, FALSE)</f>
        <v>S</v>
      </c>
    </row>
    <row r="1457" spans="1:5" x14ac:dyDescent="0.25">
      <c r="A1457">
        <v>8293299</v>
      </c>
      <c r="B1457">
        <v>27039509</v>
      </c>
      <c r="C1457" s="1">
        <v>42526</v>
      </c>
      <c r="D1457" t="s">
        <v>25</v>
      </c>
      <c r="E1457" t="str">
        <f>VLOOKUP(TRIM(D1457), Catalogo_gestiones!$A:$B, 2, FALSE)</f>
        <v>N</v>
      </c>
    </row>
    <row r="1458" spans="1:5" x14ac:dyDescent="0.25">
      <c r="A1458">
        <v>8293299</v>
      </c>
      <c r="B1458">
        <v>27969594</v>
      </c>
      <c r="C1458" s="1">
        <v>42533</v>
      </c>
      <c r="D1458" t="s">
        <v>26</v>
      </c>
      <c r="E1458" t="str">
        <f>VLOOKUP(TRIM(D1458), Catalogo_gestiones!$A:$B, 2, FALSE)</f>
        <v>N</v>
      </c>
    </row>
    <row r="1459" spans="1:5" x14ac:dyDescent="0.25">
      <c r="A1459">
        <v>8293546</v>
      </c>
      <c r="B1459">
        <v>21634560</v>
      </c>
      <c r="C1459" s="1">
        <v>42533</v>
      </c>
      <c r="D1459" t="s">
        <v>27</v>
      </c>
      <c r="E1459" t="str">
        <f>VLOOKUP(TRIM(D1459), Catalogo_gestiones!$A:$B, 2, FALSE)</f>
        <v>S</v>
      </c>
    </row>
    <row r="1460" spans="1:5" x14ac:dyDescent="0.25">
      <c r="A1460">
        <v>8293546</v>
      </c>
      <c r="B1460">
        <v>26029145</v>
      </c>
      <c r="C1460" s="1">
        <v>42531</v>
      </c>
      <c r="D1460" t="s">
        <v>28</v>
      </c>
      <c r="E1460" t="str">
        <f>VLOOKUP(TRIM(D1460), Catalogo_gestiones!$A:$B, 2, FALSE)</f>
        <v>N</v>
      </c>
    </row>
    <row r="1461" spans="1:5" x14ac:dyDescent="0.25">
      <c r="A1461">
        <v>8293564</v>
      </c>
      <c r="B1461">
        <v>26443276</v>
      </c>
      <c r="C1461" s="1">
        <v>42533</v>
      </c>
      <c r="D1461" t="s">
        <v>24</v>
      </c>
      <c r="E1461" t="str">
        <f>VLOOKUP(TRIM(D1461), Catalogo_gestiones!$A:$B, 2, FALSE)</f>
        <v>S</v>
      </c>
    </row>
    <row r="1462" spans="1:5" x14ac:dyDescent="0.25">
      <c r="A1462">
        <v>8293662</v>
      </c>
      <c r="B1462">
        <v>25834952</v>
      </c>
      <c r="C1462" s="1">
        <v>42533</v>
      </c>
      <c r="D1462" t="s">
        <v>25</v>
      </c>
      <c r="E1462" t="str">
        <f>VLOOKUP(TRIM(D1462), Catalogo_gestiones!$A:$B, 2, FALSE)</f>
        <v>N</v>
      </c>
    </row>
    <row r="1463" spans="1:5" x14ac:dyDescent="0.25">
      <c r="A1463">
        <v>8293714</v>
      </c>
      <c r="B1463">
        <v>21486272</v>
      </c>
      <c r="C1463" s="1">
        <v>42533</v>
      </c>
      <c r="D1463" t="s">
        <v>26</v>
      </c>
      <c r="E1463" t="str">
        <f>VLOOKUP(TRIM(D1463), Catalogo_gestiones!$A:$B, 2, FALSE)</f>
        <v>N</v>
      </c>
    </row>
    <row r="1464" spans="1:5" x14ac:dyDescent="0.25">
      <c r="A1464">
        <v>8293734</v>
      </c>
      <c r="B1464">
        <v>28582640</v>
      </c>
      <c r="C1464" s="1">
        <v>42526</v>
      </c>
      <c r="D1464" t="s">
        <v>27</v>
      </c>
      <c r="E1464" t="str">
        <f>VLOOKUP(TRIM(D1464), Catalogo_gestiones!$A:$B, 2, FALSE)</f>
        <v>S</v>
      </c>
    </row>
    <row r="1465" spans="1:5" x14ac:dyDescent="0.25">
      <c r="A1465">
        <v>8293781</v>
      </c>
      <c r="B1465">
        <v>25151473</v>
      </c>
      <c r="C1465" s="1">
        <v>42533</v>
      </c>
      <c r="D1465" t="s">
        <v>28</v>
      </c>
      <c r="E1465" t="str">
        <f>VLOOKUP(TRIM(D1465), Catalogo_gestiones!$A:$B, 2, FALSE)</f>
        <v>N</v>
      </c>
    </row>
    <row r="1466" spans="1:5" x14ac:dyDescent="0.25">
      <c r="A1466">
        <v>8293793</v>
      </c>
      <c r="B1466">
        <v>27730431</v>
      </c>
      <c r="C1466" s="1">
        <v>42524</v>
      </c>
      <c r="D1466" t="s">
        <v>30</v>
      </c>
      <c r="E1466" t="str">
        <f>VLOOKUP(TRIM(D1466), Catalogo_gestiones!$A:$B, 2, FALSE)</f>
        <v>S</v>
      </c>
    </row>
    <row r="1467" spans="1:5" x14ac:dyDescent="0.25">
      <c r="A1467">
        <v>8293815</v>
      </c>
      <c r="B1467">
        <v>26238609</v>
      </c>
      <c r="C1467" s="1">
        <v>42533</v>
      </c>
      <c r="D1467" t="s">
        <v>24</v>
      </c>
      <c r="E1467" t="str">
        <f>VLOOKUP(TRIM(D1467), Catalogo_gestiones!$A:$B, 2, FALSE)</f>
        <v>S</v>
      </c>
    </row>
    <row r="1468" spans="1:5" x14ac:dyDescent="0.25">
      <c r="A1468">
        <v>8293818</v>
      </c>
      <c r="B1468">
        <v>28252699</v>
      </c>
      <c r="C1468" s="1">
        <v>42533</v>
      </c>
      <c r="D1468" t="s">
        <v>25</v>
      </c>
      <c r="E1468" t="str">
        <f>VLOOKUP(TRIM(D1468), Catalogo_gestiones!$A:$B, 2, FALSE)</f>
        <v>N</v>
      </c>
    </row>
    <row r="1469" spans="1:5" x14ac:dyDescent="0.25">
      <c r="A1469">
        <v>8293949</v>
      </c>
      <c r="B1469">
        <v>26857064</v>
      </c>
      <c r="C1469" s="1">
        <v>42533</v>
      </c>
      <c r="D1469" t="s">
        <v>26</v>
      </c>
      <c r="E1469" t="str">
        <f>VLOOKUP(TRIM(D1469), Catalogo_gestiones!$A:$B, 2, FALSE)</f>
        <v>N</v>
      </c>
    </row>
    <row r="1470" spans="1:5" x14ac:dyDescent="0.25">
      <c r="A1470">
        <v>8294114</v>
      </c>
      <c r="B1470">
        <v>21353303</v>
      </c>
      <c r="C1470" s="1">
        <v>42533</v>
      </c>
      <c r="D1470" t="s">
        <v>27</v>
      </c>
      <c r="E1470" t="str">
        <f>VLOOKUP(TRIM(D1470), Catalogo_gestiones!$A:$B, 2, FALSE)</f>
        <v>S</v>
      </c>
    </row>
    <row r="1471" spans="1:5" x14ac:dyDescent="0.25">
      <c r="A1471">
        <v>8294206</v>
      </c>
      <c r="B1471">
        <v>27648242</v>
      </c>
      <c r="C1471" s="1">
        <v>42533</v>
      </c>
      <c r="D1471" t="s">
        <v>28</v>
      </c>
      <c r="E1471" t="str">
        <f>VLOOKUP(TRIM(D1471), Catalogo_gestiones!$A:$B, 2, FALSE)</f>
        <v>N</v>
      </c>
    </row>
    <row r="1472" spans="1:5" x14ac:dyDescent="0.25">
      <c r="A1472">
        <v>8294211</v>
      </c>
      <c r="B1472">
        <v>20248889</v>
      </c>
      <c r="C1472" s="1">
        <v>42533</v>
      </c>
      <c r="D1472" t="s">
        <v>24</v>
      </c>
      <c r="E1472" t="str">
        <f>VLOOKUP(TRIM(D1472), Catalogo_gestiones!$A:$B, 2, FALSE)</f>
        <v>S</v>
      </c>
    </row>
    <row r="1473" spans="1:5" x14ac:dyDescent="0.25">
      <c r="A1473">
        <v>8294211</v>
      </c>
      <c r="B1473">
        <v>20249908</v>
      </c>
      <c r="C1473" s="1">
        <v>42533</v>
      </c>
      <c r="D1473" t="s">
        <v>25</v>
      </c>
      <c r="E1473" t="str">
        <f>VLOOKUP(TRIM(D1473), Catalogo_gestiones!$A:$B, 2, FALSE)</f>
        <v>N</v>
      </c>
    </row>
    <row r="1474" spans="1:5" x14ac:dyDescent="0.25">
      <c r="A1474">
        <v>8294261</v>
      </c>
      <c r="B1474">
        <v>27755425</v>
      </c>
      <c r="C1474" s="1">
        <v>42533</v>
      </c>
      <c r="D1474" t="s">
        <v>26</v>
      </c>
      <c r="E1474" t="str">
        <f>VLOOKUP(TRIM(D1474), Catalogo_gestiones!$A:$B, 2, FALSE)</f>
        <v>N</v>
      </c>
    </row>
    <row r="1475" spans="1:5" x14ac:dyDescent="0.25">
      <c r="A1475">
        <v>8294375</v>
      </c>
      <c r="B1475">
        <v>25479266</v>
      </c>
      <c r="C1475" s="1">
        <v>42533</v>
      </c>
      <c r="D1475" t="s">
        <v>27</v>
      </c>
      <c r="E1475" t="str">
        <f>VLOOKUP(TRIM(D1475), Catalogo_gestiones!$A:$B, 2, FALSE)</f>
        <v>S</v>
      </c>
    </row>
    <row r="1476" spans="1:5" x14ac:dyDescent="0.25">
      <c r="A1476">
        <v>8294415</v>
      </c>
      <c r="B1476">
        <v>25073407</v>
      </c>
      <c r="C1476" s="1">
        <v>42533</v>
      </c>
      <c r="D1476" t="s">
        <v>28</v>
      </c>
      <c r="E1476" t="str">
        <f>VLOOKUP(TRIM(D1476), Catalogo_gestiones!$A:$B, 2, FALSE)</f>
        <v>N</v>
      </c>
    </row>
    <row r="1477" spans="1:5" x14ac:dyDescent="0.25">
      <c r="A1477">
        <v>8294415</v>
      </c>
      <c r="B1477">
        <v>25086883</v>
      </c>
      <c r="C1477" s="1">
        <v>42533</v>
      </c>
      <c r="D1477" t="s">
        <v>24</v>
      </c>
      <c r="E1477" t="str">
        <f>VLOOKUP(TRIM(D1477), Catalogo_gestiones!$A:$B, 2, FALSE)</f>
        <v>S</v>
      </c>
    </row>
    <row r="1478" spans="1:5" x14ac:dyDescent="0.25">
      <c r="A1478">
        <v>8294415</v>
      </c>
      <c r="B1478">
        <v>26921845</v>
      </c>
      <c r="C1478" s="1">
        <v>42533</v>
      </c>
      <c r="D1478" t="s">
        <v>25</v>
      </c>
      <c r="E1478" t="str">
        <f>VLOOKUP(TRIM(D1478), Catalogo_gestiones!$A:$B, 2, FALSE)</f>
        <v>N</v>
      </c>
    </row>
    <row r="1479" spans="1:5" x14ac:dyDescent="0.25">
      <c r="A1479">
        <v>8294415</v>
      </c>
      <c r="B1479">
        <v>27029677</v>
      </c>
      <c r="C1479" s="1">
        <v>42533</v>
      </c>
      <c r="D1479" t="s">
        <v>26</v>
      </c>
      <c r="E1479" t="str">
        <f>VLOOKUP(TRIM(D1479), Catalogo_gestiones!$A:$B, 2, FALSE)</f>
        <v>N</v>
      </c>
    </row>
    <row r="1480" spans="1:5" x14ac:dyDescent="0.25">
      <c r="A1480">
        <v>8294415</v>
      </c>
      <c r="B1480">
        <v>27475022</v>
      </c>
      <c r="C1480" s="1">
        <v>42533</v>
      </c>
      <c r="D1480" t="s">
        <v>27</v>
      </c>
      <c r="E1480" t="str">
        <f>VLOOKUP(TRIM(D1480), Catalogo_gestiones!$A:$B, 2, FALSE)</f>
        <v>S</v>
      </c>
    </row>
    <row r="1481" spans="1:5" x14ac:dyDescent="0.25">
      <c r="A1481">
        <v>8294415</v>
      </c>
      <c r="B1481">
        <v>27494159</v>
      </c>
      <c r="C1481" s="1">
        <v>42533</v>
      </c>
      <c r="D1481" t="s">
        <v>28</v>
      </c>
      <c r="E1481" t="str">
        <f>VLOOKUP(TRIM(D1481), Catalogo_gestiones!$A:$B, 2, FALSE)</f>
        <v>N</v>
      </c>
    </row>
    <row r="1482" spans="1:5" x14ac:dyDescent="0.25">
      <c r="A1482">
        <v>8294415</v>
      </c>
      <c r="B1482">
        <v>27650008</v>
      </c>
      <c r="C1482" s="1">
        <v>42533</v>
      </c>
      <c r="D1482" t="s">
        <v>30</v>
      </c>
      <c r="E1482" t="str">
        <f>VLOOKUP(TRIM(D1482), Catalogo_gestiones!$A:$B, 2, FALSE)</f>
        <v>S</v>
      </c>
    </row>
    <row r="1483" spans="1:5" x14ac:dyDescent="0.25">
      <c r="A1483">
        <v>8294415</v>
      </c>
      <c r="B1483">
        <v>28151154</v>
      </c>
      <c r="C1483" s="1">
        <v>42533</v>
      </c>
      <c r="D1483" t="s">
        <v>24</v>
      </c>
      <c r="E1483" t="str">
        <f>VLOOKUP(TRIM(D1483), Catalogo_gestiones!$A:$B, 2, FALSE)</f>
        <v>S</v>
      </c>
    </row>
    <row r="1484" spans="1:5" x14ac:dyDescent="0.25">
      <c r="A1484">
        <v>8294415</v>
      </c>
      <c r="B1484">
        <v>28151320</v>
      </c>
      <c r="C1484" s="1">
        <v>42533</v>
      </c>
      <c r="D1484" t="s">
        <v>25</v>
      </c>
      <c r="E1484" t="str">
        <f>VLOOKUP(TRIM(D1484), Catalogo_gestiones!$A:$B, 2, FALSE)</f>
        <v>N</v>
      </c>
    </row>
    <row r="1485" spans="1:5" x14ac:dyDescent="0.25">
      <c r="A1485">
        <v>8294415</v>
      </c>
      <c r="B1485">
        <v>28154208</v>
      </c>
      <c r="C1485" s="1">
        <v>42533</v>
      </c>
      <c r="D1485" t="s">
        <v>26</v>
      </c>
      <c r="E1485" t="str">
        <f>VLOOKUP(TRIM(D1485), Catalogo_gestiones!$A:$B, 2, FALSE)</f>
        <v>N</v>
      </c>
    </row>
    <row r="1486" spans="1:5" x14ac:dyDescent="0.25">
      <c r="A1486">
        <v>8294465</v>
      </c>
      <c r="B1486">
        <v>25276855</v>
      </c>
      <c r="C1486" s="1">
        <v>42533</v>
      </c>
      <c r="D1486" t="s">
        <v>27</v>
      </c>
      <c r="E1486" t="str">
        <f>VLOOKUP(TRIM(D1486), Catalogo_gestiones!$A:$B, 2, FALSE)</f>
        <v>S</v>
      </c>
    </row>
    <row r="1487" spans="1:5" x14ac:dyDescent="0.25">
      <c r="A1487">
        <v>8294484</v>
      </c>
      <c r="B1487">
        <v>26897548</v>
      </c>
      <c r="C1487" s="1">
        <v>42533</v>
      </c>
      <c r="D1487" t="s">
        <v>28</v>
      </c>
      <c r="E1487" t="str">
        <f>VLOOKUP(TRIM(D1487), Catalogo_gestiones!$A:$B, 2, FALSE)</f>
        <v>N</v>
      </c>
    </row>
    <row r="1488" spans="1:5" x14ac:dyDescent="0.25">
      <c r="A1488">
        <v>8307776</v>
      </c>
      <c r="B1488">
        <v>26204227</v>
      </c>
      <c r="C1488" s="1">
        <v>42533</v>
      </c>
      <c r="D1488" t="s">
        <v>24</v>
      </c>
      <c r="E1488" t="str">
        <f>VLOOKUP(TRIM(D1488), Catalogo_gestiones!$A:$B, 2, FALSE)</f>
        <v>S</v>
      </c>
    </row>
    <row r="1489" spans="1:5" x14ac:dyDescent="0.25">
      <c r="A1489">
        <v>8316522</v>
      </c>
      <c r="B1489">
        <v>22697628</v>
      </c>
      <c r="C1489" s="1">
        <v>42533</v>
      </c>
      <c r="D1489" t="s">
        <v>25</v>
      </c>
      <c r="E1489" t="str">
        <f>VLOOKUP(TRIM(D1489), Catalogo_gestiones!$A:$B, 2, FALSE)</f>
        <v>N</v>
      </c>
    </row>
    <row r="1490" spans="1:5" x14ac:dyDescent="0.25">
      <c r="A1490">
        <v>8316522</v>
      </c>
      <c r="B1490">
        <v>25377657</v>
      </c>
      <c r="C1490" s="1">
        <v>42525</v>
      </c>
      <c r="D1490" t="s">
        <v>26</v>
      </c>
      <c r="E1490" t="str">
        <f>VLOOKUP(TRIM(D1490), Catalogo_gestiones!$A:$B, 2, FALSE)</f>
        <v>N</v>
      </c>
    </row>
    <row r="1491" spans="1:5" x14ac:dyDescent="0.25">
      <c r="A1491">
        <v>8322016</v>
      </c>
      <c r="B1491">
        <v>28234540</v>
      </c>
      <c r="C1491" s="1">
        <v>42524</v>
      </c>
      <c r="D1491" t="s">
        <v>27</v>
      </c>
      <c r="E1491" t="str">
        <f>VLOOKUP(TRIM(D1491), Catalogo_gestiones!$A:$B, 2, FALSE)</f>
        <v>S</v>
      </c>
    </row>
    <row r="1492" spans="1:5" x14ac:dyDescent="0.25">
      <c r="A1492">
        <v>8322484</v>
      </c>
      <c r="B1492">
        <v>16140274</v>
      </c>
      <c r="C1492" s="1">
        <v>42533</v>
      </c>
      <c r="D1492" t="s">
        <v>28</v>
      </c>
      <c r="E1492" t="str">
        <f>VLOOKUP(TRIM(D1492), Catalogo_gestiones!$A:$B, 2, FALSE)</f>
        <v>N</v>
      </c>
    </row>
    <row r="1493" spans="1:5" x14ac:dyDescent="0.25">
      <c r="A1493">
        <v>8322484</v>
      </c>
      <c r="B1493">
        <v>21785894</v>
      </c>
      <c r="C1493" s="1">
        <v>42533</v>
      </c>
      <c r="D1493" t="s">
        <v>24</v>
      </c>
      <c r="E1493" t="str">
        <f>VLOOKUP(TRIM(D1493), Catalogo_gestiones!$A:$B, 2, FALSE)</f>
        <v>S</v>
      </c>
    </row>
    <row r="1494" spans="1:5" x14ac:dyDescent="0.25">
      <c r="A1494">
        <v>8349062</v>
      </c>
      <c r="B1494">
        <v>25859215</v>
      </c>
      <c r="C1494" s="1">
        <v>42533</v>
      </c>
      <c r="D1494" t="s">
        <v>25</v>
      </c>
      <c r="E1494" t="str">
        <f>VLOOKUP(TRIM(D1494), Catalogo_gestiones!$A:$B, 2, FALSE)</f>
        <v>N</v>
      </c>
    </row>
    <row r="1495" spans="1:5" x14ac:dyDescent="0.25">
      <c r="A1495">
        <v>8349681</v>
      </c>
      <c r="B1495">
        <v>24807405</v>
      </c>
      <c r="C1495" s="1">
        <v>42533</v>
      </c>
      <c r="D1495" t="s">
        <v>26</v>
      </c>
      <c r="E1495" t="str">
        <f>VLOOKUP(TRIM(D1495), Catalogo_gestiones!$A:$B, 2, FALSE)</f>
        <v>N</v>
      </c>
    </row>
    <row r="1496" spans="1:5" x14ac:dyDescent="0.25">
      <c r="A1496">
        <v>8350430</v>
      </c>
      <c r="B1496">
        <v>26724769</v>
      </c>
      <c r="C1496" s="1">
        <v>42533</v>
      </c>
      <c r="D1496" t="s">
        <v>27</v>
      </c>
      <c r="E1496" t="str">
        <f>VLOOKUP(TRIM(D1496), Catalogo_gestiones!$A:$B, 2, FALSE)</f>
        <v>S</v>
      </c>
    </row>
    <row r="1497" spans="1:5" x14ac:dyDescent="0.25">
      <c r="A1497">
        <v>8350430</v>
      </c>
      <c r="B1497">
        <v>26726954</v>
      </c>
      <c r="C1497" s="1">
        <v>42533</v>
      </c>
      <c r="D1497" t="s">
        <v>28</v>
      </c>
      <c r="E1497" t="str">
        <f>VLOOKUP(TRIM(D1497), Catalogo_gestiones!$A:$B, 2, FALSE)</f>
        <v>N</v>
      </c>
    </row>
    <row r="1498" spans="1:5" x14ac:dyDescent="0.25">
      <c r="A1498">
        <v>8350710</v>
      </c>
      <c r="B1498">
        <v>26378338</v>
      </c>
      <c r="C1498" s="1">
        <v>42533</v>
      </c>
      <c r="D1498" t="s">
        <v>30</v>
      </c>
      <c r="E1498" t="str">
        <f>VLOOKUP(TRIM(D1498), Catalogo_gestiones!$A:$B, 2, FALSE)</f>
        <v>S</v>
      </c>
    </row>
    <row r="1499" spans="1:5" x14ac:dyDescent="0.25">
      <c r="A1499">
        <v>8350978</v>
      </c>
      <c r="B1499">
        <v>23577494</v>
      </c>
      <c r="C1499" s="1">
        <v>42533</v>
      </c>
      <c r="D1499" t="s">
        <v>24</v>
      </c>
      <c r="E1499" t="str">
        <f>VLOOKUP(TRIM(D1499), Catalogo_gestiones!$A:$B, 2, FALSE)</f>
        <v>S</v>
      </c>
    </row>
    <row r="1500" spans="1:5" x14ac:dyDescent="0.25">
      <c r="A1500">
        <v>8351047</v>
      </c>
      <c r="B1500">
        <v>24368978</v>
      </c>
      <c r="C1500" s="1">
        <v>42533</v>
      </c>
      <c r="D1500" t="s">
        <v>25</v>
      </c>
      <c r="E1500" t="str">
        <f>VLOOKUP(TRIM(D1500), Catalogo_gestiones!$A:$B, 2, FALSE)</f>
        <v>N</v>
      </c>
    </row>
    <row r="1501" spans="1:5" x14ac:dyDescent="0.25">
      <c r="A1501">
        <v>8356945</v>
      </c>
      <c r="B1501">
        <v>23046024</v>
      </c>
      <c r="C1501" s="1">
        <v>42533</v>
      </c>
      <c r="D1501" t="s">
        <v>26</v>
      </c>
      <c r="E1501" t="str">
        <f>VLOOKUP(TRIM(D1501), Catalogo_gestiones!$A:$B, 2, FALSE)</f>
        <v>N</v>
      </c>
    </row>
    <row r="1502" spans="1:5" x14ac:dyDescent="0.25">
      <c r="A1502">
        <v>8357219</v>
      </c>
      <c r="B1502">
        <v>27217004</v>
      </c>
      <c r="C1502" s="1">
        <v>42533</v>
      </c>
      <c r="D1502" t="s">
        <v>27</v>
      </c>
      <c r="E1502" t="str">
        <f>VLOOKUP(TRIM(D1502), Catalogo_gestiones!$A:$B, 2, FALSE)</f>
        <v>S</v>
      </c>
    </row>
    <row r="1503" spans="1:5" x14ac:dyDescent="0.25">
      <c r="A1503">
        <v>8357219</v>
      </c>
      <c r="B1503">
        <v>27253545</v>
      </c>
      <c r="C1503" s="1">
        <v>42533</v>
      </c>
      <c r="D1503" t="s">
        <v>28</v>
      </c>
      <c r="E1503" t="str">
        <f>VLOOKUP(TRIM(D1503), Catalogo_gestiones!$A:$B, 2, FALSE)</f>
        <v>N</v>
      </c>
    </row>
    <row r="1504" spans="1:5" x14ac:dyDescent="0.25">
      <c r="A1504">
        <v>8357227</v>
      </c>
      <c r="B1504">
        <v>26369502</v>
      </c>
      <c r="C1504" s="1">
        <v>42533</v>
      </c>
      <c r="D1504" t="s">
        <v>24</v>
      </c>
      <c r="E1504" t="str">
        <f>VLOOKUP(TRIM(D1504), Catalogo_gestiones!$A:$B, 2, FALSE)</f>
        <v>S</v>
      </c>
    </row>
    <row r="1505" spans="1:5" x14ac:dyDescent="0.25">
      <c r="A1505">
        <v>8357241</v>
      </c>
      <c r="B1505">
        <v>21744609</v>
      </c>
      <c r="C1505" s="1">
        <v>42533</v>
      </c>
      <c r="D1505" t="s">
        <v>25</v>
      </c>
      <c r="E1505" t="str">
        <f>VLOOKUP(TRIM(D1505), Catalogo_gestiones!$A:$B, 2, FALSE)</f>
        <v>N</v>
      </c>
    </row>
    <row r="1506" spans="1:5" x14ac:dyDescent="0.25">
      <c r="A1506">
        <v>8357241</v>
      </c>
      <c r="B1506">
        <v>22658475</v>
      </c>
      <c r="C1506" s="1">
        <v>42533</v>
      </c>
      <c r="D1506" t="s">
        <v>26</v>
      </c>
      <c r="E1506" t="str">
        <f>VLOOKUP(TRIM(D1506), Catalogo_gestiones!$A:$B, 2, FALSE)</f>
        <v>N</v>
      </c>
    </row>
    <row r="1507" spans="1:5" x14ac:dyDescent="0.25">
      <c r="A1507">
        <v>8357529</v>
      </c>
      <c r="B1507">
        <v>27995102</v>
      </c>
      <c r="C1507" s="1">
        <v>42533</v>
      </c>
      <c r="D1507" t="s">
        <v>27</v>
      </c>
      <c r="E1507" t="str">
        <f>VLOOKUP(TRIM(D1507), Catalogo_gestiones!$A:$B, 2, FALSE)</f>
        <v>S</v>
      </c>
    </row>
    <row r="1508" spans="1:5" x14ac:dyDescent="0.25">
      <c r="A1508">
        <v>8360977</v>
      </c>
      <c r="B1508">
        <v>26011555</v>
      </c>
      <c r="C1508" s="1">
        <v>42533</v>
      </c>
      <c r="D1508" t="s">
        <v>28</v>
      </c>
      <c r="E1508" t="str">
        <f>VLOOKUP(TRIM(D1508), Catalogo_gestiones!$A:$B, 2, FALSE)</f>
        <v>N</v>
      </c>
    </row>
    <row r="1509" spans="1:5" x14ac:dyDescent="0.25">
      <c r="A1509">
        <v>8361878</v>
      </c>
      <c r="B1509">
        <v>1051371</v>
      </c>
      <c r="C1509" s="1">
        <v>42533</v>
      </c>
      <c r="D1509" t="s">
        <v>24</v>
      </c>
      <c r="E1509" t="str">
        <f>VLOOKUP(TRIM(D1509), Catalogo_gestiones!$A:$B, 2, FALSE)</f>
        <v>S</v>
      </c>
    </row>
    <row r="1510" spans="1:5" x14ac:dyDescent="0.25">
      <c r="A1510">
        <v>8362506</v>
      </c>
      <c r="B1510">
        <v>26696130</v>
      </c>
      <c r="C1510" s="1">
        <v>42533</v>
      </c>
      <c r="D1510" t="s">
        <v>25</v>
      </c>
      <c r="E1510" t="str">
        <f>VLOOKUP(TRIM(D1510), Catalogo_gestiones!$A:$B, 2, FALSE)</f>
        <v>N</v>
      </c>
    </row>
    <row r="1511" spans="1:5" x14ac:dyDescent="0.25">
      <c r="A1511">
        <v>8362506</v>
      </c>
      <c r="B1511">
        <v>26696578</v>
      </c>
      <c r="C1511" s="1">
        <v>42533</v>
      </c>
      <c r="D1511" t="s">
        <v>26</v>
      </c>
      <c r="E1511" t="str">
        <f>VLOOKUP(TRIM(D1511), Catalogo_gestiones!$A:$B, 2, FALSE)</f>
        <v>N</v>
      </c>
    </row>
    <row r="1512" spans="1:5" x14ac:dyDescent="0.25">
      <c r="A1512">
        <v>8363386</v>
      </c>
      <c r="B1512">
        <v>27479573</v>
      </c>
      <c r="C1512" s="1">
        <v>42533</v>
      </c>
      <c r="D1512" t="s">
        <v>27</v>
      </c>
      <c r="E1512" t="str">
        <f>VLOOKUP(TRIM(D1512), Catalogo_gestiones!$A:$B, 2, FALSE)</f>
        <v>S</v>
      </c>
    </row>
    <row r="1513" spans="1:5" x14ac:dyDescent="0.25">
      <c r="A1513">
        <v>8364034</v>
      </c>
      <c r="B1513">
        <v>2328145</v>
      </c>
      <c r="C1513" s="1">
        <v>42533</v>
      </c>
      <c r="D1513" t="s">
        <v>28</v>
      </c>
      <c r="E1513" t="str">
        <f>VLOOKUP(TRIM(D1513), Catalogo_gestiones!$A:$B, 2, FALSE)</f>
        <v>N</v>
      </c>
    </row>
    <row r="1514" spans="1:5" x14ac:dyDescent="0.25">
      <c r="A1514">
        <v>8364034</v>
      </c>
      <c r="B1514">
        <v>26406536</v>
      </c>
      <c r="C1514" s="1">
        <v>42533</v>
      </c>
      <c r="D1514" t="s">
        <v>30</v>
      </c>
      <c r="E1514" t="str">
        <f>VLOOKUP(TRIM(D1514), Catalogo_gestiones!$A:$B, 2, FALSE)</f>
        <v>S</v>
      </c>
    </row>
    <row r="1515" spans="1:5" x14ac:dyDescent="0.25">
      <c r="A1515">
        <v>8364712</v>
      </c>
      <c r="B1515">
        <v>1460358</v>
      </c>
      <c r="C1515" s="1">
        <v>42533</v>
      </c>
      <c r="D1515" t="s">
        <v>24</v>
      </c>
      <c r="E1515" t="str">
        <f>VLOOKUP(TRIM(D1515), Catalogo_gestiones!$A:$B, 2, FALSE)</f>
        <v>S</v>
      </c>
    </row>
    <row r="1516" spans="1:5" x14ac:dyDescent="0.25">
      <c r="A1516">
        <v>8365097</v>
      </c>
      <c r="B1516">
        <v>3651053</v>
      </c>
      <c r="C1516" s="1">
        <v>42533</v>
      </c>
      <c r="D1516" t="s">
        <v>25</v>
      </c>
      <c r="E1516" t="str">
        <f>VLOOKUP(TRIM(D1516), Catalogo_gestiones!$A:$B, 2, FALSE)</f>
        <v>N</v>
      </c>
    </row>
    <row r="1517" spans="1:5" x14ac:dyDescent="0.25">
      <c r="A1517">
        <v>8365309</v>
      </c>
      <c r="B1517">
        <v>26944546</v>
      </c>
      <c r="C1517" s="1">
        <v>42524</v>
      </c>
      <c r="D1517" t="s">
        <v>26</v>
      </c>
      <c r="E1517" t="str">
        <f>VLOOKUP(TRIM(D1517), Catalogo_gestiones!$A:$B, 2, FALSE)</f>
        <v>N</v>
      </c>
    </row>
    <row r="1518" spans="1:5" x14ac:dyDescent="0.25">
      <c r="A1518">
        <v>8366056</v>
      </c>
      <c r="B1518">
        <v>26064932</v>
      </c>
      <c r="C1518" s="1">
        <v>42533</v>
      </c>
      <c r="D1518" t="s">
        <v>27</v>
      </c>
      <c r="E1518" t="str">
        <f>VLOOKUP(TRIM(D1518), Catalogo_gestiones!$A:$B, 2, FALSE)</f>
        <v>S</v>
      </c>
    </row>
    <row r="1519" spans="1:5" x14ac:dyDescent="0.25">
      <c r="A1519">
        <v>8366056</v>
      </c>
      <c r="B1519">
        <v>27054787</v>
      </c>
      <c r="C1519" s="1">
        <v>42533</v>
      </c>
      <c r="D1519" t="s">
        <v>28</v>
      </c>
      <c r="E1519" t="str">
        <f>VLOOKUP(TRIM(D1519), Catalogo_gestiones!$A:$B, 2, FALSE)</f>
        <v>N</v>
      </c>
    </row>
    <row r="1520" spans="1:5" x14ac:dyDescent="0.25">
      <c r="A1520">
        <v>8366256</v>
      </c>
      <c r="B1520">
        <v>25706312</v>
      </c>
      <c r="C1520" s="1">
        <v>42530</v>
      </c>
      <c r="D1520" t="s">
        <v>24</v>
      </c>
      <c r="E1520" t="str">
        <f>VLOOKUP(TRIM(D1520), Catalogo_gestiones!$A:$B, 2, FALSE)</f>
        <v>S</v>
      </c>
    </row>
    <row r="1521" spans="1:5" x14ac:dyDescent="0.25">
      <c r="A1521">
        <v>8366454</v>
      </c>
      <c r="B1521">
        <v>11221865</v>
      </c>
      <c r="C1521" s="1">
        <v>42530</v>
      </c>
      <c r="D1521" t="s">
        <v>25</v>
      </c>
      <c r="E1521" t="str">
        <f>VLOOKUP(TRIM(D1521), Catalogo_gestiones!$A:$B, 2, FALSE)</f>
        <v>N</v>
      </c>
    </row>
    <row r="1522" spans="1:5" x14ac:dyDescent="0.25">
      <c r="A1522">
        <v>8366773</v>
      </c>
      <c r="B1522">
        <v>24385342</v>
      </c>
      <c r="C1522" s="1">
        <v>42530</v>
      </c>
      <c r="D1522" t="s">
        <v>26</v>
      </c>
      <c r="E1522" t="str">
        <f>VLOOKUP(TRIM(D1522), Catalogo_gestiones!$A:$B, 2, FALSE)</f>
        <v>N</v>
      </c>
    </row>
    <row r="1523" spans="1:5" x14ac:dyDescent="0.25">
      <c r="A1523">
        <v>8367150</v>
      </c>
      <c r="B1523">
        <v>18627540</v>
      </c>
      <c r="C1523" s="1">
        <v>42530</v>
      </c>
      <c r="D1523" t="s">
        <v>27</v>
      </c>
      <c r="E1523" t="str">
        <f>VLOOKUP(TRIM(D1523), Catalogo_gestiones!$A:$B, 2, FALSE)</f>
        <v>S</v>
      </c>
    </row>
    <row r="1524" spans="1:5" x14ac:dyDescent="0.25">
      <c r="A1524">
        <v>8367150</v>
      </c>
      <c r="B1524">
        <v>18628373</v>
      </c>
      <c r="C1524" s="1">
        <v>42530</v>
      </c>
      <c r="D1524" t="s">
        <v>28</v>
      </c>
      <c r="E1524" t="str">
        <f>VLOOKUP(TRIM(D1524), Catalogo_gestiones!$A:$B, 2, FALSE)</f>
        <v>N</v>
      </c>
    </row>
    <row r="1525" spans="1:5" x14ac:dyDescent="0.25">
      <c r="A1525">
        <v>8367187</v>
      </c>
      <c r="B1525">
        <v>24358512</v>
      </c>
      <c r="C1525" s="1">
        <v>42530</v>
      </c>
      <c r="D1525" t="s">
        <v>24</v>
      </c>
      <c r="E1525" t="str">
        <f>VLOOKUP(TRIM(D1525), Catalogo_gestiones!$A:$B, 2, FALSE)</f>
        <v>S</v>
      </c>
    </row>
    <row r="1526" spans="1:5" x14ac:dyDescent="0.25">
      <c r="A1526">
        <v>8367911</v>
      </c>
      <c r="B1526">
        <v>26796195</v>
      </c>
      <c r="C1526" s="1">
        <v>42530</v>
      </c>
      <c r="D1526" t="s">
        <v>25</v>
      </c>
      <c r="E1526" t="str">
        <f>VLOOKUP(TRIM(D1526), Catalogo_gestiones!$A:$B, 2, FALSE)</f>
        <v>N</v>
      </c>
    </row>
    <row r="1527" spans="1:5" x14ac:dyDescent="0.25">
      <c r="A1527">
        <v>8368470</v>
      </c>
      <c r="B1527">
        <v>25990958</v>
      </c>
      <c r="C1527" s="1">
        <v>42530</v>
      </c>
      <c r="D1527" t="s">
        <v>26</v>
      </c>
      <c r="E1527" t="str">
        <f>VLOOKUP(TRIM(D1527), Catalogo_gestiones!$A:$B, 2, FALSE)</f>
        <v>N</v>
      </c>
    </row>
    <row r="1528" spans="1:5" x14ac:dyDescent="0.25">
      <c r="A1528">
        <v>8368568</v>
      </c>
      <c r="B1528">
        <v>20786848</v>
      </c>
      <c r="C1528" s="1">
        <v>42524</v>
      </c>
      <c r="D1528" t="s">
        <v>27</v>
      </c>
      <c r="E1528" t="str">
        <f>VLOOKUP(TRIM(D1528), Catalogo_gestiones!$A:$B, 2, FALSE)</f>
        <v>S</v>
      </c>
    </row>
    <row r="1529" spans="1:5" x14ac:dyDescent="0.25">
      <c r="A1529">
        <v>8368568</v>
      </c>
      <c r="B1529">
        <v>23353967</v>
      </c>
      <c r="C1529" s="1">
        <v>42524</v>
      </c>
      <c r="D1529" t="s">
        <v>28</v>
      </c>
      <c r="E1529" t="str">
        <f>VLOOKUP(TRIM(D1529), Catalogo_gestiones!$A:$B, 2, FALSE)</f>
        <v>N</v>
      </c>
    </row>
    <row r="1530" spans="1:5" x14ac:dyDescent="0.25">
      <c r="A1530">
        <v>8368826</v>
      </c>
      <c r="B1530">
        <v>11200552</v>
      </c>
      <c r="C1530" s="1">
        <v>42530</v>
      </c>
      <c r="D1530" t="s">
        <v>30</v>
      </c>
      <c r="E1530" t="str">
        <f>VLOOKUP(TRIM(D1530), Catalogo_gestiones!$A:$B, 2, FALSE)</f>
        <v>S</v>
      </c>
    </row>
    <row r="1531" spans="1:5" x14ac:dyDescent="0.25">
      <c r="A1531">
        <v>8368917</v>
      </c>
      <c r="B1531">
        <v>15643416</v>
      </c>
      <c r="C1531" s="1">
        <v>42530</v>
      </c>
      <c r="D1531" t="s">
        <v>24</v>
      </c>
      <c r="E1531" t="str">
        <f>VLOOKUP(TRIM(D1531), Catalogo_gestiones!$A:$B, 2, FALSE)</f>
        <v>S</v>
      </c>
    </row>
    <row r="1532" spans="1:5" x14ac:dyDescent="0.25">
      <c r="A1532">
        <v>8368917</v>
      </c>
      <c r="B1532">
        <v>15644864</v>
      </c>
      <c r="C1532" s="1">
        <v>42530</v>
      </c>
      <c r="D1532" t="s">
        <v>25</v>
      </c>
      <c r="E1532" t="str">
        <f>VLOOKUP(TRIM(D1532), Catalogo_gestiones!$A:$B, 2, FALSE)</f>
        <v>N</v>
      </c>
    </row>
    <row r="1533" spans="1:5" x14ac:dyDescent="0.25">
      <c r="A1533">
        <v>8368961</v>
      </c>
      <c r="B1533">
        <v>23801774</v>
      </c>
      <c r="C1533" s="1">
        <v>42530</v>
      </c>
      <c r="D1533" t="s">
        <v>26</v>
      </c>
      <c r="E1533" t="str">
        <f>VLOOKUP(TRIM(D1533), Catalogo_gestiones!$A:$B, 2, FALSE)</f>
        <v>N</v>
      </c>
    </row>
    <row r="1534" spans="1:5" x14ac:dyDescent="0.25">
      <c r="A1534">
        <v>8369021</v>
      </c>
      <c r="B1534">
        <v>24967953</v>
      </c>
      <c r="C1534" s="1">
        <v>42526</v>
      </c>
      <c r="D1534" t="s">
        <v>27</v>
      </c>
      <c r="E1534" t="str">
        <f>VLOOKUP(TRIM(D1534), Catalogo_gestiones!$A:$B, 2, FALSE)</f>
        <v>S</v>
      </c>
    </row>
    <row r="1535" spans="1:5" x14ac:dyDescent="0.25">
      <c r="A1535">
        <v>8369548</v>
      </c>
      <c r="B1535">
        <v>21722911</v>
      </c>
      <c r="C1535" s="1">
        <v>42530</v>
      </c>
      <c r="D1535" t="s">
        <v>28</v>
      </c>
      <c r="E1535" t="str">
        <f>VLOOKUP(TRIM(D1535), Catalogo_gestiones!$A:$B, 2, FALSE)</f>
        <v>N</v>
      </c>
    </row>
    <row r="1536" spans="1:5" x14ac:dyDescent="0.25">
      <c r="A1536">
        <v>8369921</v>
      </c>
      <c r="B1536">
        <v>18804236</v>
      </c>
      <c r="C1536" s="1">
        <v>42530</v>
      </c>
      <c r="D1536" t="s">
        <v>24</v>
      </c>
      <c r="E1536" t="str">
        <f>VLOOKUP(TRIM(D1536), Catalogo_gestiones!$A:$B, 2, FALSE)</f>
        <v>S</v>
      </c>
    </row>
    <row r="1537" spans="1:5" x14ac:dyDescent="0.25">
      <c r="A1537">
        <v>8370142</v>
      </c>
      <c r="B1537">
        <v>19935967</v>
      </c>
      <c r="C1537" s="1">
        <v>42530</v>
      </c>
      <c r="D1537" t="s">
        <v>25</v>
      </c>
      <c r="E1537" t="str">
        <f>VLOOKUP(TRIM(D1537), Catalogo_gestiones!$A:$B, 2, FALSE)</f>
        <v>N</v>
      </c>
    </row>
    <row r="1538" spans="1:5" x14ac:dyDescent="0.25">
      <c r="A1538">
        <v>8370142</v>
      </c>
      <c r="B1538">
        <v>19937520</v>
      </c>
      <c r="C1538" s="1">
        <v>42530</v>
      </c>
      <c r="D1538" t="s">
        <v>26</v>
      </c>
      <c r="E1538" t="str">
        <f>VLOOKUP(TRIM(D1538), Catalogo_gestiones!$A:$B, 2, FALSE)</f>
        <v>N</v>
      </c>
    </row>
    <row r="1539" spans="1:5" x14ac:dyDescent="0.25">
      <c r="A1539">
        <v>8370436</v>
      </c>
      <c r="B1539">
        <v>25911475</v>
      </c>
      <c r="C1539" s="1">
        <v>42530</v>
      </c>
      <c r="D1539" t="s">
        <v>27</v>
      </c>
      <c r="E1539" t="str">
        <f>VLOOKUP(TRIM(D1539), Catalogo_gestiones!$A:$B, 2, FALSE)</f>
        <v>S</v>
      </c>
    </row>
    <row r="1540" spans="1:5" x14ac:dyDescent="0.25">
      <c r="A1540">
        <v>8370964</v>
      </c>
      <c r="B1540">
        <v>14853592</v>
      </c>
      <c r="C1540" s="1">
        <v>42530</v>
      </c>
      <c r="D1540" t="s">
        <v>28</v>
      </c>
      <c r="E1540" t="str">
        <f>VLOOKUP(TRIM(D1540), Catalogo_gestiones!$A:$B, 2, FALSE)</f>
        <v>N</v>
      </c>
    </row>
    <row r="1541" spans="1:5" x14ac:dyDescent="0.25">
      <c r="A1541">
        <v>8371020</v>
      </c>
      <c r="B1541">
        <v>26228993</v>
      </c>
      <c r="C1541" s="1">
        <v>42530</v>
      </c>
      <c r="D1541" t="s">
        <v>24</v>
      </c>
      <c r="E1541" t="str">
        <f>VLOOKUP(TRIM(D1541), Catalogo_gestiones!$A:$B, 2, FALSE)</f>
        <v>S</v>
      </c>
    </row>
    <row r="1542" spans="1:5" x14ac:dyDescent="0.25">
      <c r="A1542">
        <v>8371143</v>
      </c>
      <c r="B1542">
        <v>2778342</v>
      </c>
      <c r="C1542" s="1">
        <v>42525</v>
      </c>
      <c r="D1542" t="s">
        <v>25</v>
      </c>
      <c r="E1542" t="str">
        <f>VLOOKUP(TRIM(D1542), Catalogo_gestiones!$A:$B, 2, FALSE)</f>
        <v>N</v>
      </c>
    </row>
    <row r="1543" spans="1:5" x14ac:dyDescent="0.25">
      <c r="A1543">
        <v>8371143</v>
      </c>
      <c r="B1543">
        <v>4910388</v>
      </c>
      <c r="C1543" s="1">
        <v>42525</v>
      </c>
      <c r="D1543" t="s">
        <v>26</v>
      </c>
      <c r="E1543" t="str">
        <f>VLOOKUP(TRIM(D1543), Catalogo_gestiones!$A:$B, 2, FALSE)</f>
        <v>N</v>
      </c>
    </row>
    <row r="1544" spans="1:5" x14ac:dyDescent="0.25">
      <c r="A1544">
        <v>8371487</v>
      </c>
      <c r="B1544">
        <v>14446684</v>
      </c>
      <c r="C1544" s="1">
        <v>42524</v>
      </c>
      <c r="D1544" t="s">
        <v>27</v>
      </c>
      <c r="E1544" t="str">
        <f>VLOOKUP(TRIM(D1544), Catalogo_gestiones!$A:$B, 2, FALSE)</f>
        <v>S</v>
      </c>
    </row>
    <row r="1545" spans="1:5" x14ac:dyDescent="0.25">
      <c r="A1545">
        <v>8372113</v>
      </c>
      <c r="B1545">
        <v>12527109</v>
      </c>
      <c r="C1545" s="1">
        <v>42530</v>
      </c>
      <c r="D1545" t="s">
        <v>28</v>
      </c>
      <c r="E1545" t="str">
        <f>VLOOKUP(TRIM(D1545), Catalogo_gestiones!$A:$B, 2, FALSE)</f>
        <v>N</v>
      </c>
    </row>
    <row r="1546" spans="1:5" x14ac:dyDescent="0.25">
      <c r="A1546">
        <v>8372113</v>
      </c>
      <c r="B1546">
        <v>20852636</v>
      </c>
      <c r="C1546" s="1">
        <v>42530</v>
      </c>
      <c r="D1546" t="s">
        <v>30</v>
      </c>
      <c r="E1546" t="str">
        <f>VLOOKUP(TRIM(D1546), Catalogo_gestiones!$A:$B, 2, FALSE)</f>
        <v>S</v>
      </c>
    </row>
    <row r="1547" spans="1:5" x14ac:dyDescent="0.25">
      <c r="A1547">
        <v>8372113</v>
      </c>
      <c r="B1547">
        <v>21187094</v>
      </c>
      <c r="C1547" s="1">
        <v>42530</v>
      </c>
      <c r="D1547" t="s">
        <v>24</v>
      </c>
      <c r="E1547" t="str">
        <f>VLOOKUP(TRIM(D1547), Catalogo_gestiones!$A:$B, 2, FALSE)</f>
        <v>S</v>
      </c>
    </row>
    <row r="1548" spans="1:5" x14ac:dyDescent="0.25">
      <c r="A1548">
        <v>8372113</v>
      </c>
      <c r="B1548">
        <v>23287162</v>
      </c>
      <c r="C1548" s="1">
        <v>42530</v>
      </c>
      <c r="D1548" t="s">
        <v>25</v>
      </c>
      <c r="E1548" t="str">
        <f>VLOOKUP(TRIM(D1548), Catalogo_gestiones!$A:$B, 2, FALSE)</f>
        <v>N</v>
      </c>
    </row>
    <row r="1549" spans="1:5" x14ac:dyDescent="0.25">
      <c r="A1549">
        <v>8372256</v>
      </c>
      <c r="B1549">
        <v>24368698</v>
      </c>
      <c r="C1549" s="1">
        <v>42530</v>
      </c>
      <c r="D1549" t="s">
        <v>26</v>
      </c>
      <c r="E1549" t="str">
        <f>VLOOKUP(TRIM(D1549), Catalogo_gestiones!$A:$B, 2, FALSE)</f>
        <v>N</v>
      </c>
    </row>
    <row r="1550" spans="1:5" x14ac:dyDescent="0.25">
      <c r="A1550">
        <v>8372294</v>
      </c>
      <c r="B1550">
        <v>26217632</v>
      </c>
      <c r="C1550" s="1">
        <v>42530</v>
      </c>
      <c r="D1550" t="s">
        <v>27</v>
      </c>
      <c r="E1550" t="str">
        <f>VLOOKUP(TRIM(D1550), Catalogo_gestiones!$A:$B, 2, FALSE)</f>
        <v>S</v>
      </c>
    </row>
    <row r="1551" spans="1:5" x14ac:dyDescent="0.25">
      <c r="A1551">
        <v>8372484</v>
      </c>
      <c r="B1551">
        <v>19916641</v>
      </c>
      <c r="C1551" s="1">
        <v>42530</v>
      </c>
      <c r="D1551" t="s">
        <v>28</v>
      </c>
      <c r="E1551" t="str">
        <f>VLOOKUP(TRIM(D1551), Catalogo_gestiones!$A:$B, 2, FALSE)</f>
        <v>N</v>
      </c>
    </row>
    <row r="1552" spans="1:5" x14ac:dyDescent="0.25">
      <c r="A1552">
        <v>8372759</v>
      </c>
      <c r="B1552">
        <v>11400568</v>
      </c>
      <c r="C1552" s="1">
        <v>42530</v>
      </c>
      <c r="D1552" t="s">
        <v>24</v>
      </c>
      <c r="E1552" t="str">
        <f>VLOOKUP(TRIM(D1552), Catalogo_gestiones!$A:$B, 2, FALSE)</f>
        <v>S</v>
      </c>
    </row>
    <row r="1553" spans="1:5" x14ac:dyDescent="0.25">
      <c r="A1553">
        <v>8372819</v>
      </c>
      <c r="B1553">
        <v>23753030</v>
      </c>
      <c r="C1553" s="1">
        <v>42530</v>
      </c>
      <c r="D1553" t="s">
        <v>25</v>
      </c>
      <c r="E1553" t="str">
        <f>VLOOKUP(TRIM(D1553), Catalogo_gestiones!$A:$B, 2, FALSE)</f>
        <v>N</v>
      </c>
    </row>
    <row r="1554" spans="1:5" x14ac:dyDescent="0.25">
      <c r="A1554">
        <v>8372852</v>
      </c>
      <c r="B1554">
        <v>23768795</v>
      </c>
      <c r="C1554" s="1">
        <v>42530</v>
      </c>
      <c r="D1554" t="s">
        <v>26</v>
      </c>
      <c r="E1554" t="str">
        <f>VLOOKUP(TRIM(D1554), Catalogo_gestiones!$A:$B, 2, FALSE)</f>
        <v>N</v>
      </c>
    </row>
    <row r="1555" spans="1:5" x14ac:dyDescent="0.25">
      <c r="A1555">
        <v>8372876</v>
      </c>
      <c r="B1555">
        <v>27056383</v>
      </c>
      <c r="C1555" s="1">
        <v>42530</v>
      </c>
      <c r="D1555" t="s">
        <v>27</v>
      </c>
      <c r="E1555" t="str">
        <f>VLOOKUP(TRIM(D1555), Catalogo_gestiones!$A:$B, 2, FALSE)</f>
        <v>S</v>
      </c>
    </row>
    <row r="1556" spans="1:5" x14ac:dyDescent="0.25">
      <c r="A1556">
        <v>8373109</v>
      </c>
      <c r="B1556">
        <v>25110940</v>
      </c>
      <c r="C1556" s="1">
        <v>42530</v>
      </c>
      <c r="D1556" t="s">
        <v>28</v>
      </c>
      <c r="E1556" t="str">
        <f>VLOOKUP(TRIM(D1556), Catalogo_gestiones!$A:$B, 2, FALSE)</f>
        <v>N</v>
      </c>
    </row>
    <row r="1557" spans="1:5" x14ac:dyDescent="0.25">
      <c r="A1557">
        <v>8373110</v>
      </c>
      <c r="B1557">
        <v>20837646</v>
      </c>
      <c r="C1557" s="1">
        <v>42530</v>
      </c>
      <c r="D1557" t="s">
        <v>24</v>
      </c>
      <c r="E1557" t="str">
        <f>VLOOKUP(TRIM(D1557), Catalogo_gestiones!$A:$B, 2, FALSE)</f>
        <v>S</v>
      </c>
    </row>
    <row r="1558" spans="1:5" x14ac:dyDescent="0.25">
      <c r="A1558">
        <v>8373305</v>
      </c>
      <c r="B1558">
        <v>21807022</v>
      </c>
      <c r="C1558" s="1">
        <v>42530</v>
      </c>
      <c r="D1558" t="s">
        <v>25</v>
      </c>
      <c r="E1558" t="str">
        <f>VLOOKUP(TRIM(D1558), Catalogo_gestiones!$A:$B, 2, FALSE)</f>
        <v>N</v>
      </c>
    </row>
    <row r="1559" spans="1:5" x14ac:dyDescent="0.25">
      <c r="A1559">
        <v>8373318</v>
      </c>
      <c r="B1559">
        <v>23637560</v>
      </c>
      <c r="C1559" s="1">
        <v>42530</v>
      </c>
      <c r="D1559" t="s">
        <v>26</v>
      </c>
      <c r="E1559" t="str">
        <f>VLOOKUP(TRIM(D1559), Catalogo_gestiones!$A:$B, 2, FALSE)</f>
        <v>N</v>
      </c>
    </row>
    <row r="1560" spans="1:5" x14ac:dyDescent="0.25">
      <c r="A1560">
        <v>8373458</v>
      </c>
      <c r="B1560">
        <v>26405269</v>
      </c>
      <c r="C1560" s="1">
        <v>42530</v>
      </c>
      <c r="D1560" t="s">
        <v>27</v>
      </c>
      <c r="E1560" t="str">
        <f>VLOOKUP(TRIM(D1560), Catalogo_gestiones!$A:$B, 2, FALSE)</f>
        <v>S</v>
      </c>
    </row>
    <row r="1561" spans="1:5" x14ac:dyDescent="0.25">
      <c r="A1561">
        <v>8373519</v>
      </c>
      <c r="B1561">
        <v>26396786</v>
      </c>
      <c r="C1561" s="1">
        <v>42530</v>
      </c>
      <c r="D1561" t="s">
        <v>28</v>
      </c>
      <c r="E1561" t="str">
        <f>VLOOKUP(TRIM(D1561), Catalogo_gestiones!$A:$B, 2, FALSE)</f>
        <v>N</v>
      </c>
    </row>
    <row r="1562" spans="1:5" x14ac:dyDescent="0.25">
      <c r="A1562">
        <v>8373802</v>
      </c>
      <c r="B1562">
        <v>15812251</v>
      </c>
      <c r="C1562" s="1">
        <v>42530</v>
      </c>
      <c r="D1562" t="s">
        <v>30</v>
      </c>
      <c r="E1562" t="str">
        <f>VLOOKUP(TRIM(D1562), Catalogo_gestiones!$A:$B, 2, FALSE)</f>
        <v>S</v>
      </c>
    </row>
    <row r="1563" spans="1:5" x14ac:dyDescent="0.25">
      <c r="A1563">
        <v>8373802</v>
      </c>
      <c r="B1563">
        <v>17302927</v>
      </c>
      <c r="C1563" s="1">
        <v>42530</v>
      </c>
      <c r="D1563" t="s">
        <v>24</v>
      </c>
      <c r="E1563" t="str">
        <f>VLOOKUP(TRIM(D1563), Catalogo_gestiones!$A:$B, 2, FALSE)</f>
        <v>S</v>
      </c>
    </row>
    <row r="1564" spans="1:5" x14ac:dyDescent="0.25">
      <c r="A1564">
        <v>8373802</v>
      </c>
      <c r="B1564">
        <v>25509330</v>
      </c>
      <c r="C1564" s="1">
        <v>42530</v>
      </c>
      <c r="D1564" t="s">
        <v>25</v>
      </c>
      <c r="E1564" t="str">
        <f>VLOOKUP(TRIM(D1564), Catalogo_gestiones!$A:$B, 2, FALSE)</f>
        <v>N</v>
      </c>
    </row>
    <row r="1565" spans="1:5" x14ac:dyDescent="0.25">
      <c r="A1565">
        <v>8373802</v>
      </c>
      <c r="B1565">
        <v>27399471</v>
      </c>
      <c r="C1565" s="1">
        <v>42530</v>
      </c>
      <c r="D1565" t="s">
        <v>26</v>
      </c>
      <c r="E1565" t="str">
        <f>VLOOKUP(TRIM(D1565), Catalogo_gestiones!$A:$B, 2, FALSE)</f>
        <v>N</v>
      </c>
    </row>
    <row r="1566" spans="1:5" x14ac:dyDescent="0.25">
      <c r="A1566">
        <v>8373802</v>
      </c>
      <c r="B1566">
        <v>27745139</v>
      </c>
      <c r="C1566" s="1">
        <v>42530</v>
      </c>
      <c r="D1566" t="s">
        <v>27</v>
      </c>
      <c r="E1566" t="str">
        <f>VLOOKUP(TRIM(D1566), Catalogo_gestiones!$A:$B, 2, FALSE)</f>
        <v>S</v>
      </c>
    </row>
    <row r="1567" spans="1:5" x14ac:dyDescent="0.25">
      <c r="A1567">
        <v>8373803</v>
      </c>
      <c r="B1567">
        <v>16656839</v>
      </c>
      <c r="C1567" s="1">
        <v>42530</v>
      </c>
      <c r="D1567" t="s">
        <v>28</v>
      </c>
      <c r="E1567" t="str">
        <f>VLOOKUP(TRIM(D1567), Catalogo_gestiones!$A:$B, 2, FALSE)</f>
        <v>N</v>
      </c>
    </row>
    <row r="1568" spans="1:5" x14ac:dyDescent="0.25">
      <c r="A1568">
        <v>8373803</v>
      </c>
      <c r="B1568">
        <v>24836538</v>
      </c>
      <c r="C1568" s="1">
        <v>42530</v>
      </c>
      <c r="D1568" t="s">
        <v>24</v>
      </c>
      <c r="E1568" t="str">
        <f>VLOOKUP(TRIM(D1568), Catalogo_gestiones!$A:$B, 2, FALSE)</f>
        <v>S</v>
      </c>
    </row>
    <row r="1569" spans="1:5" x14ac:dyDescent="0.25">
      <c r="A1569">
        <v>8373922</v>
      </c>
      <c r="B1569">
        <v>15451183</v>
      </c>
      <c r="C1569" s="1">
        <v>42530</v>
      </c>
      <c r="D1569" t="s">
        <v>25</v>
      </c>
      <c r="E1569" t="str">
        <f>VLOOKUP(TRIM(D1569), Catalogo_gestiones!$A:$B, 2, FALSE)</f>
        <v>N</v>
      </c>
    </row>
    <row r="1570" spans="1:5" x14ac:dyDescent="0.25">
      <c r="A1570">
        <v>8373922</v>
      </c>
      <c r="B1570">
        <v>15452026</v>
      </c>
      <c r="C1570" s="1">
        <v>42530</v>
      </c>
      <c r="D1570" t="s">
        <v>26</v>
      </c>
      <c r="E1570" t="str">
        <f>VLOOKUP(TRIM(D1570), Catalogo_gestiones!$A:$B, 2, FALSE)</f>
        <v>N</v>
      </c>
    </row>
    <row r="1571" spans="1:5" x14ac:dyDescent="0.25">
      <c r="A1571">
        <v>8374077</v>
      </c>
      <c r="B1571">
        <v>27041563</v>
      </c>
      <c r="C1571" s="1">
        <v>42530</v>
      </c>
      <c r="D1571" t="s">
        <v>27</v>
      </c>
      <c r="E1571" t="str">
        <f>VLOOKUP(TRIM(D1571), Catalogo_gestiones!$A:$B, 2, FALSE)</f>
        <v>S</v>
      </c>
    </row>
    <row r="1572" spans="1:5" x14ac:dyDescent="0.25">
      <c r="A1572">
        <v>8374957</v>
      </c>
      <c r="B1572">
        <v>26344716</v>
      </c>
      <c r="C1572" s="1">
        <v>42530</v>
      </c>
      <c r="D1572" t="s">
        <v>28</v>
      </c>
      <c r="E1572" t="str">
        <f>VLOOKUP(TRIM(D1572), Catalogo_gestiones!$A:$B, 2, FALSE)</f>
        <v>N</v>
      </c>
    </row>
    <row r="1573" spans="1:5" x14ac:dyDescent="0.25">
      <c r="A1573">
        <v>8374964</v>
      </c>
      <c r="B1573">
        <v>27287287</v>
      </c>
      <c r="C1573" s="1">
        <v>42530</v>
      </c>
      <c r="D1573" t="s">
        <v>24</v>
      </c>
      <c r="E1573" t="str">
        <f>VLOOKUP(TRIM(D1573), Catalogo_gestiones!$A:$B, 2, FALSE)</f>
        <v>S</v>
      </c>
    </row>
    <row r="1574" spans="1:5" x14ac:dyDescent="0.25">
      <c r="A1574">
        <v>8375157</v>
      </c>
      <c r="B1574">
        <v>10604639</v>
      </c>
      <c r="C1574" s="1">
        <v>42530</v>
      </c>
      <c r="D1574" t="s">
        <v>25</v>
      </c>
      <c r="E1574" t="str">
        <f>VLOOKUP(TRIM(D1574), Catalogo_gestiones!$A:$B, 2, FALSE)</f>
        <v>N</v>
      </c>
    </row>
    <row r="1575" spans="1:5" x14ac:dyDescent="0.25">
      <c r="A1575">
        <v>8375295</v>
      </c>
      <c r="B1575">
        <v>23137609</v>
      </c>
      <c r="C1575" s="1">
        <v>42530</v>
      </c>
      <c r="D1575" t="s">
        <v>26</v>
      </c>
      <c r="E1575" t="str">
        <f>VLOOKUP(TRIM(D1575), Catalogo_gestiones!$A:$B, 2, FALSE)</f>
        <v>N</v>
      </c>
    </row>
    <row r="1576" spans="1:5" x14ac:dyDescent="0.25">
      <c r="A1576">
        <v>8375295</v>
      </c>
      <c r="B1576">
        <v>23161693</v>
      </c>
      <c r="C1576" s="1">
        <v>42530</v>
      </c>
      <c r="D1576" t="s">
        <v>27</v>
      </c>
      <c r="E1576" t="str">
        <f>VLOOKUP(TRIM(D1576), Catalogo_gestiones!$A:$B, 2, FALSE)</f>
        <v>S</v>
      </c>
    </row>
    <row r="1577" spans="1:5" x14ac:dyDescent="0.25">
      <c r="A1577">
        <v>8375343</v>
      </c>
      <c r="B1577">
        <v>22513953</v>
      </c>
      <c r="C1577" s="1">
        <v>42530</v>
      </c>
      <c r="D1577" t="s">
        <v>28</v>
      </c>
      <c r="E1577" t="str">
        <f>VLOOKUP(TRIM(D1577), Catalogo_gestiones!$A:$B, 2, FALSE)</f>
        <v>N</v>
      </c>
    </row>
    <row r="1578" spans="1:5" x14ac:dyDescent="0.25">
      <c r="A1578">
        <v>8375436</v>
      </c>
      <c r="B1578">
        <v>25340832</v>
      </c>
      <c r="C1578" s="1">
        <v>42524</v>
      </c>
      <c r="D1578" t="s">
        <v>30</v>
      </c>
      <c r="E1578" t="str">
        <f>VLOOKUP(TRIM(D1578), Catalogo_gestiones!$A:$B, 2, FALSE)</f>
        <v>S</v>
      </c>
    </row>
    <row r="1579" spans="1:5" x14ac:dyDescent="0.25">
      <c r="A1579">
        <v>8375436</v>
      </c>
      <c r="B1579">
        <v>28584174</v>
      </c>
      <c r="C1579" s="1">
        <v>42525</v>
      </c>
      <c r="D1579" t="s">
        <v>24</v>
      </c>
      <c r="E1579" t="str">
        <f>VLOOKUP(TRIM(D1579), Catalogo_gestiones!$A:$B, 2, FALSE)</f>
        <v>S</v>
      </c>
    </row>
    <row r="1580" spans="1:5" x14ac:dyDescent="0.25">
      <c r="A1580">
        <v>8375486</v>
      </c>
      <c r="B1580">
        <v>15746667</v>
      </c>
      <c r="C1580" s="1">
        <v>42530</v>
      </c>
      <c r="D1580" t="s">
        <v>25</v>
      </c>
      <c r="E1580" t="str">
        <f>VLOOKUP(TRIM(D1580), Catalogo_gestiones!$A:$B, 2, FALSE)</f>
        <v>N</v>
      </c>
    </row>
    <row r="1581" spans="1:5" x14ac:dyDescent="0.25">
      <c r="A1581">
        <v>8375778</v>
      </c>
      <c r="B1581">
        <v>16122004</v>
      </c>
      <c r="C1581" s="1">
        <v>42530</v>
      </c>
      <c r="D1581" t="s">
        <v>26</v>
      </c>
      <c r="E1581" t="str">
        <f>VLOOKUP(TRIM(D1581), Catalogo_gestiones!$A:$B, 2, FALSE)</f>
        <v>N</v>
      </c>
    </row>
    <row r="1582" spans="1:5" x14ac:dyDescent="0.25">
      <c r="A1582">
        <v>8375887</v>
      </c>
      <c r="B1582">
        <v>21569268</v>
      </c>
      <c r="C1582" s="1">
        <v>42530</v>
      </c>
      <c r="D1582" t="s">
        <v>27</v>
      </c>
      <c r="E1582" t="str">
        <f>VLOOKUP(TRIM(D1582), Catalogo_gestiones!$A:$B, 2, FALSE)</f>
        <v>S</v>
      </c>
    </row>
    <row r="1583" spans="1:5" x14ac:dyDescent="0.25">
      <c r="A1583">
        <v>8375899</v>
      </c>
      <c r="B1583">
        <v>25529213</v>
      </c>
      <c r="C1583" s="1">
        <v>42530</v>
      </c>
      <c r="D1583" t="s">
        <v>28</v>
      </c>
      <c r="E1583" t="str">
        <f>VLOOKUP(TRIM(D1583), Catalogo_gestiones!$A:$B, 2, FALSE)</f>
        <v>N</v>
      </c>
    </row>
    <row r="1584" spans="1:5" x14ac:dyDescent="0.25">
      <c r="A1584">
        <v>8376101</v>
      </c>
      <c r="B1584">
        <v>26856140</v>
      </c>
      <c r="C1584" s="1">
        <v>42530</v>
      </c>
      <c r="D1584" t="s">
        <v>24</v>
      </c>
      <c r="E1584" t="str">
        <f>VLOOKUP(TRIM(D1584), Catalogo_gestiones!$A:$B, 2, FALSE)</f>
        <v>S</v>
      </c>
    </row>
    <row r="1585" spans="1:5" x14ac:dyDescent="0.25">
      <c r="A1585">
        <v>8376429</v>
      </c>
      <c r="B1585">
        <v>2931482</v>
      </c>
      <c r="C1585" s="1">
        <v>42530</v>
      </c>
      <c r="D1585" t="s">
        <v>25</v>
      </c>
      <c r="E1585" t="str">
        <f>VLOOKUP(TRIM(D1585), Catalogo_gestiones!$A:$B, 2, FALSE)</f>
        <v>N</v>
      </c>
    </row>
    <row r="1586" spans="1:5" x14ac:dyDescent="0.25">
      <c r="A1586">
        <v>8376429</v>
      </c>
      <c r="B1586">
        <v>11036696</v>
      </c>
      <c r="C1586" s="1">
        <v>42530</v>
      </c>
      <c r="D1586" t="s">
        <v>26</v>
      </c>
      <c r="E1586" t="str">
        <f>VLOOKUP(TRIM(D1586), Catalogo_gestiones!$A:$B, 2, FALSE)</f>
        <v>N</v>
      </c>
    </row>
    <row r="1587" spans="1:5" x14ac:dyDescent="0.25">
      <c r="A1587">
        <v>8376469</v>
      </c>
      <c r="B1587">
        <v>27404462</v>
      </c>
      <c r="C1587" s="1">
        <v>42530</v>
      </c>
      <c r="D1587" t="s">
        <v>27</v>
      </c>
      <c r="E1587" t="str">
        <f>VLOOKUP(TRIM(D1587), Catalogo_gestiones!$A:$B, 2, FALSE)</f>
        <v>S</v>
      </c>
    </row>
    <row r="1588" spans="1:5" x14ac:dyDescent="0.25">
      <c r="A1588">
        <v>8376705</v>
      </c>
      <c r="B1588">
        <v>26836468</v>
      </c>
      <c r="C1588" s="1">
        <v>42530</v>
      </c>
      <c r="D1588" t="s">
        <v>28</v>
      </c>
      <c r="E1588" t="str">
        <f>VLOOKUP(TRIM(D1588), Catalogo_gestiones!$A:$B, 2, FALSE)</f>
        <v>N</v>
      </c>
    </row>
    <row r="1589" spans="1:5" x14ac:dyDescent="0.25">
      <c r="A1589">
        <v>8376794</v>
      </c>
      <c r="B1589">
        <v>23391044</v>
      </c>
      <c r="C1589" s="1">
        <v>42530</v>
      </c>
      <c r="D1589" t="s">
        <v>24</v>
      </c>
      <c r="E1589" t="str">
        <f>VLOOKUP(TRIM(D1589), Catalogo_gestiones!$A:$B, 2, FALSE)</f>
        <v>S</v>
      </c>
    </row>
    <row r="1590" spans="1:5" x14ac:dyDescent="0.25">
      <c r="A1590">
        <v>8376794</v>
      </c>
      <c r="B1590">
        <v>23391228</v>
      </c>
      <c r="C1590" s="1">
        <v>42530</v>
      </c>
      <c r="D1590" t="s">
        <v>25</v>
      </c>
      <c r="E1590" t="str">
        <f>VLOOKUP(TRIM(D1590), Catalogo_gestiones!$A:$B, 2, FALSE)</f>
        <v>N</v>
      </c>
    </row>
    <row r="1591" spans="1:5" x14ac:dyDescent="0.25">
      <c r="A1591">
        <v>8376794</v>
      </c>
      <c r="B1591">
        <v>23812937</v>
      </c>
      <c r="C1591" s="1">
        <v>42530</v>
      </c>
      <c r="D1591" t="s">
        <v>26</v>
      </c>
      <c r="E1591" t="str">
        <f>VLOOKUP(TRIM(D1591), Catalogo_gestiones!$A:$B, 2, FALSE)</f>
        <v>N</v>
      </c>
    </row>
    <row r="1592" spans="1:5" x14ac:dyDescent="0.25">
      <c r="A1592">
        <v>8376891</v>
      </c>
      <c r="B1592">
        <v>19336726</v>
      </c>
      <c r="C1592" s="1">
        <v>42530</v>
      </c>
      <c r="D1592" t="s">
        <v>27</v>
      </c>
      <c r="E1592" t="str">
        <f>VLOOKUP(TRIM(D1592), Catalogo_gestiones!$A:$B, 2, FALSE)</f>
        <v>S</v>
      </c>
    </row>
    <row r="1593" spans="1:5" x14ac:dyDescent="0.25">
      <c r="A1593">
        <v>8377130</v>
      </c>
      <c r="B1593">
        <v>26512445</v>
      </c>
      <c r="C1593" s="1">
        <v>42530</v>
      </c>
      <c r="D1593" t="s">
        <v>28</v>
      </c>
      <c r="E1593" t="str">
        <f>VLOOKUP(TRIM(D1593), Catalogo_gestiones!$A:$B, 2, FALSE)</f>
        <v>N</v>
      </c>
    </row>
    <row r="1594" spans="1:5" x14ac:dyDescent="0.25">
      <c r="A1594">
        <v>8377227</v>
      </c>
      <c r="B1594">
        <v>24816925</v>
      </c>
      <c r="C1594" s="1">
        <v>42530</v>
      </c>
      <c r="D1594" t="s">
        <v>30</v>
      </c>
      <c r="E1594" t="str">
        <f>VLOOKUP(TRIM(D1594), Catalogo_gestiones!$A:$B, 2, FALSE)</f>
        <v>S</v>
      </c>
    </row>
    <row r="1595" spans="1:5" x14ac:dyDescent="0.25">
      <c r="A1595">
        <v>8377292</v>
      </c>
      <c r="B1595">
        <v>26246020</v>
      </c>
      <c r="C1595" s="1">
        <v>42526</v>
      </c>
      <c r="D1595" t="s">
        <v>24</v>
      </c>
      <c r="E1595" t="str">
        <f>VLOOKUP(TRIM(D1595), Catalogo_gestiones!$A:$B, 2, FALSE)</f>
        <v>S</v>
      </c>
    </row>
    <row r="1596" spans="1:5" x14ac:dyDescent="0.25">
      <c r="A1596">
        <v>8377553</v>
      </c>
      <c r="B1596">
        <v>25413634</v>
      </c>
      <c r="C1596" s="1">
        <v>42530</v>
      </c>
      <c r="D1596" t="s">
        <v>25</v>
      </c>
      <c r="E1596" t="str">
        <f>VLOOKUP(TRIM(D1596), Catalogo_gestiones!$A:$B, 2, FALSE)</f>
        <v>N</v>
      </c>
    </row>
    <row r="1597" spans="1:5" x14ac:dyDescent="0.25">
      <c r="A1597">
        <v>8377553</v>
      </c>
      <c r="B1597">
        <v>26862382</v>
      </c>
      <c r="C1597" s="1">
        <v>42530</v>
      </c>
      <c r="D1597" t="s">
        <v>26</v>
      </c>
      <c r="E1597" t="str">
        <f>VLOOKUP(TRIM(D1597), Catalogo_gestiones!$A:$B, 2, FALSE)</f>
        <v>N</v>
      </c>
    </row>
    <row r="1598" spans="1:5" x14ac:dyDescent="0.25">
      <c r="A1598">
        <v>8377729</v>
      </c>
      <c r="B1598">
        <v>21626178</v>
      </c>
      <c r="C1598" s="1">
        <v>42530</v>
      </c>
      <c r="D1598" t="s">
        <v>27</v>
      </c>
      <c r="E1598" t="str">
        <f>VLOOKUP(TRIM(D1598), Catalogo_gestiones!$A:$B, 2, FALSE)</f>
        <v>S</v>
      </c>
    </row>
    <row r="1599" spans="1:5" x14ac:dyDescent="0.25">
      <c r="A1599">
        <v>8377815</v>
      </c>
      <c r="B1599">
        <v>23968455</v>
      </c>
      <c r="C1599" s="1">
        <v>42530</v>
      </c>
      <c r="D1599" t="s">
        <v>28</v>
      </c>
      <c r="E1599" t="str">
        <f>VLOOKUP(TRIM(D1599), Catalogo_gestiones!$A:$B, 2, FALSE)</f>
        <v>N</v>
      </c>
    </row>
    <row r="1600" spans="1:5" x14ac:dyDescent="0.25">
      <c r="A1600">
        <v>8377851</v>
      </c>
      <c r="B1600">
        <v>23919595</v>
      </c>
      <c r="C1600" s="1">
        <v>42530</v>
      </c>
      <c r="D1600" t="s">
        <v>24</v>
      </c>
      <c r="E1600" t="str">
        <f>VLOOKUP(TRIM(D1600), Catalogo_gestiones!$A:$B, 2, FALSE)</f>
        <v>S</v>
      </c>
    </row>
    <row r="1601" spans="1:5" x14ac:dyDescent="0.25">
      <c r="A1601">
        <v>8377968</v>
      </c>
      <c r="B1601">
        <v>27872972</v>
      </c>
      <c r="C1601" s="1">
        <v>42530</v>
      </c>
      <c r="D1601" t="s">
        <v>25</v>
      </c>
      <c r="E1601" t="str">
        <f>VLOOKUP(TRIM(D1601), Catalogo_gestiones!$A:$B, 2, FALSE)</f>
        <v>N</v>
      </c>
    </row>
    <row r="1602" spans="1:5" x14ac:dyDescent="0.25">
      <c r="A1602">
        <v>8378091</v>
      </c>
      <c r="B1602">
        <v>26261467</v>
      </c>
      <c r="C1602" s="1">
        <v>42530</v>
      </c>
      <c r="D1602" t="s">
        <v>26</v>
      </c>
      <c r="E1602" t="str">
        <f>VLOOKUP(TRIM(D1602), Catalogo_gestiones!$A:$B, 2, FALSE)</f>
        <v>N</v>
      </c>
    </row>
    <row r="1603" spans="1:5" x14ac:dyDescent="0.25">
      <c r="A1603">
        <v>8378283</v>
      </c>
      <c r="B1603">
        <v>25804857</v>
      </c>
      <c r="C1603" s="1">
        <v>42530</v>
      </c>
      <c r="D1603" t="s">
        <v>27</v>
      </c>
      <c r="E1603" t="str">
        <f>VLOOKUP(TRIM(D1603), Catalogo_gestiones!$A:$B, 2, FALSE)</f>
        <v>S</v>
      </c>
    </row>
    <row r="1604" spans="1:5" x14ac:dyDescent="0.25">
      <c r="A1604">
        <v>8378400</v>
      </c>
      <c r="B1604">
        <v>26843926</v>
      </c>
      <c r="C1604" s="1">
        <v>42530</v>
      </c>
      <c r="D1604" t="s">
        <v>28</v>
      </c>
      <c r="E1604" t="str">
        <f>VLOOKUP(TRIM(D1604), Catalogo_gestiones!$A:$B, 2, FALSE)</f>
        <v>N</v>
      </c>
    </row>
    <row r="1605" spans="1:5" x14ac:dyDescent="0.25">
      <c r="A1605">
        <v>8378400</v>
      </c>
      <c r="B1605">
        <v>26843927</v>
      </c>
      <c r="C1605" s="1">
        <v>42530</v>
      </c>
      <c r="D1605" t="s">
        <v>24</v>
      </c>
      <c r="E1605" t="str">
        <f>VLOOKUP(TRIM(D1605), Catalogo_gestiones!$A:$B, 2, FALSE)</f>
        <v>S</v>
      </c>
    </row>
    <row r="1606" spans="1:5" x14ac:dyDescent="0.25">
      <c r="A1606">
        <v>8378538</v>
      </c>
      <c r="B1606">
        <v>26023462</v>
      </c>
      <c r="C1606" s="1">
        <v>42530</v>
      </c>
      <c r="D1606" t="s">
        <v>25</v>
      </c>
      <c r="E1606" t="str">
        <f>VLOOKUP(TRIM(D1606), Catalogo_gestiones!$A:$B, 2, FALSE)</f>
        <v>N</v>
      </c>
    </row>
    <row r="1607" spans="1:5" x14ac:dyDescent="0.25">
      <c r="A1607">
        <v>8378787</v>
      </c>
      <c r="B1607">
        <v>25360109</v>
      </c>
      <c r="C1607" s="1">
        <v>42530</v>
      </c>
      <c r="D1607" t="s">
        <v>26</v>
      </c>
      <c r="E1607" t="str">
        <f>VLOOKUP(TRIM(D1607), Catalogo_gestiones!$A:$B, 2, FALSE)</f>
        <v>N</v>
      </c>
    </row>
    <row r="1608" spans="1:5" x14ac:dyDescent="0.25">
      <c r="A1608">
        <v>8378787</v>
      </c>
      <c r="B1608">
        <v>28167829</v>
      </c>
      <c r="C1608" s="1">
        <v>42530</v>
      </c>
      <c r="D1608" t="s">
        <v>27</v>
      </c>
      <c r="E1608" t="str">
        <f>VLOOKUP(TRIM(D1608), Catalogo_gestiones!$A:$B, 2, FALSE)</f>
        <v>S</v>
      </c>
    </row>
    <row r="1609" spans="1:5" x14ac:dyDescent="0.25">
      <c r="A1609">
        <v>8378871</v>
      </c>
      <c r="B1609">
        <v>21194808</v>
      </c>
      <c r="C1609" s="1">
        <v>42530</v>
      </c>
      <c r="D1609" t="s">
        <v>28</v>
      </c>
      <c r="E1609" t="str">
        <f>VLOOKUP(TRIM(D1609), Catalogo_gestiones!$A:$B, 2, FALSE)</f>
        <v>N</v>
      </c>
    </row>
    <row r="1610" spans="1:5" x14ac:dyDescent="0.25">
      <c r="A1610">
        <v>8379217</v>
      </c>
      <c r="B1610">
        <v>25899951</v>
      </c>
      <c r="C1610" s="1">
        <v>42530</v>
      </c>
      <c r="D1610" t="s">
        <v>30</v>
      </c>
      <c r="E1610" t="str">
        <f>VLOOKUP(TRIM(D1610), Catalogo_gestiones!$A:$B, 2, FALSE)</f>
        <v>S</v>
      </c>
    </row>
    <row r="1611" spans="1:5" x14ac:dyDescent="0.25">
      <c r="A1611">
        <v>8379217</v>
      </c>
      <c r="B1611">
        <v>25904477</v>
      </c>
      <c r="C1611" s="1">
        <v>42530</v>
      </c>
      <c r="D1611" t="s">
        <v>24</v>
      </c>
      <c r="E1611" t="str">
        <f>VLOOKUP(TRIM(D1611), Catalogo_gestiones!$A:$B, 2, FALSE)</f>
        <v>S</v>
      </c>
    </row>
    <row r="1612" spans="1:5" x14ac:dyDescent="0.25">
      <c r="A1612">
        <v>8379238</v>
      </c>
      <c r="B1612">
        <v>27262178</v>
      </c>
      <c r="C1612" s="1">
        <v>42530</v>
      </c>
      <c r="D1612" t="s">
        <v>25</v>
      </c>
      <c r="E1612" t="str">
        <f>VLOOKUP(TRIM(D1612), Catalogo_gestiones!$A:$B, 2, FALSE)</f>
        <v>N</v>
      </c>
    </row>
    <row r="1613" spans="1:5" x14ac:dyDescent="0.25">
      <c r="A1613">
        <v>8379989</v>
      </c>
      <c r="B1613">
        <v>25836165</v>
      </c>
      <c r="C1613" s="1">
        <v>42530</v>
      </c>
      <c r="D1613" t="s">
        <v>26</v>
      </c>
      <c r="E1613" t="str">
        <f>VLOOKUP(TRIM(D1613), Catalogo_gestiones!$A:$B, 2, FALSE)</f>
        <v>N</v>
      </c>
    </row>
    <row r="1614" spans="1:5" x14ac:dyDescent="0.25">
      <c r="A1614">
        <v>8379989</v>
      </c>
      <c r="B1614">
        <v>25855320</v>
      </c>
      <c r="C1614" s="1">
        <v>42530</v>
      </c>
      <c r="D1614" t="s">
        <v>27</v>
      </c>
      <c r="E1614" t="str">
        <f>VLOOKUP(TRIM(D1614), Catalogo_gestiones!$A:$B, 2, FALSE)</f>
        <v>S</v>
      </c>
    </row>
    <row r="1615" spans="1:5" x14ac:dyDescent="0.25">
      <c r="A1615">
        <v>8380002</v>
      </c>
      <c r="B1615">
        <v>26293617</v>
      </c>
      <c r="C1615" s="1">
        <v>42530</v>
      </c>
      <c r="D1615" t="s">
        <v>28</v>
      </c>
      <c r="E1615" t="str">
        <f>VLOOKUP(TRIM(D1615), Catalogo_gestiones!$A:$B, 2, FALSE)</f>
        <v>N</v>
      </c>
    </row>
    <row r="1616" spans="1:5" x14ac:dyDescent="0.25">
      <c r="A1616">
        <v>8380063</v>
      </c>
      <c r="B1616">
        <v>20479677</v>
      </c>
      <c r="C1616" s="1">
        <v>42530</v>
      </c>
      <c r="D1616" t="s">
        <v>24</v>
      </c>
      <c r="E1616" t="str">
        <f>VLOOKUP(TRIM(D1616), Catalogo_gestiones!$A:$B, 2, FALSE)</f>
        <v>S</v>
      </c>
    </row>
    <row r="1617" spans="1:5" x14ac:dyDescent="0.25">
      <c r="A1617">
        <v>8380316</v>
      </c>
      <c r="B1617">
        <v>26082987</v>
      </c>
      <c r="C1617" s="1">
        <v>42530</v>
      </c>
      <c r="D1617" t="s">
        <v>25</v>
      </c>
      <c r="E1617" t="str">
        <f>VLOOKUP(TRIM(D1617), Catalogo_gestiones!$A:$B, 2, FALSE)</f>
        <v>N</v>
      </c>
    </row>
    <row r="1618" spans="1:5" x14ac:dyDescent="0.25">
      <c r="A1618">
        <v>8380316</v>
      </c>
      <c r="B1618">
        <v>27691424</v>
      </c>
      <c r="C1618" s="1">
        <v>42530</v>
      </c>
      <c r="D1618" t="s">
        <v>26</v>
      </c>
      <c r="E1618" t="str">
        <f>VLOOKUP(TRIM(D1618), Catalogo_gestiones!$A:$B, 2, FALSE)</f>
        <v>N</v>
      </c>
    </row>
    <row r="1619" spans="1:5" x14ac:dyDescent="0.25">
      <c r="A1619">
        <v>8380574</v>
      </c>
      <c r="B1619">
        <v>25284380</v>
      </c>
      <c r="C1619" s="1">
        <v>42530</v>
      </c>
      <c r="D1619" t="s">
        <v>27</v>
      </c>
      <c r="E1619" t="str">
        <f>VLOOKUP(TRIM(D1619), Catalogo_gestiones!$A:$B, 2, FALSE)</f>
        <v>S</v>
      </c>
    </row>
    <row r="1620" spans="1:5" x14ac:dyDescent="0.25">
      <c r="A1620">
        <v>8380574</v>
      </c>
      <c r="B1620">
        <v>26028156</v>
      </c>
      <c r="C1620" s="1">
        <v>42530</v>
      </c>
      <c r="D1620" t="s">
        <v>28</v>
      </c>
      <c r="E1620" t="str">
        <f>VLOOKUP(TRIM(D1620), Catalogo_gestiones!$A:$B, 2, FALSE)</f>
        <v>N</v>
      </c>
    </row>
    <row r="1621" spans="1:5" x14ac:dyDescent="0.25">
      <c r="A1621">
        <v>8380574</v>
      </c>
      <c r="B1621">
        <v>26216119</v>
      </c>
      <c r="C1621" s="1">
        <v>42530</v>
      </c>
      <c r="D1621" t="s">
        <v>24</v>
      </c>
      <c r="E1621" t="str">
        <f>VLOOKUP(TRIM(D1621), Catalogo_gestiones!$A:$B, 2, FALSE)</f>
        <v>S</v>
      </c>
    </row>
    <row r="1622" spans="1:5" x14ac:dyDescent="0.25">
      <c r="A1622">
        <v>8380574</v>
      </c>
      <c r="B1622">
        <v>26787345</v>
      </c>
      <c r="C1622" s="1">
        <v>42530</v>
      </c>
      <c r="D1622" t="s">
        <v>25</v>
      </c>
      <c r="E1622" t="str">
        <f>VLOOKUP(TRIM(D1622), Catalogo_gestiones!$A:$B, 2, FALSE)</f>
        <v>N</v>
      </c>
    </row>
    <row r="1623" spans="1:5" x14ac:dyDescent="0.25">
      <c r="A1623">
        <v>8380574</v>
      </c>
      <c r="B1623">
        <v>26880957</v>
      </c>
      <c r="C1623" s="1">
        <v>42530</v>
      </c>
      <c r="D1623" t="s">
        <v>26</v>
      </c>
      <c r="E1623" t="str">
        <f>VLOOKUP(TRIM(D1623), Catalogo_gestiones!$A:$B, 2, FALSE)</f>
        <v>N</v>
      </c>
    </row>
    <row r="1624" spans="1:5" x14ac:dyDescent="0.25">
      <c r="A1624">
        <v>8380657</v>
      </c>
      <c r="B1624">
        <v>20821058</v>
      </c>
      <c r="C1624" s="1">
        <v>42530</v>
      </c>
      <c r="D1624" t="s">
        <v>27</v>
      </c>
      <c r="E1624" t="str">
        <f>VLOOKUP(TRIM(D1624), Catalogo_gestiones!$A:$B, 2, FALSE)</f>
        <v>S</v>
      </c>
    </row>
    <row r="1625" spans="1:5" x14ac:dyDescent="0.25">
      <c r="A1625">
        <v>8380807</v>
      </c>
      <c r="B1625">
        <v>2687964</v>
      </c>
      <c r="C1625" s="1">
        <v>42530</v>
      </c>
      <c r="D1625" t="s">
        <v>28</v>
      </c>
      <c r="E1625" t="str">
        <f>VLOOKUP(TRIM(D1625), Catalogo_gestiones!$A:$B, 2, FALSE)</f>
        <v>N</v>
      </c>
    </row>
    <row r="1626" spans="1:5" x14ac:dyDescent="0.25">
      <c r="A1626">
        <v>8380807</v>
      </c>
      <c r="B1626">
        <v>26376544</v>
      </c>
      <c r="C1626" s="1">
        <v>42530</v>
      </c>
      <c r="D1626" t="s">
        <v>30</v>
      </c>
      <c r="E1626" t="str">
        <f>VLOOKUP(TRIM(D1626), Catalogo_gestiones!$A:$B, 2, FALSE)</f>
        <v>S</v>
      </c>
    </row>
    <row r="1627" spans="1:5" x14ac:dyDescent="0.25">
      <c r="A1627">
        <v>8381332</v>
      </c>
      <c r="B1627">
        <v>20591909</v>
      </c>
      <c r="C1627" s="1">
        <v>42530</v>
      </c>
      <c r="D1627" t="s">
        <v>24</v>
      </c>
      <c r="E1627" t="str">
        <f>VLOOKUP(TRIM(D1627), Catalogo_gestiones!$A:$B, 2, FALSE)</f>
        <v>S</v>
      </c>
    </row>
    <row r="1628" spans="1:5" x14ac:dyDescent="0.25">
      <c r="A1628">
        <v>8381336</v>
      </c>
      <c r="B1628">
        <v>25292675</v>
      </c>
      <c r="C1628" s="1">
        <v>42530</v>
      </c>
      <c r="D1628" t="s">
        <v>25</v>
      </c>
      <c r="E1628" t="str">
        <f>VLOOKUP(TRIM(D1628), Catalogo_gestiones!$A:$B, 2, FALSE)</f>
        <v>N</v>
      </c>
    </row>
    <row r="1629" spans="1:5" x14ac:dyDescent="0.25">
      <c r="A1629">
        <v>8381346</v>
      </c>
      <c r="B1629">
        <v>26705594</v>
      </c>
      <c r="C1629" s="1">
        <v>42530</v>
      </c>
      <c r="D1629" t="s">
        <v>26</v>
      </c>
      <c r="E1629" t="str">
        <f>VLOOKUP(TRIM(D1629), Catalogo_gestiones!$A:$B, 2, FALSE)</f>
        <v>N</v>
      </c>
    </row>
    <row r="1630" spans="1:5" x14ac:dyDescent="0.25">
      <c r="A1630">
        <v>8381346</v>
      </c>
      <c r="B1630">
        <v>26706135</v>
      </c>
      <c r="C1630" s="1">
        <v>42530</v>
      </c>
      <c r="D1630" t="s">
        <v>27</v>
      </c>
      <c r="E1630" t="str">
        <f>VLOOKUP(TRIM(D1630), Catalogo_gestiones!$A:$B, 2, FALSE)</f>
        <v>S</v>
      </c>
    </row>
    <row r="1631" spans="1:5" x14ac:dyDescent="0.25">
      <c r="A1631">
        <v>8381369</v>
      </c>
      <c r="B1631">
        <v>18458736</v>
      </c>
      <c r="C1631" s="1">
        <v>42531</v>
      </c>
      <c r="D1631" t="s">
        <v>28</v>
      </c>
      <c r="E1631" t="str">
        <f>VLOOKUP(TRIM(D1631), Catalogo_gestiones!$A:$B, 2, FALSE)</f>
        <v>N</v>
      </c>
    </row>
    <row r="1632" spans="1:5" x14ac:dyDescent="0.25">
      <c r="A1632">
        <v>8381369</v>
      </c>
      <c r="B1632">
        <v>18847819</v>
      </c>
      <c r="C1632" s="1">
        <v>42531</v>
      </c>
      <c r="D1632" t="s">
        <v>24</v>
      </c>
      <c r="E1632" t="str">
        <f>VLOOKUP(TRIM(D1632), Catalogo_gestiones!$A:$B, 2, FALSE)</f>
        <v>S</v>
      </c>
    </row>
    <row r="1633" spans="1:5" x14ac:dyDescent="0.25">
      <c r="A1633">
        <v>8381369</v>
      </c>
      <c r="B1633">
        <v>25138580</v>
      </c>
      <c r="C1633" s="1">
        <v>42531</v>
      </c>
      <c r="D1633" t="s">
        <v>25</v>
      </c>
      <c r="E1633" t="str">
        <f>VLOOKUP(TRIM(D1633), Catalogo_gestiones!$A:$B, 2, FALSE)</f>
        <v>N</v>
      </c>
    </row>
    <row r="1634" spans="1:5" x14ac:dyDescent="0.25">
      <c r="A1634">
        <v>8381369</v>
      </c>
      <c r="B1634">
        <v>25452876</v>
      </c>
      <c r="C1634" s="1">
        <v>42531</v>
      </c>
      <c r="D1634" t="s">
        <v>26</v>
      </c>
      <c r="E1634" t="str">
        <f>VLOOKUP(TRIM(D1634), Catalogo_gestiones!$A:$B, 2, FALSE)</f>
        <v>N</v>
      </c>
    </row>
    <row r="1635" spans="1:5" x14ac:dyDescent="0.25">
      <c r="A1635">
        <v>8381369</v>
      </c>
      <c r="B1635">
        <v>25783645</v>
      </c>
      <c r="C1635" s="1">
        <v>42531</v>
      </c>
      <c r="D1635" t="s">
        <v>27</v>
      </c>
      <c r="E1635" t="str">
        <f>VLOOKUP(TRIM(D1635), Catalogo_gestiones!$A:$B, 2, FALSE)</f>
        <v>S</v>
      </c>
    </row>
    <row r="1636" spans="1:5" x14ac:dyDescent="0.25">
      <c r="A1636">
        <v>8381369</v>
      </c>
      <c r="B1636">
        <v>26266777</v>
      </c>
      <c r="C1636" s="1">
        <v>42531</v>
      </c>
      <c r="D1636" t="s">
        <v>28</v>
      </c>
      <c r="E1636" t="str">
        <f>VLOOKUP(TRIM(D1636), Catalogo_gestiones!$A:$B, 2, FALSE)</f>
        <v>N</v>
      </c>
    </row>
    <row r="1637" spans="1:5" x14ac:dyDescent="0.25">
      <c r="A1637">
        <v>8381475</v>
      </c>
      <c r="B1637">
        <v>14190251</v>
      </c>
      <c r="C1637" s="1">
        <v>42526</v>
      </c>
      <c r="D1637" t="s">
        <v>24</v>
      </c>
      <c r="E1637" t="str">
        <f>VLOOKUP(TRIM(D1637), Catalogo_gestiones!$A:$B, 2, FALSE)</f>
        <v>S</v>
      </c>
    </row>
    <row r="1638" spans="1:5" x14ac:dyDescent="0.25">
      <c r="A1638">
        <v>8381475</v>
      </c>
      <c r="B1638">
        <v>16298674</v>
      </c>
      <c r="C1638" s="1">
        <v>42530</v>
      </c>
      <c r="D1638" t="s">
        <v>25</v>
      </c>
      <c r="E1638" t="str">
        <f>VLOOKUP(TRIM(D1638), Catalogo_gestiones!$A:$B, 2, FALSE)</f>
        <v>N</v>
      </c>
    </row>
    <row r="1639" spans="1:5" x14ac:dyDescent="0.25">
      <c r="A1639">
        <v>8381475</v>
      </c>
      <c r="B1639">
        <v>16300086</v>
      </c>
      <c r="C1639" s="1">
        <v>42530</v>
      </c>
      <c r="D1639" t="s">
        <v>26</v>
      </c>
      <c r="E1639" t="str">
        <f>VLOOKUP(TRIM(D1639), Catalogo_gestiones!$A:$B, 2, FALSE)</f>
        <v>N</v>
      </c>
    </row>
    <row r="1640" spans="1:5" x14ac:dyDescent="0.25">
      <c r="A1640">
        <v>8381475</v>
      </c>
      <c r="B1640">
        <v>28582935</v>
      </c>
      <c r="C1640" s="1">
        <v>42525</v>
      </c>
      <c r="D1640" t="s">
        <v>27</v>
      </c>
      <c r="E1640" t="str">
        <f>VLOOKUP(TRIM(D1640), Catalogo_gestiones!$A:$B, 2, FALSE)</f>
        <v>S</v>
      </c>
    </row>
    <row r="1641" spans="1:5" x14ac:dyDescent="0.25">
      <c r="A1641">
        <v>8381515</v>
      </c>
      <c r="B1641">
        <v>14729284</v>
      </c>
      <c r="C1641" s="1">
        <v>42530</v>
      </c>
      <c r="D1641" t="s">
        <v>28</v>
      </c>
      <c r="E1641" t="str">
        <f>VLOOKUP(TRIM(D1641), Catalogo_gestiones!$A:$B, 2, FALSE)</f>
        <v>N</v>
      </c>
    </row>
    <row r="1642" spans="1:5" x14ac:dyDescent="0.25">
      <c r="A1642">
        <v>8381515</v>
      </c>
      <c r="B1642">
        <v>14731171</v>
      </c>
      <c r="C1642" s="1">
        <v>42530</v>
      </c>
      <c r="D1642" t="s">
        <v>30</v>
      </c>
      <c r="E1642" t="str">
        <f>VLOOKUP(TRIM(D1642), Catalogo_gestiones!$A:$B, 2, FALSE)</f>
        <v>S</v>
      </c>
    </row>
    <row r="1643" spans="1:5" x14ac:dyDescent="0.25">
      <c r="A1643">
        <v>8381524</v>
      </c>
      <c r="B1643">
        <v>19335684</v>
      </c>
      <c r="C1643" s="1">
        <v>42530</v>
      </c>
      <c r="D1643" t="s">
        <v>24</v>
      </c>
      <c r="E1643" t="str">
        <f>VLOOKUP(TRIM(D1643), Catalogo_gestiones!$A:$B, 2, FALSE)</f>
        <v>S</v>
      </c>
    </row>
    <row r="1644" spans="1:5" x14ac:dyDescent="0.25">
      <c r="A1644">
        <v>8381568</v>
      </c>
      <c r="B1644">
        <v>16242367</v>
      </c>
      <c r="C1644" s="1">
        <v>42530</v>
      </c>
      <c r="D1644" t="s">
        <v>25</v>
      </c>
      <c r="E1644" t="str">
        <f>VLOOKUP(TRIM(D1644), Catalogo_gestiones!$A:$B, 2, FALSE)</f>
        <v>N</v>
      </c>
    </row>
    <row r="1645" spans="1:5" x14ac:dyDescent="0.25">
      <c r="A1645">
        <v>8381568</v>
      </c>
      <c r="B1645">
        <v>23075902</v>
      </c>
      <c r="C1645" s="1">
        <v>42530</v>
      </c>
      <c r="D1645" t="s">
        <v>26</v>
      </c>
      <c r="E1645" t="str">
        <f>VLOOKUP(TRIM(D1645), Catalogo_gestiones!$A:$B, 2, FALSE)</f>
        <v>N</v>
      </c>
    </row>
    <row r="1646" spans="1:5" x14ac:dyDescent="0.25">
      <c r="A1646">
        <v>8381568</v>
      </c>
      <c r="B1646">
        <v>24024759</v>
      </c>
      <c r="C1646" s="1">
        <v>42530</v>
      </c>
      <c r="D1646" t="s">
        <v>27</v>
      </c>
      <c r="E1646" t="str">
        <f>VLOOKUP(TRIM(D1646), Catalogo_gestiones!$A:$B, 2, FALSE)</f>
        <v>S</v>
      </c>
    </row>
    <row r="1647" spans="1:5" x14ac:dyDescent="0.25">
      <c r="A1647">
        <v>8381582</v>
      </c>
      <c r="B1647">
        <v>1600919</v>
      </c>
      <c r="C1647" s="1">
        <v>42530</v>
      </c>
      <c r="D1647" t="s">
        <v>28</v>
      </c>
      <c r="E1647" t="str">
        <f>VLOOKUP(TRIM(D1647), Catalogo_gestiones!$A:$B, 2, FALSE)</f>
        <v>N</v>
      </c>
    </row>
    <row r="1648" spans="1:5" x14ac:dyDescent="0.25">
      <c r="A1648">
        <v>8382938</v>
      </c>
      <c r="B1648">
        <v>25819135</v>
      </c>
      <c r="C1648" s="1">
        <v>42530</v>
      </c>
      <c r="D1648" t="s">
        <v>24</v>
      </c>
      <c r="E1648" t="str">
        <f>VLOOKUP(TRIM(D1648), Catalogo_gestiones!$A:$B, 2, FALSE)</f>
        <v>S</v>
      </c>
    </row>
    <row r="1649" spans="1:5" x14ac:dyDescent="0.25">
      <c r="A1649">
        <v>8383104</v>
      </c>
      <c r="B1649">
        <v>26888580</v>
      </c>
      <c r="C1649" s="1">
        <v>42524</v>
      </c>
      <c r="D1649" t="s">
        <v>25</v>
      </c>
      <c r="E1649" t="str">
        <f>VLOOKUP(TRIM(D1649), Catalogo_gestiones!$A:$B, 2, FALSE)</f>
        <v>N</v>
      </c>
    </row>
    <row r="1650" spans="1:5" x14ac:dyDescent="0.25">
      <c r="A1650">
        <v>8383131</v>
      </c>
      <c r="B1650">
        <v>28586777</v>
      </c>
      <c r="C1650" s="1">
        <v>42526</v>
      </c>
      <c r="D1650" t="s">
        <v>26</v>
      </c>
      <c r="E1650" t="str">
        <f>VLOOKUP(TRIM(D1650), Catalogo_gestiones!$A:$B, 2, FALSE)</f>
        <v>N</v>
      </c>
    </row>
    <row r="1651" spans="1:5" x14ac:dyDescent="0.25">
      <c r="A1651">
        <v>8383281</v>
      </c>
      <c r="B1651">
        <v>27039709</v>
      </c>
      <c r="C1651" s="1">
        <v>42530</v>
      </c>
      <c r="D1651" t="s">
        <v>27</v>
      </c>
      <c r="E1651" t="str">
        <f>VLOOKUP(TRIM(D1651), Catalogo_gestiones!$A:$B, 2, FALSE)</f>
        <v>S</v>
      </c>
    </row>
    <row r="1652" spans="1:5" x14ac:dyDescent="0.25">
      <c r="A1652">
        <v>8383527</v>
      </c>
      <c r="B1652">
        <v>25219269</v>
      </c>
      <c r="C1652" s="1">
        <v>42530</v>
      </c>
      <c r="D1652" t="s">
        <v>28</v>
      </c>
      <c r="E1652" t="str">
        <f>VLOOKUP(TRIM(D1652), Catalogo_gestiones!$A:$B, 2, FALSE)</f>
        <v>N</v>
      </c>
    </row>
    <row r="1653" spans="1:5" x14ac:dyDescent="0.25">
      <c r="A1653">
        <v>8383527</v>
      </c>
      <c r="B1653">
        <v>25848524</v>
      </c>
      <c r="C1653" s="1">
        <v>42530</v>
      </c>
      <c r="D1653" t="s">
        <v>24</v>
      </c>
      <c r="E1653" t="str">
        <f>VLOOKUP(TRIM(D1653), Catalogo_gestiones!$A:$B, 2, FALSE)</f>
        <v>S</v>
      </c>
    </row>
    <row r="1654" spans="1:5" x14ac:dyDescent="0.25">
      <c r="A1654">
        <v>8383627</v>
      </c>
      <c r="B1654">
        <v>23902937</v>
      </c>
      <c r="C1654" s="1">
        <v>42530</v>
      </c>
      <c r="D1654" t="s">
        <v>25</v>
      </c>
      <c r="E1654" t="str">
        <f>VLOOKUP(TRIM(D1654), Catalogo_gestiones!$A:$B, 2, FALSE)</f>
        <v>N</v>
      </c>
    </row>
    <row r="1655" spans="1:5" x14ac:dyDescent="0.25">
      <c r="A1655">
        <v>8383673</v>
      </c>
      <c r="B1655">
        <v>28556606</v>
      </c>
      <c r="C1655" s="1">
        <v>42526</v>
      </c>
      <c r="D1655" t="s">
        <v>26</v>
      </c>
      <c r="E1655" t="str">
        <f>VLOOKUP(TRIM(D1655), Catalogo_gestiones!$A:$B, 2, FALSE)</f>
        <v>N</v>
      </c>
    </row>
    <row r="1656" spans="1:5" x14ac:dyDescent="0.25">
      <c r="A1656">
        <v>8383674</v>
      </c>
      <c r="B1656">
        <v>12272527</v>
      </c>
      <c r="C1656" s="1">
        <v>42530</v>
      </c>
      <c r="D1656" t="s">
        <v>27</v>
      </c>
      <c r="E1656" t="str">
        <f>VLOOKUP(TRIM(D1656), Catalogo_gestiones!$A:$B, 2, FALSE)</f>
        <v>S</v>
      </c>
    </row>
    <row r="1657" spans="1:5" x14ac:dyDescent="0.25">
      <c r="A1657">
        <v>8383790</v>
      </c>
      <c r="B1657">
        <v>20615340</v>
      </c>
      <c r="C1657" s="1">
        <v>42530</v>
      </c>
      <c r="D1657" t="s">
        <v>28</v>
      </c>
      <c r="E1657" t="str">
        <f>VLOOKUP(TRIM(D1657), Catalogo_gestiones!$A:$B, 2, FALSE)</f>
        <v>N</v>
      </c>
    </row>
    <row r="1658" spans="1:5" x14ac:dyDescent="0.25">
      <c r="A1658">
        <v>8383790</v>
      </c>
      <c r="B1658">
        <v>23064001</v>
      </c>
      <c r="C1658" s="1">
        <v>42530</v>
      </c>
      <c r="D1658" t="s">
        <v>30</v>
      </c>
      <c r="E1658" t="str">
        <f>VLOOKUP(TRIM(D1658), Catalogo_gestiones!$A:$B, 2, FALSE)</f>
        <v>S</v>
      </c>
    </row>
    <row r="1659" spans="1:5" x14ac:dyDescent="0.25">
      <c r="A1659">
        <v>8386841</v>
      </c>
      <c r="B1659">
        <v>27903220</v>
      </c>
      <c r="C1659" s="1">
        <v>42530</v>
      </c>
      <c r="D1659" t="s">
        <v>24</v>
      </c>
      <c r="E1659" t="str">
        <f>VLOOKUP(TRIM(D1659), Catalogo_gestiones!$A:$B, 2, FALSE)</f>
        <v>S</v>
      </c>
    </row>
    <row r="1660" spans="1:5" x14ac:dyDescent="0.25">
      <c r="A1660">
        <v>8386894</v>
      </c>
      <c r="B1660">
        <v>28557300</v>
      </c>
      <c r="C1660" s="1">
        <v>42526</v>
      </c>
      <c r="D1660" t="s">
        <v>25</v>
      </c>
      <c r="E1660" t="str">
        <f>VLOOKUP(TRIM(D1660), Catalogo_gestiones!$A:$B, 2, FALSE)</f>
        <v>N</v>
      </c>
    </row>
    <row r="1661" spans="1:5" x14ac:dyDescent="0.25">
      <c r="A1661">
        <v>8430809</v>
      </c>
      <c r="B1661">
        <v>28586844</v>
      </c>
      <c r="C1661" s="1">
        <v>42526</v>
      </c>
      <c r="D1661" t="s">
        <v>26</v>
      </c>
      <c r="E1661" t="str">
        <f>VLOOKUP(TRIM(D1661), Catalogo_gestiones!$A:$B, 2, FALSE)</f>
        <v>N</v>
      </c>
    </row>
    <row r="1662" spans="1:5" x14ac:dyDescent="0.25">
      <c r="A1662">
        <v>8430812</v>
      </c>
      <c r="B1662">
        <v>28586366</v>
      </c>
      <c r="C1662" s="1">
        <v>42526</v>
      </c>
      <c r="D1662" t="s">
        <v>27</v>
      </c>
      <c r="E1662" t="str">
        <f>VLOOKUP(TRIM(D1662), Catalogo_gestiones!$A:$B, 2, FALSE)</f>
        <v>S</v>
      </c>
    </row>
    <row r="1663" spans="1:5" x14ac:dyDescent="0.25">
      <c r="A1663">
        <v>8440122</v>
      </c>
      <c r="B1663">
        <v>22624325</v>
      </c>
      <c r="C1663" s="1">
        <v>42530</v>
      </c>
      <c r="D1663" t="s">
        <v>28</v>
      </c>
      <c r="E1663" t="str">
        <f>VLOOKUP(TRIM(D1663), Catalogo_gestiones!$A:$B, 2, FALSE)</f>
        <v>N</v>
      </c>
    </row>
    <row r="1664" spans="1:5" x14ac:dyDescent="0.25">
      <c r="A1664">
        <v>8443989</v>
      </c>
      <c r="B1664">
        <v>28249575</v>
      </c>
      <c r="C1664" s="1">
        <v>42530</v>
      </c>
      <c r="D1664" t="s">
        <v>24</v>
      </c>
      <c r="E1664" t="str">
        <f>VLOOKUP(TRIM(D1664), Catalogo_gestiones!$A:$B, 2, FALSE)</f>
        <v>S</v>
      </c>
    </row>
    <row r="1665" spans="1:5" x14ac:dyDescent="0.25">
      <c r="A1665">
        <v>8444004</v>
      </c>
      <c r="B1665">
        <v>2718004</v>
      </c>
      <c r="C1665" s="1">
        <v>42526</v>
      </c>
      <c r="D1665" t="s">
        <v>25</v>
      </c>
      <c r="E1665" t="str">
        <f>VLOOKUP(TRIM(D1665), Catalogo_gestiones!$A:$B, 2, FALSE)</f>
        <v>N</v>
      </c>
    </row>
    <row r="1666" spans="1:5" x14ac:dyDescent="0.25">
      <c r="A1666">
        <v>8457400</v>
      </c>
      <c r="B1666">
        <v>21487456</v>
      </c>
      <c r="C1666" s="1">
        <v>42530</v>
      </c>
      <c r="D1666" t="s">
        <v>26</v>
      </c>
      <c r="E1666" t="str">
        <f>VLOOKUP(TRIM(D1666), Catalogo_gestiones!$A:$B, 2, FALSE)</f>
        <v>N</v>
      </c>
    </row>
    <row r="1667" spans="1:5" x14ac:dyDescent="0.25">
      <c r="A1667">
        <v>8457400</v>
      </c>
      <c r="B1667">
        <v>26021997</v>
      </c>
      <c r="C1667" s="1">
        <v>42530</v>
      </c>
      <c r="D1667" t="s">
        <v>27</v>
      </c>
      <c r="E1667" t="str">
        <f>VLOOKUP(TRIM(D1667), Catalogo_gestiones!$A:$B, 2, FALSE)</f>
        <v>S</v>
      </c>
    </row>
    <row r="1668" spans="1:5" x14ac:dyDescent="0.25">
      <c r="A1668">
        <v>8457400</v>
      </c>
      <c r="B1668">
        <v>26021998</v>
      </c>
      <c r="C1668" s="1">
        <v>42530</v>
      </c>
      <c r="D1668" t="s">
        <v>28</v>
      </c>
      <c r="E1668" t="str">
        <f>VLOOKUP(TRIM(D1668), Catalogo_gestiones!$A:$B, 2, FALSE)</f>
        <v>N</v>
      </c>
    </row>
    <row r="1669" spans="1:5" x14ac:dyDescent="0.25">
      <c r="A1669">
        <v>8457400</v>
      </c>
      <c r="B1669">
        <v>26023265</v>
      </c>
      <c r="C1669" s="1">
        <v>42530</v>
      </c>
      <c r="D1669" t="s">
        <v>24</v>
      </c>
      <c r="E1669" t="str">
        <f>VLOOKUP(TRIM(D1669), Catalogo_gestiones!$A:$B, 2, FALSE)</f>
        <v>S</v>
      </c>
    </row>
    <row r="1670" spans="1:5" x14ac:dyDescent="0.25">
      <c r="A1670">
        <v>8465959</v>
      </c>
      <c r="B1670">
        <v>14265420</v>
      </c>
      <c r="C1670" s="1">
        <v>42530</v>
      </c>
      <c r="D1670" t="s">
        <v>25</v>
      </c>
      <c r="E1670" t="str">
        <f>VLOOKUP(TRIM(D1670), Catalogo_gestiones!$A:$B, 2, FALSE)</f>
        <v>N</v>
      </c>
    </row>
    <row r="1671" spans="1:5" x14ac:dyDescent="0.25">
      <c r="A1671">
        <v>8465959</v>
      </c>
      <c r="B1671">
        <v>21268933</v>
      </c>
      <c r="C1671" s="1">
        <v>42530</v>
      </c>
      <c r="D1671" t="s">
        <v>26</v>
      </c>
      <c r="E1671" t="str">
        <f>VLOOKUP(TRIM(D1671), Catalogo_gestiones!$A:$B, 2, FALSE)</f>
        <v>N</v>
      </c>
    </row>
    <row r="1672" spans="1:5" x14ac:dyDescent="0.25">
      <c r="A1672">
        <v>8465980</v>
      </c>
      <c r="B1672">
        <v>23671050</v>
      </c>
      <c r="C1672" s="1">
        <v>42530</v>
      </c>
      <c r="D1672" t="s">
        <v>27</v>
      </c>
      <c r="E1672" t="str">
        <f>VLOOKUP(TRIM(D1672), Catalogo_gestiones!$A:$B, 2, FALSE)</f>
        <v>S</v>
      </c>
    </row>
    <row r="1673" spans="1:5" x14ac:dyDescent="0.25">
      <c r="A1673">
        <v>8466023</v>
      </c>
      <c r="B1673">
        <v>23657184</v>
      </c>
      <c r="C1673" s="1">
        <v>42530</v>
      </c>
      <c r="D1673" t="s">
        <v>28</v>
      </c>
      <c r="E1673" t="str">
        <f>VLOOKUP(TRIM(D1673), Catalogo_gestiones!$A:$B, 2, FALSE)</f>
        <v>N</v>
      </c>
    </row>
    <row r="1674" spans="1:5" x14ac:dyDescent="0.25">
      <c r="A1674">
        <v>8466023</v>
      </c>
      <c r="B1674">
        <v>23657673</v>
      </c>
      <c r="C1674" s="1">
        <v>42530</v>
      </c>
      <c r="D1674" t="s">
        <v>30</v>
      </c>
      <c r="E1674" t="str">
        <f>VLOOKUP(TRIM(D1674), Catalogo_gestiones!$A:$B, 2, FALSE)</f>
        <v>S</v>
      </c>
    </row>
    <row r="1675" spans="1:5" x14ac:dyDescent="0.25">
      <c r="A1675">
        <v>8466043</v>
      </c>
      <c r="B1675">
        <v>20875844</v>
      </c>
      <c r="C1675" s="1">
        <v>42530</v>
      </c>
      <c r="D1675" t="s">
        <v>24</v>
      </c>
      <c r="E1675" t="str">
        <f>VLOOKUP(TRIM(D1675), Catalogo_gestiones!$A:$B, 2, FALSE)</f>
        <v>S</v>
      </c>
    </row>
    <row r="1676" spans="1:5" x14ac:dyDescent="0.25">
      <c r="A1676">
        <v>8466043</v>
      </c>
      <c r="B1676">
        <v>22082240</v>
      </c>
      <c r="C1676" s="1">
        <v>42530</v>
      </c>
      <c r="D1676" t="s">
        <v>25</v>
      </c>
      <c r="E1676" t="str">
        <f>VLOOKUP(TRIM(D1676), Catalogo_gestiones!$A:$B, 2, FALSE)</f>
        <v>N</v>
      </c>
    </row>
    <row r="1677" spans="1:5" x14ac:dyDescent="0.25">
      <c r="A1677">
        <v>8466043</v>
      </c>
      <c r="B1677">
        <v>23974043</v>
      </c>
      <c r="C1677" s="1">
        <v>42530</v>
      </c>
      <c r="D1677" t="s">
        <v>26</v>
      </c>
      <c r="E1677" t="str">
        <f>VLOOKUP(TRIM(D1677), Catalogo_gestiones!$A:$B, 2, FALSE)</f>
        <v>N</v>
      </c>
    </row>
    <row r="1678" spans="1:5" x14ac:dyDescent="0.25">
      <c r="A1678">
        <v>8466043</v>
      </c>
      <c r="B1678">
        <v>24033068</v>
      </c>
      <c r="C1678" s="1">
        <v>42530</v>
      </c>
      <c r="D1678" t="s">
        <v>27</v>
      </c>
      <c r="E1678" t="str">
        <f>VLOOKUP(TRIM(D1678), Catalogo_gestiones!$A:$B, 2, FALSE)</f>
        <v>S</v>
      </c>
    </row>
    <row r="1679" spans="1:5" x14ac:dyDescent="0.25">
      <c r="A1679">
        <v>8466082</v>
      </c>
      <c r="B1679">
        <v>21029378</v>
      </c>
      <c r="C1679" s="1">
        <v>42524</v>
      </c>
      <c r="D1679" t="s">
        <v>28</v>
      </c>
      <c r="E1679" t="str">
        <f>VLOOKUP(TRIM(D1679), Catalogo_gestiones!$A:$B, 2, FALSE)</f>
        <v>N</v>
      </c>
    </row>
    <row r="1680" spans="1:5" x14ac:dyDescent="0.25">
      <c r="A1680">
        <v>8470835</v>
      </c>
      <c r="B1680">
        <v>27193657</v>
      </c>
      <c r="C1680" s="1">
        <v>42530</v>
      </c>
      <c r="D1680" t="s">
        <v>24</v>
      </c>
      <c r="E1680" t="str">
        <f>VLOOKUP(TRIM(D1680), Catalogo_gestiones!$A:$B, 2, FALSE)</f>
        <v>S</v>
      </c>
    </row>
    <row r="1681" spans="1:5" x14ac:dyDescent="0.25">
      <c r="A1681">
        <v>8470894</v>
      </c>
      <c r="B1681">
        <v>24320598</v>
      </c>
      <c r="C1681" s="1">
        <v>42524</v>
      </c>
      <c r="D1681" t="s">
        <v>25</v>
      </c>
      <c r="E1681" t="str">
        <f>VLOOKUP(TRIM(D1681), Catalogo_gestiones!$A:$B, 2, FALSE)</f>
        <v>N</v>
      </c>
    </row>
    <row r="1682" spans="1:5" x14ac:dyDescent="0.25">
      <c r="A1682">
        <v>8471172</v>
      </c>
      <c r="B1682">
        <v>18354113</v>
      </c>
      <c r="C1682" s="1">
        <v>42530</v>
      </c>
      <c r="D1682" t="s">
        <v>26</v>
      </c>
      <c r="E1682" t="str">
        <f>VLOOKUP(TRIM(D1682), Catalogo_gestiones!$A:$B, 2, FALSE)</f>
        <v>N</v>
      </c>
    </row>
    <row r="1683" spans="1:5" x14ac:dyDescent="0.25">
      <c r="A1683">
        <v>8471455</v>
      </c>
      <c r="B1683">
        <v>22923812</v>
      </c>
      <c r="C1683" s="1">
        <v>42530</v>
      </c>
      <c r="D1683" t="s">
        <v>27</v>
      </c>
      <c r="E1683" t="str">
        <f>VLOOKUP(TRIM(D1683), Catalogo_gestiones!$A:$B, 2, FALSE)</f>
        <v>S</v>
      </c>
    </row>
    <row r="1684" spans="1:5" x14ac:dyDescent="0.25">
      <c r="A1684">
        <v>8483919</v>
      </c>
      <c r="B1684">
        <v>26346244</v>
      </c>
      <c r="C1684" s="1">
        <v>42524</v>
      </c>
      <c r="D1684" t="s">
        <v>28</v>
      </c>
      <c r="E1684" t="str">
        <f>VLOOKUP(TRIM(D1684), Catalogo_gestiones!$A:$B, 2, FALSE)</f>
        <v>N</v>
      </c>
    </row>
    <row r="1685" spans="1:5" x14ac:dyDescent="0.25">
      <c r="A1685">
        <v>8484108</v>
      </c>
      <c r="B1685">
        <v>24010205</v>
      </c>
      <c r="C1685" s="1">
        <v>42530</v>
      </c>
      <c r="D1685" t="s">
        <v>24</v>
      </c>
      <c r="E1685" t="str">
        <f>VLOOKUP(TRIM(D1685), Catalogo_gestiones!$A:$B, 2, FALSE)</f>
        <v>S</v>
      </c>
    </row>
    <row r="1686" spans="1:5" x14ac:dyDescent="0.25">
      <c r="A1686">
        <v>8485525</v>
      </c>
      <c r="B1686">
        <v>1469200</v>
      </c>
      <c r="C1686" s="1">
        <v>42530</v>
      </c>
      <c r="D1686" t="s">
        <v>25</v>
      </c>
      <c r="E1686" t="str">
        <f>VLOOKUP(TRIM(D1686), Catalogo_gestiones!$A:$B, 2, FALSE)</f>
        <v>N</v>
      </c>
    </row>
    <row r="1687" spans="1:5" x14ac:dyDescent="0.25">
      <c r="A1687">
        <v>8485525</v>
      </c>
      <c r="B1687">
        <v>2407079</v>
      </c>
      <c r="C1687" s="1">
        <v>42530</v>
      </c>
      <c r="D1687" t="s">
        <v>26</v>
      </c>
      <c r="E1687" t="str">
        <f>VLOOKUP(TRIM(D1687), Catalogo_gestiones!$A:$B, 2, FALSE)</f>
        <v>N</v>
      </c>
    </row>
    <row r="1688" spans="1:5" x14ac:dyDescent="0.25">
      <c r="A1688">
        <v>8485525</v>
      </c>
      <c r="B1688">
        <v>23930618</v>
      </c>
      <c r="C1688" s="1">
        <v>42530</v>
      </c>
      <c r="D1688" t="s">
        <v>27</v>
      </c>
      <c r="E1688" t="str">
        <f>VLOOKUP(TRIM(D1688), Catalogo_gestiones!$A:$B, 2, FALSE)</f>
        <v>S</v>
      </c>
    </row>
    <row r="1689" spans="1:5" x14ac:dyDescent="0.25">
      <c r="A1689">
        <v>8485525</v>
      </c>
      <c r="B1689">
        <v>24887918</v>
      </c>
      <c r="C1689" s="1">
        <v>42530</v>
      </c>
      <c r="D1689" t="s">
        <v>28</v>
      </c>
      <c r="E1689" t="str">
        <f>VLOOKUP(TRIM(D1689), Catalogo_gestiones!$A:$B, 2, FALSE)</f>
        <v>N</v>
      </c>
    </row>
    <row r="1690" spans="1:5" x14ac:dyDescent="0.25">
      <c r="A1690">
        <v>8485525</v>
      </c>
      <c r="B1690">
        <v>24947872</v>
      </c>
      <c r="C1690" s="1">
        <v>42530</v>
      </c>
      <c r="D1690" t="s">
        <v>30</v>
      </c>
      <c r="E1690" t="str">
        <f>VLOOKUP(TRIM(D1690), Catalogo_gestiones!$A:$B, 2, FALSE)</f>
        <v>S</v>
      </c>
    </row>
    <row r="1691" spans="1:5" x14ac:dyDescent="0.25">
      <c r="A1691">
        <v>8485525</v>
      </c>
      <c r="B1691">
        <v>26183633</v>
      </c>
      <c r="C1691" s="1">
        <v>42530</v>
      </c>
      <c r="D1691" t="s">
        <v>24</v>
      </c>
      <c r="E1691" t="str">
        <f>VLOOKUP(TRIM(D1691), Catalogo_gestiones!$A:$B, 2, FALSE)</f>
        <v>S</v>
      </c>
    </row>
    <row r="1692" spans="1:5" x14ac:dyDescent="0.25">
      <c r="A1692">
        <v>8485525</v>
      </c>
      <c r="B1692">
        <v>26547564</v>
      </c>
      <c r="C1692" s="1">
        <v>42530</v>
      </c>
      <c r="D1692" t="s">
        <v>25</v>
      </c>
      <c r="E1692" t="str">
        <f>VLOOKUP(TRIM(D1692), Catalogo_gestiones!$A:$B, 2, FALSE)</f>
        <v>N</v>
      </c>
    </row>
    <row r="1693" spans="1:5" x14ac:dyDescent="0.25">
      <c r="A1693">
        <v>8485525</v>
      </c>
      <c r="B1693">
        <v>26839896</v>
      </c>
      <c r="C1693" s="1">
        <v>42530</v>
      </c>
      <c r="D1693" t="s">
        <v>26</v>
      </c>
      <c r="E1693" t="str">
        <f>VLOOKUP(TRIM(D1693), Catalogo_gestiones!$A:$B, 2, FALSE)</f>
        <v>N</v>
      </c>
    </row>
    <row r="1694" spans="1:5" x14ac:dyDescent="0.25">
      <c r="A1694">
        <v>8485611</v>
      </c>
      <c r="B1694">
        <v>19639856</v>
      </c>
      <c r="C1694" s="1">
        <v>42530</v>
      </c>
      <c r="D1694" t="s">
        <v>27</v>
      </c>
      <c r="E1694" t="str">
        <f>VLOOKUP(TRIM(D1694), Catalogo_gestiones!$A:$B, 2, FALSE)</f>
        <v>S</v>
      </c>
    </row>
    <row r="1695" spans="1:5" x14ac:dyDescent="0.25">
      <c r="A1695">
        <v>8486068</v>
      </c>
      <c r="B1695">
        <v>25445221</v>
      </c>
      <c r="C1695" s="1">
        <v>42530</v>
      </c>
      <c r="D1695" t="s">
        <v>28</v>
      </c>
      <c r="E1695" t="str">
        <f>VLOOKUP(TRIM(D1695), Catalogo_gestiones!$A:$B, 2, FALSE)</f>
        <v>N</v>
      </c>
    </row>
    <row r="1696" spans="1:5" x14ac:dyDescent="0.25">
      <c r="A1696">
        <v>8486068</v>
      </c>
      <c r="B1696">
        <v>27085828</v>
      </c>
      <c r="C1696" s="1">
        <v>42530</v>
      </c>
      <c r="D1696" t="s">
        <v>24</v>
      </c>
      <c r="E1696" t="str">
        <f>VLOOKUP(TRIM(D1696), Catalogo_gestiones!$A:$B, 2, FALSE)</f>
        <v>S</v>
      </c>
    </row>
    <row r="1697" spans="1:5" x14ac:dyDescent="0.25">
      <c r="A1697">
        <v>8486233</v>
      </c>
      <c r="B1697">
        <v>26369161</v>
      </c>
      <c r="C1697" s="1">
        <v>42530</v>
      </c>
      <c r="D1697" t="s">
        <v>25</v>
      </c>
      <c r="E1697" t="str">
        <f>VLOOKUP(TRIM(D1697), Catalogo_gestiones!$A:$B, 2, FALSE)</f>
        <v>N</v>
      </c>
    </row>
    <row r="1698" spans="1:5" x14ac:dyDescent="0.25">
      <c r="A1698">
        <v>8486527</v>
      </c>
      <c r="B1698">
        <v>23843578</v>
      </c>
      <c r="C1698" s="1">
        <v>42530</v>
      </c>
      <c r="D1698" t="s">
        <v>26</v>
      </c>
      <c r="E1698" t="str">
        <f>VLOOKUP(TRIM(D1698), Catalogo_gestiones!$A:$B, 2, FALSE)</f>
        <v>N</v>
      </c>
    </row>
    <row r="1699" spans="1:5" x14ac:dyDescent="0.25">
      <c r="A1699">
        <v>8486527</v>
      </c>
      <c r="B1699">
        <v>23868894</v>
      </c>
      <c r="C1699" s="1">
        <v>42530</v>
      </c>
      <c r="D1699" t="s">
        <v>27</v>
      </c>
      <c r="E1699" t="str">
        <f>VLOOKUP(TRIM(D1699), Catalogo_gestiones!$A:$B, 2, FALSE)</f>
        <v>S</v>
      </c>
    </row>
    <row r="1700" spans="1:5" x14ac:dyDescent="0.25">
      <c r="A1700">
        <v>8486527</v>
      </c>
      <c r="B1700">
        <v>24371347</v>
      </c>
      <c r="C1700" s="1">
        <v>42530</v>
      </c>
      <c r="D1700" t="s">
        <v>28</v>
      </c>
      <c r="E1700" t="str">
        <f>VLOOKUP(TRIM(D1700), Catalogo_gestiones!$A:$B, 2, FALSE)</f>
        <v>N</v>
      </c>
    </row>
    <row r="1701" spans="1:5" x14ac:dyDescent="0.25">
      <c r="A1701">
        <v>8486686</v>
      </c>
      <c r="B1701">
        <v>16157140</v>
      </c>
      <c r="C1701" s="1">
        <v>42530</v>
      </c>
      <c r="D1701" t="s">
        <v>24</v>
      </c>
      <c r="E1701" t="str">
        <f>VLOOKUP(TRIM(D1701), Catalogo_gestiones!$A:$B, 2, FALSE)</f>
        <v>S</v>
      </c>
    </row>
    <row r="1702" spans="1:5" x14ac:dyDescent="0.25">
      <c r="A1702">
        <v>8486807</v>
      </c>
      <c r="B1702">
        <v>27598664</v>
      </c>
      <c r="C1702" s="1">
        <v>42530</v>
      </c>
      <c r="D1702" t="s">
        <v>25</v>
      </c>
      <c r="E1702" t="str">
        <f>VLOOKUP(TRIM(D1702), Catalogo_gestiones!$A:$B, 2, FALSE)</f>
        <v>N</v>
      </c>
    </row>
    <row r="1703" spans="1:5" x14ac:dyDescent="0.25">
      <c r="A1703">
        <v>8487330</v>
      </c>
      <c r="B1703">
        <v>22547293</v>
      </c>
      <c r="C1703" s="1">
        <v>42530</v>
      </c>
      <c r="D1703" t="s">
        <v>26</v>
      </c>
      <c r="E1703" t="str">
        <f>VLOOKUP(TRIM(D1703), Catalogo_gestiones!$A:$B, 2, FALSE)</f>
        <v>N</v>
      </c>
    </row>
    <row r="1704" spans="1:5" x14ac:dyDescent="0.25">
      <c r="A1704">
        <v>8487332</v>
      </c>
      <c r="B1704">
        <v>4441692</v>
      </c>
      <c r="C1704" s="1">
        <v>42530</v>
      </c>
      <c r="D1704" t="s">
        <v>27</v>
      </c>
      <c r="E1704" t="str">
        <f>VLOOKUP(TRIM(D1704), Catalogo_gestiones!$A:$B, 2, FALSE)</f>
        <v>S</v>
      </c>
    </row>
    <row r="1705" spans="1:5" x14ac:dyDescent="0.25">
      <c r="A1705">
        <v>8487332</v>
      </c>
      <c r="B1705">
        <v>21577757</v>
      </c>
      <c r="C1705" s="1">
        <v>42531</v>
      </c>
      <c r="D1705" t="s">
        <v>28</v>
      </c>
      <c r="E1705" t="str">
        <f>VLOOKUP(TRIM(D1705), Catalogo_gestiones!$A:$B, 2, FALSE)</f>
        <v>N</v>
      </c>
    </row>
    <row r="1706" spans="1:5" x14ac:dyDescent="0.25">
      <c r="A1706">
        <v>8487669</v>
      </c>
      <c r="B1706">
        <v>24385491</v>
      </c>
      <c r="C1706" s="1">
        <v>42530</v>
      </c>
      <c r="D1706" t="s">
        <v>30</v>
      </c>
      <c r="E1706" t="str">
        <f>VLOOKUP(TRIM(D1706), Catalogo_gestiones!$A:$B, 2, FALSE)</f>
        <v>S</v>
      </c>
    </row>
    <row r="1707" spans="1:5" x14ac:dyDescent="0.25">
      <c r="A1707">
        <v>8487742</v>
      </c>
      <c r="B1707">
        <v>22273203</v>
      </c>
      <c r="C1707" s="1">
        <v>42530</v>
      </c>
      <c r="D1707" t="s">
        <v>24</v>
      </c>
      <c r="E1707" t="str">
        <f>VLOOKUP(TRIM(D1707), Catalogo_gestiones!$A:$B, 2, FALSE)</f>
        <v>S</v>
      </c>
    </row>
    <row r="1708" spans="1:5" x14ac:dyDescent="0.25">
      <c r="A1708">
        <v>8487795</v>
      </c>
      <c r="B1708">
        <v>25989548</v>
      </c>
      <c r="C1708" s="1">
        <v>42530</v>
      </c>
      <c r="D1708" t="s">
        <v>25</v>
      </c>
      <c r="E1708" t="str">
        <f>VLOOKUP(TRIM(D1708), Catalogo_gestiones!$A:$B, 2, FALSE)</f>
        <v>N</v>
      </c>
    </row>
    <row r="1709" spans="1:5" x14ac:dyDescent="0.25">
      <c r="A1709">
        <v>8488069</v>
      </c>
      <c r="B1709">
        <v>26845371</v>
      </c>
      <c r="C1709" s="1">
        <v>42530</v>
      </c>
      <c r="D1709" t="s">
        <v>26</v>
      </c>
      <c r="E1709" t="str">
        <f>VLOOKUP(TRIM(D1709), Catalogo_gestiones!$A:$B, 2, FALSE)</f>
        <v>N</v>
      </c>
    </row>
    <row r="1710" spans="1:5" x14ac:dyDescent="0.25">
      <c r="A1710">
        <v>8488114</v>
      </c>
      <c r="B1710">
        <v>25928078</v>
      </c>
      <c r="C1710" s="1">
        <v>42530</v>
      </c>
      <c r="D1710" t="s">
        <v>27</v>
      </c>
      <c r="E1710" t="str">
        <f>VLOOKUP(TRIM(D1710), Catalogo_gestiones!$A:$B, 2, FALSE)</f>
        <v>S</v>
      </c>
    </row>
    <row r="1711" spans="1:5" x14ac:dyDescent="0.25">
      <c r="A1711">
        <v>8488114</v>
      </c>
      <c r="B1711">
        <v>25929542</v>
      </c>
      <c r="C1711" s="1">
        <v>42530</v>
      </c>
      <c r="D1711" t="s">
        <v>28</v>
      </c>
      <c r="E1711" t="str">
        <f>VLOOKUP(TRIM(D1711), Catalogo_gestiones!$A:$B, 2, FALSE)</f>
        <v>N</v>
      </c>
    </row>
    <row r="1712" spans="1:5" x14ac:dyDescent="0.25">
      <c r="A1712">
        <v>8488151</v>
      </c>
      <c r="B1712">
        <v>27177262</v>
      </c>
      <c r="C1712" s="1">
        <v>42530</v>
      </c>
      <c r="D1712" t="s">
        <v>24</v>
      </c>
      <c r="E1712" t="str">
        <f>VLOOKUP(TRIM(D1712), Catalogo_gestiones!$A:$B, 2, FALSE)</f>
        <v>S</v>
      </c>
    </row>
    <row r="1713" spans="1:5" x14ac:dyDescent="0.25">
      <c r="A1713">
        <v>8488441</v>
      </c>
      <c r="B1713">
        <v>19581466</v>
      </c>
      <c r="C1713" s="1">
        <v>42530</v>
      </c>
      <c r="D1713" t="s">
        <v>25</v>
      </c>
      <c r="E1713" t="str">
        <f>VLOOKUP(TRIM(D1713), Catalogo_gestiones!$A:$B, 2, FALSE)</f>
        <v>N</v>
      </c>
    </row>
    <row r="1714" spans="1:5" x14ac:dyDescent="0.25">
      <c r="A1714">
        <v>8488549</v>
      </c>
      <c r="B1714">
        <v>21549880</v>
      </c>
      <c r="C1714" s="1">
        <v>42531</v>
      </c>
      <c r="D1714" t="s">
        <v>26</v>
      </c>
      <c r="E1714" t="str">
        <f>VLOOKUP(TRIM(D1714), Catalogo_gestiones!$A:$B, 2, FALSE)</f>
        <v>N</v>
      </c>
    </row>
    <row r="1715" spans="1:5" x14ac:dyDescent="0.25">
      <c r="A1715">
        <v>8488549</v>
      </c>
      <c r="B1715">
        <v>26419172</v>
      </c>
      <c r="C1715" s="1">
        <v>42531</v>
      </c>
      <c r="D1715" t="s">
        <v>27</v>
      </c>
      <c r="E1715" t="str">
        <f>VLOOKUP(TRIM(D1715), Catalogo_gestiones!$A:$B, 2, FALSE)</f>
        <v>S</v>
      </c>
    </row>
    <row r="1716" spans="1:5" x14ac:dyDescent="0.25">
      <c r="A1716">
        <v>8488607</v>
      </c>
      <c r="B1716">
        <v>15630098</v>
      </c>
      <c r="C1716" s="1">
        <v>42530</v>
      </c>
      <c r="D1716" t="s">
        <v>28</v>
      </c>
      <c r="E1716" t="str">
        <f>VLOOKUP(TRIM(D1716), Catalogo_gestiones!$A:$B, 2, FALSE)</f>
        <v>N</v>
      </c>
    </row>
    <row r="1717" spans="1:5" x14ac:dyDescent="0.25">
      <c r="A1717">
        <v>8488607</v>
      </c>
      <c r="B1717">
        <v>16298760</v>
      </c>
      <c r="C1717" s="1">
        <v>42530</v>
      </c>
      <c r="D1717" t="s">
        <v>24</v>
      </c>
      <c r="E1717" t="str">
        <f>VLOOKUP(TRIM(D1717), Catalogo_gestiones!$A:$B, 2, FALSE)</f>
        <v>S</v>
      </c>
    </row>
    <row r="1718" spans="1:5" x14ac:dyDescent="0.25">
      <c r="A1718">
        <v>8488607</v>
      </c>
      <c r="B1718">
        <v>25367323</v>
      </c>
      <c r="C1718" s="1">
        <v>42530</v>
      </c>
      <c r="D1718" t="s">
        <v>25</v>
      </c>
      <c r="E1718" t="str">
        <f>VLOOKUP(TRIM(D1718), Catalogo_gestiones!$A:$B, 2, FALSE)</f>
        <v>N</v>
      </c>
    </row>
    <row r="1719" spans="1:5" x14ac:dyDescent="0.25">
      <c r="A1719">
        <v>8488668</v>
      </c>
      <c r="B1719">
        <v>25472034</v>
      </c>
      <c r="C1719" s="1">
        <v>42530</v>
      </c>
      <c r="D1719" t="s">
        <v>26</v>
      </c>
      <c r="E1719" t="str">
        <f>VLOOKUP(TRIM(D1719), Catalogo_gestiones!$A:$B, 2, FALSE)</f>
        <v>N</v>
      </c>
    </row>
    <row r="1720" spans="1:5" x14ac:dyDescent="0.25">
      <c r="A1720">
        <v>8488668</v>
      </c>
      <c r="B1720">
        <v>25483738</v>
      </c>
      <c r="C1720" s="1">
        <v>42530</v>
      </c>
      <c r="D1720" t="s">
        <v>27</v>
      </c>
      <c r="E1720" t="str">
        <f>VLOOKUP(TRIM(D1720), Catalogo_gestiones!$A:$B, 2, FALSE)</f>
        <v>S</v>
      </c>
    </row>
    <row r="1721" spans="1:5" x14ac:dyDescent="0.25">
      <c r="A1721">
        <v>8488982</v>
      </c>
      <c r="B1721">
        <v>24163017</v>
      </c>
      <c r="C1721" s="1">
        <v>42530</v>
      </c>
      <c r="D1721" t="s">
        <v>28</v>
      </c>
      <c r="E1721" t="str">
        <f>VLOOKUP(TRIM(D1721), Catalogo_gestiones!$A:$B, 2, FALSE)</f>
        <v>N</v>
      </c>
    </row>
    <row r="1722" spans="1:5" x14ac:dyDescent="0.25">
      <c r="A1722">
        <v>8489163</v>
      </c>
      <c r="B1722">
        <v>25275656</v>
      </c>
      <c r="C1722" s="1">
        <v>42530</v>
      </c>
      <c r="D1722" t="s">
        <v>30</v>
      </c>
      <c r="E1722" t="str">
        <f>VLOOKUP(TRIM(D1722), Catalogo_gestiones!$A:$B, 2, FALSE)</f>
        <v>S</v>
      </c>
    </row>
    <row r="1723" spans="1:5" x14ac:dyDescent="0.25">
      <c r="A1723">
        <v>8489318</v>
      </c>
      <c r="B1723">
        <v>25471498</v>
      </c>
      <c r="C1723" s="1">
        <v>42530</v>
      </c>
      <c r="D1723" t="s">
        <v>24</v>
      </c>
      <c r="E1723" t="str">
        <f>VLOOKUP(TRIM(D1723), Catalogo_gestiones!$A:$B, 2, FALSE)</f>
        <v>S</v>
      </c>
    </row>
    <row r="1724" spans="1:5" x14ac:dyDescent="0.25">
      <c r="A1724">
        <v>8489458</v>
      </c>
      <c r="B1724">
        <v>25194912</v>
      </c>
      <c r="C1724" s="1">
        <v>42530</v>
      </c>
      <c r="D1724" t="s">
        <v>25</v>
      </c>
      <c r="E1724" t="str">
        <f>VLOOKUP(TRIM(D1724), Catalogo_gestiones!$A:$B, 2, FALSE)</f>
        <v>N</v>
      </c>
    </row>
    <row r="1725" spans="1:5" x14ac:dyDescent="0.25">
      <c r="A1725">
        <v>8489458</v>
      </c>
      <c r="B1725">
        <v>26251506</v>
      </c>
      <c r="C1725" s="1">
        <v>42530</v>
      </c>
      <c r="D1725" t="s">
        <v>26</v>
      </c>
      <c r="E1725" t="str">
        <f>VLOOKUP(TRIM(D1725), Catalogo_gestiones!$A:$B, 2, FALSE)</f>
        <v>N</v>
      </c>
    </row>
    <row r="1726" spans="1:5" x14ac:dyDescent="0.25">
      <c r="A1726">
        <v>8489663</v>
      </c>
      <c r="B1726">
        <v>25490054</v>
      </c>
      <c r="C1726" s="1">
        <v>42530</v>
      </c>
      <c r="D1726" t="s">
        <v>27</v>
      </c>
      <c r="E1726" t="str">
        <f>VLOOKUP(TRIM(D1726), Catalogo_gestiones!$A:$B, 2, FALSE)</f>
        <v>S</v>
      </c>
    </row>
    <row r="1727" spans="1:5" x14ac:dyDescent="0.25">
      <c r="A1727">
        <v>8489663</v>
      </c>
      <c r="B1727">
        <v>27844618</v>
      </c>
      <c r="C1727" s="1">
        <v>42530</v>
      </c>
      <c r="D1727" t="s">
        <v>28</v>
      </c>
      <c r="E1727" t="str">
        <f>VLOOKUP(TRIM(D1727), Catalogo_gestiones!$A:$B, 2, FALSE)</f>
        <v>N</v>
      </c>
    </row>
    <row r="1728" spans="1:5" x14ac:dyDescent="0.25">
      <c r="A1728">
        <v>8489760</v>
      </c>
      <c r="B1728">
        <v>14047669</v>
      </c>
      <c r="C1728" s="1">
        <v>42530</v>
      </c>
      <c r="D1728" t="s">
        <v>24</v>
      </c>
      <c r="E1728" t="str">
        <f>VLOOKUP(TRIM(D1728), Catalogo_gestiones!$A:$B, 2, FALSE)</f>
        <v>S</v>
      </c>
    </row>
    <row r="1729" spans="1:5" x14ac:dyDescent="0.25">
      <c r="A1729">
        <v>8489760</v>
      </c>
      <c r="B1729">
        <v>15290708</v>
      </c>
      <c r="C1729" s="1">
        <v>42530</v>
      </c>
      <c r="D1729" t="s">
        <v>25</v>
      </c>
      <c r="E1729" t="str">
        <f>VLOOKUP(TRIM(D1729), Catalogo_gestiones!$A:$B, 2, FALSE)</f>
        <v>N</v>
      </c>
    </row>
    <row r="1730" spans="1:5" x14ac:dyDescent="0.25">
      <c r="A1730">
        <v>8489781</v>
      </c>
      <c r="B1730">
        <v>21416984</v>
      </c>
      <c r="C1730" s="1">
        <v>42530</v>
      </c>
      <c r="D1730" t="s">
        <v>26</v>
      </c>
      <c r="E1730" t="str">
        <f>VLOOKUP(TRIM(D1730), Catalogo_gestiones!$A:$B, 2, FALSE)</f>
        <v>N</v>
      </c>
    </row>
    <row r="1731" spans="1:5" x14ac:dyDescent="0.25">
      <c r="A1731">
        <v>8489786</v>
      </c>
      <c r="B1731">
        <v>26575860</v>
      </c>
      <c r="C1731" s="1">
        <v>42530</v>
      </c>
      <c r="D1731" t="s">
        <v>27</v>
      </c>
      <c r="E1731" t="str">
        <f>VLOOKUP(TRIM(D1731), Catalogo_gestiones!$A:$B, 2, FALSE)</f>
        <v>S</v>
      </c>
    </row>
    <row r="1732" spans="1:5" x14ac:dyDescent="0.25">
      <c r="A1732">
        <v>8489792</v>
      </c>
      <c r="B1732">
        <v>20199251</v>
      </c>
      <c r="C1732" s="1">
        <v>42530</v>
      </c>
      <c r="D1732" t="s">
        <v>28</v>
      </c>
      <c r="E1732" t="str">
        <f>VLOOKUP(TRIM(D1732), Catalogo_gestiones!$A:$B, 2, FALSE)</f>
        <v>N</v>
      </c>
    </row>
    <row r="1733" spans="1:5" x14ac:dyDescent="0.25">
      <c r="A1733">
        <v>8489792</v>
      </c>
      <c r="B1733">
        <v>20199357</v>
      </c>
      <c r="C1733" s="1">
        <v>42530</v>
      </c>
      <c r="D1733" t="s">
        <v>24</v>
      </c>
      <c r="E1733" t="str">
        <f>VLOOKUP(TRIM(D1733), Catalogo_gestiones!$A:$B, 2, FALSE)</f>
        <v>S</v>
      </c>
    </row>
    <row r="1734" spans="1:5" x14ac:dyDescent="0.25">
      <c r="A1734">
        <v>8489814</v>
      </c>
      <c r="B1734">
        <v>27893831</v>
      </c>
      <c r="C1734" s="1">
        <v>42524</v>
      </c>
      <c r="D1734" t="s">
        <v>25</v>
      </c>
      <c r="E1734" t="str">
        <f>VLOOKUP(TRIM(D1734), Catalogo_gestiones!$A:$B, 2, FALSE)</f>
        <v>N</v>
      </c>
    </row>
    <row r="1735" spans="1:5" x14ac:dyDescent="0.25">
      <c r="A1735">
        <v>8489859</v>
      </c>
      <c r="B1735">
        <v>21249039</v>
      </c>
      <c r="C1735" s="1">
        <v>42530</v>
      </c>
      <c r="D1735" t="s">
        <v>26</v>
      </c>
      <c r="E1735" t="str">
        <f>VLOOKUP(TRIM(D1735), Catalogo_gestiones!$A:$B, 2, FALSE)</f>
        <v>N</v>
      </c>
    </row>
    <row r="1736" spans="1:5" x14ac:dyDescent="0.25">
      <c r="A1736">
        <v>8489892</v>
      </c>
      <c r="B1736">
        <v>20521084</v>
      </c>
      <c r="C1736" s="1">
        <v>42530</v>
      </c>
      <c r="D1736" t="s">
        <v>27</v>
      </c>
      <c r="E1736" t="str">
        <f>VLOOKUP(TRIM(D1736), Catalogo_gestiones!$A:$B, 2, FALSE)</f>
        <v>S</v>
      </c>
    </row>
    <row r="1737" spans="1:5" x14ac:dyDescent="0.25">
      <c r="A1737">
        <v>8489935</v>
      </c>
      <c r="B1737">
        <v>21568705</v>
      </c>
      <c r="C1737" s="1">
        <v>42524</v>
      </c>
      <c r="D1737" t="s">
        <v>28</v>
      </c>
      <c r="E1737" t="str">
        <f>VLOOKUP(TRIM(D1737), Catalogo_gestiones!$A:$B, 2, FALSE)</f>
        <v>N</v>
      </c>
    </row>
    <row r="1738" spans="1:5" x14ac:dyDescent="0.25">
      <c r="A1738">
        <v>8489978</v>
      </c>
      <c r="B1738">
        <v>25970137</v>
      </c>
      <c r="C1738" s="1">
        <v>42530</v>
      </c>
      <c r="D1738" t="s">
        <v>30</v>
      </c>
      <c r="E1738" t="str">
        <f>VLOOKUP(TRIM(D1738), Catalogo_gestiones!$A:$B, 2, FALSE)</f>
        <v>S</v>
      </c>
    </row>
    <row r="1739" spans="1:5" x14ac:dyDescent="0.25">
      <c r="A1739">
        <v>8490008</v>
      </c>
      <c r="B1739">
        <v>23864357</v>
      </c>
      <c r="C1739" s="1">
        <v>42530</v>
      </c>
      <c r="D1739" t="s">
        <v>24</v>
      </c>
      <c r="E1739" t="str">
        <f>VLOOKUP(TRIM(D1739), Catalogo_gestiones!$A:$B, 2, FALSE)</f>
        <v>S</v>
      </c>
    </row>
    <row r="1740" spans="1:5" x14ac:dyDescent="0.25">
      <c r="A1740">
        <v>8490353</v>
      </c>
      <c r="B1740">
        <v>23277912</v>
      </c>
      <c r="C1740" s="1">
        <v>42530</v>
      </c>
      <c r="D1740" t="s">
        <v>25</v>
      </c>
      <c r="E1740" t="str">
        <f>VLOOKUP(TRIM(D1740), Catalogo_gestiones!$A:$B, 2, FALSE)</f>
        <v>N</v>
      </c>
    </row>
    <row r="1741" spans="1:5" x14ac:dyDescent="0.25">
      <c r="A1741">
        <v>8490527</v>
      </c>
      <c r="B1741">
        <v>20854367</v>
      </c>
      <c r="C1741" s="1">
        <v>42530</v>
      </c>
      <c r="D1741" t="s">
        <v>26</v>
      </c>
      <c r="E1741" t="str">
        <f>VLOOKUP(TRIM(D1741), Catalogo_gestiones!$A:$B, 2, FALSE)</f>
        <v>N</v>
      </c>
    </row>
    <row r="1742" spans="1:5" x14ac:dyDescent="0.25">
      <c r="A1742">
        <v>8490527</v>
      </c>
      <c r="B1742">
        <v>20854953</v>
      </c>
      <c r="C1742" s="1">
        <v>42530</v>
      </c>
      <c r="D1742" t="s">
        <v>27</v>
      </c>
      <c r="E1742" t="str">
        <f>VLOOKUP(TRIM(D1742), Catalogo_gestiones!$A:$B, 2, FALSE)</f>
        <v>S</v>
      </c>
    </row>
    <row r="1743" spans="1:5" x14ac:dyDescent="0.25">
      <c r="A1743">
        <v>8490527</v>
      </c>
      <c r="B1743">
        <v>20855710</v>
      </c>
      <c r="C1743" s="1">
        <v>42530</v>
      </c>
      <c r="D1743" t="s">
        <v>28</v>
      </c>
      <c r="E1743" t="str">
        <f>VLOOKUP(TRIM(D1743), Catalogo_gestiones!$A:$B, 2, FALSE)</f>
        <v>N</v>
      </c>
    </row>
    <row r="1744" spans="1:5" x14ac:dyDescent="0.25">
      <c r="A1744">
        <v>8490649</v>
      </c>
      <c r="B1744">
        <v>21553476</v>
      </c>
      <c r="C1744" s="1">
        <v>42530</v>
      </c>
      <c r="D1744" t="s">
        <v>24</v>
      </c>
      <c r="E1744" t="str">
        <f>VLOOKUP(TRIM(D1744), Catalogo_gestiones!$A:$B, 2, FALSE)</f>
        <v>S</v>
      </c>
    </row>
    <row r="1745" spans="1:5" x14ac:dyDescent="0.25">
      <c r="A1745">
        <v>8490689</v>
      </c>
      <c r="B1745">
        <v>27154092</v>
      </c>
      <c r="C1745" s="1">
        <v>42530</v>
      </c>
      <c r="D1745" t="s">
        <v>25</v>
      </c>
      <c r="E1745" t="str">
        <f>VLOOKUP(TRIM(D1745), Catalogo_gestiones!$A:$B, 2, FALSE)</f>
        <v>N</v>
      </c>
    </row>
    <row r="1746" spans="1:5" x14ac:dyDescent="0.25">
      <c r="A1746">
        <v>8490699</v>
      </c>
      <c r="B1746">
        <v>18460872</v>
      </c>
      <c r="C1746" s="1">
        <v>42530</v>
      </c>
      <c r="D1746" t="s">
        <v>26</v>
      </c>
      <c r="E1746" t="str">
        <f>VLOOKUP(TRIM(D1746), Catalogo_gestiones!$A:$B, 2, FALSE)</f>
        <v>N</v>
      </c>
    </row>
    <row r="1747" spans="1:5" x14ac:dyDescent="0.25">
      <c r="A1747">
        <v>8490839</v>
      </c>
      <c r="B1747">
        <v>19557175</v>
      </c>
      <c r="C1747" s="1">
        <v>42530</v>
      </c>
      <c r="D1747" t="s">
        <v>27</v>
      </c>
      <c r="E1747" t="str">
        <f>VLOOKUP(TRIM(D1747), Catalogo_gestiones!$A:$B, 2, FALSE)</f>
        <v>S</v>
      </c>
    </row>
    <row r="1748" spans="1:5" x14ac:dyDescent="0.25">
      <c r="A1748">
        <v>8490841</v>
      </c>
      <c r="B1748">
        <v>19490815</v>
      </c>
      <c r="C1748" s="1">
        <v>42524</v>
      </c>
      <c r="D1748" t="s">
        <v>28</v>
      </c>
      <c r="E1748" t="str">
        <f>VLOOKUP(TRIM(D1748), Catalogo_gestiones!$A:$B, 2, FALSE)</f>
        <v>N</v>
      </c>
    </row>
    <row r="1749" spans="1:5" x14ac:dyDescent="0.25">
      <c r="A1749">
        <v>8490856</v>
      </c>
      <c r="B1749">
        <v>19824822</v>
      </c>
      <c r="C1749" s="1">
        <v>42530</v>
      </c>
      <c r="D1749" t="s">
        <v>24</v>
      </c>
      <c r="E1749" t="str">
        <f>VLOOKUP(TRIM(D1749), Catalogo_gestiones!$A:$B, 2, FALSE)</f>
        <v>S</v>
      </c>
    </row>
    <row r="1750" spans="1:5" x14ac:dyDescent="0.25">
      <c r="A1750">
        <v>8490856</v>
      </c>
      <c r="B1750">
        <v>22443572</v>
      </c>
      <c r="C1750" s="1">
        <v>42530</v>
      </c>
      <c r="D1750" t="s">
        <v>25</v>
      </c>
      <c r="E1750" t="str">
        <f>VLOOKUP(TRIM(D1750), Catalogo_gestiones!$A:$B, 2, FALSE)</f>
        <v>N</v>
      </c>
    </row>
    <row r="1751" spans="1:5" x14ac:dyDescent="0.25">
      <c r="A1751">
        <v>8490949</v>
      </c>
      <c r="B1751">
        <v>25373614</v>
      </c>
      <c r="C1751" s="1">
        <v>42530</v>
      </c>
      <c r="D1751" t="s">
        <v>26</v>
      </c>
      <c r="E1751" t="str">
        <f>VLOOKUP(TRIM(D1751), Catalogo_gestiones!$A:$B, 2, FALSE)</f>
        <v>N</v>
      </c>
    </row>
    <row r="1752" spans="1:5" x14ac:dyDescent="0.25">
      <c r="A1752">
        <v>8491006</v>
      </c>
      <c r="B1752">
        <v>24075863</v>
      </c>
      <c r="C1752" s="1">
        <v>42524</v>
      </c>
      <c r="D1752" t="s">
        <v>27</v>
      </c>
      <c r="E1752" t="str">
        <f>VLOOKUP(TRIM(D1752), Catalogo_gestiones!$A:$B, 2, FALSE)</f>
        <v>S</v>
      </c>
    </row>
    <row r="1753" spans="1:5" x14ac:dyDescent="0.25">
      <c r="A1753">
        <v>8491092</v>
      </c>
      <c r="B1753">
        <v>22418324</v>
      </c>
      <c r="C1753" s="1">
        <v>42530</v>
      </c>
      <c r="D1753" t="s">
        <v>28</v>
      </c>
      <c r="E1753" t="str">
        <f>VLOOKUP(TRIM(D1753), Catalogo_gestiones!$A:$B, 2, FALSE)</f>
        <v>N</v>
      </c>
    </row>
    <row r="1754" spans="1:5" x14ac:dyDescent="0.25">
      <c r="A1754">
        <v>8491203</v>
      </c>
      <c r="B1754">
        <v>21218625</v>
      </c>
      <c r="C1754" s="1">
        <v>42530</v>
      </c>
      <c r="D1754" t="s">
        <v>30</v>
      </c>
      <c r="E1754" t="str">
        <f>VLOOKUP(TRIM(D1754), Catalogo_gestiones!$A:$B, 2, FALSE)</f>
        <v>S</v>
      </c>
    </row>
    <row r="1755" spans="1:5" x14ac:dyDescent="0.25">
      <c r="A1755">
        <v>8491282</v>
      </c>
      <c r="B1755">
        <v>22486333</v>
      </c>
      <c r="C1755" s="1">
        <v>42530</v>
      </c>
      <c r="D1755" t="s">
        <v>24</v>
      </c>
      <c r="E1755" t="str">
        <f>VLOOKUP(TRIM(D1755), Catalogo_gestiones!$A:$B, 2, FALSE)</f>
        <v>S</v>
      </c>
    </row>
    <row r="1756" spans="1:5" x14ac:dyDescent="0.25">
      <c r="A1756">
        <v>8491300</v>
      </c>
      <c r="B1756">
        <v>21183899</v>
      </c>
      <c r="C1756" s="1">
        <v>42530</v>
      </c>
      <c r="D1756" t="s">
        <v>25</v>
      </c>
      <c r="E1756" t="str">
        <f>VLOOKUP(TRIM(D1756), Catalogo_gestiones!$A:$B, 2, FALSE)</f>
        <v>N</v>
      </c>
    </row>
    <row r="1757" spans="1:5" x14ac:dyDescent="0.25">
      <c r="A1757">
        <v>8491306</v>
      </c>
      <c r="B1757">
        <v>25320990</v>
      </c>
      <c r="C1757" s="1">
        <v>42530</v>
      </c>
      <c r="D1757" t="s">
        <v>26</v>
      </c>
      <c r="E1757" t="str">
        <f>VLOOKUP(TRIM(D1757), Catalogo_gestiones!$A:$B, 2, FALSE)</f>
        <v>N</v>
      </c>
    </row>
    <row r="1758" spans="1:5" x14ac:dyDescent="0.25">
      <c r="A1758">
        <v>8491306</v>
      </c>
      <c r="B1758">
        <v>28043155</v>
      </c>
      <c r="C1758" s="1">
        <v>42526</v>
      </c>
      <c r="D1758" t="s">
        <v>27</v>
      </c>
      <c r="E1758" t="str">
        <f>VLOOKUP(TRIM(D1758), Catalogo_gestiones!$A:$B, 2, FALSE)</f>
        <v>S</v>
      </c>
    </row>
    <row r="1759" spans="1:5" x14ac:dyDescent="0.25">
      <c r="A1759">
        <v>8491409</v>
      </c>
      <c r="B1759">
        <v>25336921</v>
      </c>
      <c r="C1759" s="1">
        <v>42530</v>
      </c>
      <c r="D1759" t="s">
        <v>28</v>
      </c>
      <c r="E1759" t="str">
        <f>VLOOKUP(TRIM(D1759), Catalogo_gestiones!$A:$B, 2, FALSE)</f>
        <v>N</v>
      </c>
    </row>
    <row r="1760" spans="1:5" x14ac:dyDescent="0.25">
      <c r="A1760">
        <v>8491409</v>
      </c>
      <c r="B1760">
        <v>27153393</v>
      </c>
      <c r="C1760" s="1">
        <v>42530</v>
      </c>
      <c r="D1760" t="s">
        <v>24</v>
      </c>
      <c r="E1760" t="str">
        <f>VLOOKUP(TRIM(D1760), Catalogo_gestiones!$A:$B, 2, FALSE)</f>
        <v>S</v>
      </c>
    </row>
    <row r="1761" spans="1:5" x14ac:dyDescent="0.25">
      <c r="A1761">
        <v>8491572</v>
      </c>
      <c r="B1761">
        <v>25119103</v>
      </c>
      <c r="C1761" s="1">
        <v>42530</v>
      </c>
      <c r="D1761" t="s">
        <v>25</v>
      </c>
      <c r="E1761" t="str">
        <f>VLOOKUP(TRIM(D1761), Catalogo_gestiones!$A:$B, 2, FALSE)</f>
        <v>N</v>
      </c>
    </row>
    <row r="1762" spans="1:5" x14ac:dyDescent="0.25">
      <c r="A1762">
        <v>8491599</v>
      </c>
      <c r="B1762">
        <v>17748506</v>
      </c>
      <c r="C1762" s="1">
        <v>42530</v>
      </c>
      <c r="D1762" t="s">
        <v>26</v>
      </c>
      <c r="E1762" t="str">
        <f>VLOOKUP(TRIM(D1762), Catalogo_gestiones!$A:$B, 2, FALSE)</f>
        <v>N</v>
      </c>
    </row>
    <row r="1763" spans="1:5" x14ac:dyDescent="0.25">
      <c r="A1763">
        <v>8491599</v>
      </c>
      <c r="B1763">
        <v>27386020</v>
      </c>
      <c r="C1763" s="1">
        <v>42530</v>
      </c>
      <c r="D1763" t="s">
        <v>27</v>
      </c>
      <c r="E1763" t="str">
        <f>VLOOKUP(TRIM(D1763), Catalogo_gestiones!$A:$B, 2, FALSE)</f>
        <v>S</v>
      </c>
    </row>
    <row r="1764" spans="1:5" x14ac:dyDescent="0.25">
      <c r="A1764">
        <v>8491737</v>
      </c>
      <c r="B1764">
        <v>26833770</v>
      </c>
      <c r="C1764" s="1">
        <v>42530</v>
      </c>
      <c r="D1764" t="s">
        <v>28</v>
      </c>
      <c r="E1764" t="str">
        <f>VLOOKUP(TRIM(D1764), Catalogo_gestiones!$A:$B, 2, FALSE)</f>
        <v>N</v>
      </c>
    </row>
    <row r="1765" spans="1:5" x14ac:dyDescent="0.25">
      <c r="A1765">
        <v>8491737</v>
      </c>
      <c r="B1765">
        <v>26835229</v>
      </c>
      <c r="C1765" s="1">
        <v>42530</v>
      </c>
      <c r="D1765" t="s">
        <v>24</v>
      </c>
      <c r="E1765" t="str">
        <f>VLOOKUP(TRIM(D1765), Catalogo_gestiones!$A:$B, 2, FALSE)</f>
        <v>S</v>
      </c>
    </row>
    <row r="1766" spans="1:5" x14ac:dyDescent="0.25">
      <c r="A1766">
        <v>8491826</v>
      </c>
      <c r="B1766">
        <v>26151343</v>
      </c>
      <c r="C1766" s="1">
        <v>42530</v>
      </c>
      <c r="D1766" t="s">
        <v>25</v>
      </c>
      <c r="E1766" t="str">
        <f>VLOOKUP(TRIM(D1766), Catalogo_gestiones!$A:$B, 2, FALSE)</f>
        <v>N</v>
      </c>
    </row>
    <row r="1767" spans="1:5" x14ac:dyDescent="0.25">
      <c r="A1767">
        <v>8491843</v>
      </c>
      <c r="B1767">
        <v>27278763</v>
      </c>
      <c r="C1767" s="1">
        <v>42530</v>
      </c>
      <c r="D1767" t="s">
        <v>26</v>
      </c>
      <c r="E1767" t="str">
        <f>VLOOKUP(TRIM(D1767), Catalogo_gestiones!$A:$B, 2, FALSE)</f>
        <v>N</v>
      </c>
    </row>
    <row r="1768" spans="1:5" x14ac:dyDescent="0.25">
      <c r="A1768">
        <v>8491858</v>
      </c>
      <c r="B1768">
        <v>25879366</v>
      </c>
      <c r="C1768" s="1">
        <v>42530</v>
      </c>
      <c r="D1768" t="s">
        <v>27</v>
      </c>
      <c r="E1768" t="str">
        <f>VLOOKUP(TRIM(D1768), Catalogo_gestiones!$A:$B, 2, FALSE)</f>
        <v>S</v>
      </c>
    </row>
    <row r="1769" spans="1:5" x14ac:dyDescent="0.25">
      <c r="A1769">
        <v>8491858</v>
      </c>
      <c r="B1769">
        <v>27654219</v>
      </c>
      <c r="C1769" s="1">
        <v>42530</v>
      </c>
      <c r="D1769" t="s">
        <v>28</v>
      </c>
      <c r="E1769" t="str">
        <f>VLOOKUP(TRIM(D1769), Catalogo_gestiones!$A:$B, 2, FALSE)</f>
        <v>N</v>
      </c>
    </row>
    <row r="1770" spans="1:5" x14ac:dyDescent="0.25">
      <c r="A1770">
        <v>8491877</v>
      </c>
      <c r="B1770">
        <v>27396609</v>
      </c>
      <c r="C1770" s="1">
        <v>42530</v>
      </c>
      <c r="D1770" t="s">
        <v>30</v>
      </c>
      <c r="E1770" t="str">
        <f>VLOOKUP(TRIM(D1770), Catalogo_gestiones!$A:$B, 2, FALSE)</f>
        <v>S</v>
      </c>
    </row>
    <row r="1771" spans="1:5" x14ac:dyDescent="0.25">
      <c r="A1771">
        <v>8491910</v>
      </c>
      <c r="B1771">
        <v>27575915</v>
      </c>
      <c r="C1771" s="1">
        <v>42530</v>
      </c>
      <c r="D1771" t="s">
        <v>24</v>
      </c>
      <c r="E1771" t="str">
        <f>VLOOKUP(TRIM(D1771), Catalogo_gestiones!$A:$B, 2, FALSE)</f>
        <v>S</v>
      </c>
    </row>
    <row r="1772" spans="1:5" x14ac:dyDescent="0.25">
      <c r="A1772">
        <v>8491961</v>
      </c>
      <c r="B1772">
        <v>24127681</v>
      </c>
      <c r="C1772" s="1">
        <v>42530</v>
      </c>
      <c r="D1772" t="s">
        <v>25</v>
      </c>
      <c r="E1772" t="str">
        <f>VLOOKUP(TRIM(D1772), Catalogo_gestiones!$A:$B, 2, FALSE)</f>
        <v>N</v>
      </c>
    </row>
    <row r="1773" spans="1:5" x14ac:dyDescent="0.25">
      <c r="A1773">
        <v>8491969</v>
      </c>
      <c r="B1773">
        <v>16363550</v>
      </c>
      <c r="C1773" s="1">
        <v>42530</v>
      </c>
      <c r="D1773" t="s">
        <v>26</v>
      </c>
      <c r="E1773" t="str">
        <f>VLOOKUP(TRIM(D1773), Catalogo_gestiones!$A:$B, 2, FALSE)</f>
        <v>N</v>
      </c>
    </row>
    <row r="1774" spans="1:5" x14ac:dyDescent="0.25">
      <c r="A1774">
        <v>8492088</v>
      </c>
      <c r="B1774">
        <v>26249534</v>
      </c>
      <c r="C1774" s="1">
        <v>42530</v>
      </c>
      <c r="D1774" t="s">
        <v>27</v>
      </c>
      <c r="E1774" t="str">
        <f>VLOOKUP(TRIM(D1774), Catalogo_gestiones!$A:$B, 2, FALSE)</f>
        <v>S</v>
      </c>
    </row>
    <row r="1775" spans="1:5" x14ac:dyDescent="0.25">
      <c r="A1775">
        <v>8492088</v>
      </c>
      <c r="B1775">
        <v>26935418</v>
      </c>
      <c r="C1775" s="1">
        <v>42530</v>
      </c>
      <c r="D1775" t="s">
        <v>28</v>
      </c>
      <c r="E1775" t="str">
        <f>VLOOKUP(TRIM(D1775), Catalogo_gestiones!$A:$B, 2, FALSE)</f>
        <v>N</v>
      </c>
    </row>
    <row r="1776" spans="1:5" x14ac:dyDescent="0.25">
      <c r="A1776">
        <v>8492200</v>
      </c>
      <c r="B1776">
        <v>26140581</v>
      </c>
      <c r="C1776" s="1">
        <v>42530</v>
      </c>
      <c r="D1776" t="s">
        <v>24</v>
      </c>
      <c r="E1776" t="str">
        <f>VLOOKUP(TRIM(D1776), Catalogo_gestiones!$A:$B, 2, FALSE)</f>
        <v>S</v>
      </c>
    </row>
    <row r="1777" spans="1:5" x14ac:dyDescent="0.25">
      <c r="A1777">
        <v>8492200</v>
      </c>
      <c r="B1777">
        <v>27915896</v>
      </c>
      <c r="C1777" s="1">
        <v>42530</v>
      </c>
      <c r="D1777" t="s">
        <v>25</v>
      </c>
      <c r="E1777" t="str">
        <f>VLOOKUP(TRIM(D1777), Catalogo_gestiones!$A:$B, 2, FALSE)</f>
        <v>N</v>
      </c>
    </row>
    <row r="1778" spans="1:5" x14ac:dyDescent="0.25">
      <c r="A1778">
        <v>8492200</v>
      </c>
      <c r="B1778">
        <v>27917896</v>
      </c>
      <c r="C1778" s="1">
        <v>42530</v>
      </c>
      <c r="D1778" t="s">
        <v>26</v>
      </c>
      <c r="E1778" t="str">
        <f>VLOOKUP(TRIM(D1778), Catalogo_gestiones!$A:$B, 2, FALSE)</f>
        <v>N</v>
      </c>
    </row>
    <row r="1779" spans="1:5" x14ac:dyDescent="0.25">
      <c r="A1779">
        <v>8492200</v>
      </c>
      <c r="B1779">
        <v>28216922</v>
      </c>
      <c r="C1779" s="1">
        <v>42530</v>
      </c>
      <c r="D1779" t="s">
        <v>27</v>
      </c>
      <c r="E1779" t="str">
        <f>VLOOKUP(TRIM(D1779), Catalogo_gestiones!$A:$B, 2, FALSE)</f>
        <v>S</v>
      </c>
    </row>
    <row r="1780" spans="1:5" x14ac:dyDescent="0.25">
      <c r="A1780">
        <v>8492224</v>
      </c>
      <c r="B1780">
        <v>24128447</v>
      </c>
      <c r="C1780" s="1">
        <v>42530</v>
      </c>
      <c r="D1780" t="s">
        <v>28</v>
      </c>
      <c r="E1780" t="str">
        <f>VLOOKUP(TRIM(D1780), Catalogo_gestiones!$A:$B, 2, FALSE)</f>
        <v>N</v>
      </c>
    </row>
    <row r="1781" spans="1:5" x14ac:dyDescent="0.25">
      <c r="A1781">
        <v>8492224</v>
      </c>
      <c r="B1781">
        <v>25908299</v>
      </c>
      <c r="C1781" s="1">
        <v>42530</v>
      </c>
      <c r="D1781" t="s">
        <v>24</v>
      </c>
      <c r="E1781" t="str">
        <f>VLOOKUP(TRIM(D1781), Catalogo_gestiones!$A:$B, 2, FALSE)</f>
        <v>S</v>
      </c>
    </row>
    <row r="1782" spans="1:5" x14ac:dyDescent="0.25">
      <c r="A1782">
        <v>8519022</v>
      </c>
      <c r="B1782">
        <v>25194705</v>
      </c>
      <c r="C1782" s="1">
        <v>42530</v>
      </c>
      <c r="D1782" t="s">
        <v>25</v>
      </c>
      <c r="E1782" t="str">
        <f>VLOOKUP(TRIM(D1782), Catalogo_gestiones!$A:$B, 2, FALSE)</f>
        <v>N</v>
      </c>
    </row>
    <row r="1783" spans="1:5" x14ac:dyDescent="0.25">
      <c r="A1783">
        <v>8519329</v>
      </c>
      <c r="B1783">
        <v>27448637</v>
      </c>
      <c r="C1783" s="1">
        <v>42530</v>
      </c>
      <c r="D1783" t="s">
        <v>26</v>
      </c>
      <c r="E1783" t="str">
        <f>VLOOKUP(TRIM(D1783), Catalogo_gestiones!$A:$B, 2, FALSE)</f>
        <v>N</v>
      </c>
    </row>
    <row r="1784" spans="1:5" x14ac:dyDescent="0.25">
      <c r="A1784">
        <v>8519500</v>
      </c>
      <c r="B1784">
        <v>16702203</v>
      </c>
      <c r="C1784" s="1">
        <v>42530</v>
      </c>
      <c r="D1784" t="s">
        <v>27</v>
      </c>
      <c r="E1784" t="str">
        <f>VLOOKUP(TRIM(D1784), Catalogo_gestiones!$A:$B, 2, FALSE)</f>
        <v>S</v>
      </c>
    </row>
    <row r="1785" spans="1:5" x14ac:dyDescent="0.25">
      <c r="A1785">
        <v>8519941</v>
      </c>
      <c r="B1785">
        <v>25778601</v>
      </c>
      <c r="C1785" s="1">
        <v>42530</v>
      </c>
      <c r="D1785" t="s">
        <v>28</v>
      </c>
      <c r="E1785" t="str">
        <f>VLOOKUP(TRIM(D1785), Catalogo_gestiones!$A:$B, 2, FALSE)</f>
        <v>N</v>
      </c>
    </row>
    <row r="1786" spans="1:5" x14ac:dyDescent="0.25">
      <c r="A1786">
        <v>8520309</v>
      </c>
      <c r="B1786">
        <v>27065353</v>
      </c>
      <c r="C1786" s="1">
        <v>42530</v>
      </c>
      <c r="D1786" t="s">
        <v>30</v>
      </c>
      <c r="E1786" t="str">
        <f>VLOOKUP(TRIM(D1786), Catalogo_gestiones!$A:$B, 2, FALSE)</f>
        <v>S</v>
      </c>
    </row>
    <row r="1787" spans="1:5" x14ac:dyDescent="0.25">
      <c r="A1787">
        <v>8520480</v>
      </c>
      <c r="B1787">
        <v>24357359</v>
      </c>
      <c r="C1787" s="1">
        <v>42530</v>
      </c>
      <c r="D1787" t="s">
        <v>24</v>
      </c>
      <c r="E1787" t="str">
        <f>VLOOKUP(TRIM(D1787), Catalogo_gestiones!$A:$B, 2, FALSE)</f>
        <v>S</v>
      </c>
    </row>
    <row r="1788" spans="1:5" x14ac:dyDescent="0.25">
      <c r="A1788">
        <v>8520783</v>
      </c>
      <c r="B1788">
        <v>26404064</v>
      </c>
      <c r="C1788" s="1">
        <v>42530</v>
      </c>
      <c r="D1788" t="s">
        <v>25</v>
      </c>
      <c r="E1788" t="str">
        <f>VLOOKUP(TRIM(D1788), Catalogo_gestiones!$A:$B, 2, FALSE)</f>
        <v>N</v>
      </c>
    </row>
    <row r="1789" spans="1:5" x14ac:dyDescent="0.25">
      <c r="A1789">
        <v>8520783</v>
      </c>
      <c r="B1789">
        <v>26405918</v>
      </c>
      <c r="C1789" s="1">
        <v>42530</v>
      </c>
      <c r="D1789" t="s">
        <v>26</v>
      </c>
      <c r="E1789" t="str">
        <f>VLOOKUP(TRIM(D1789), Catalogo_gestiones!$A:$B, 2, FALSE)</f>
        <v>N</v>
      </c>
    </row>
    <row r="1790" spans="1:5" x14ac:dyDescent="0.25">
      <c r="A1790">
        <v>8520818</v>
      </c>
      <c r="B1790">
        <v>25708940</v>
      </c>
      <c r="C1790" s="1">
        <v>42530</v>
      </c>
      <c r="D1790" t="s">
        <v>27</v>
      </c>
      <c r="E1790" t="str">
        <f>VLOOKUP(TRIM(D1790), Catalogo_gestiones!$A:$B, 2, FALSE)</f>
        <v>S</v>
      </c>
    </row>
    <row r="1791" spans="1:5" x14ac:dyDescent="0.25">
      <c r="A1791">
        <v>8520919</v>
      </c>
      <c r="B1791">
        <v>26329105</v>
      </c>
      <c r="C1791" s="1">
        <v>42530</v>
      </c>
      <c r="D1791" t="s">
        <v>28</v>
      </c>
      <c r="E1791" t="str">
        <f>VLOOKUP(TRIM(D1791), Catalogo_gestiones!$A:$B, 2, FALSE)</f>
        <v>N</v>
      </c>
    </row>
    <row r="1792" spans="1:5" x14ac:dyDescent="0.25">
      <c r="A1792">
        <v>8521432</v>
      </c>
      <c r="B1792">
        <v>25258052</v>
      </c>
      <c r="C1792" s="1">
        <v>42530</v>
      </c>
      <c r="D1792" t="s">
        <v>24</v>
      </c>
      <c r="E1792" t="str">
        <f>VLOOKUP(TRIM(D1792), Catalogo_gestiones!$A:$B, 2, FALSE)</f>
        <v>S</v>
      </c>
    </row>
    <row r="1793" spans="1:5" x14ac:dyDescent="0.25">
      <c r="A1793">
        <v>8521432</v>
      </c>
      <c r="B1793">
        <v>25260267</v>
      </c>
      <c r="C1793" s="1">
        <v>42530</v>
      </c>
      <c r="D1793" t="s">
        <v>25</v>
      </c>
      <c r="E1793" t="str">
        <f>VLOOKUP(TRIM(D1793), Catalogo_gestiones!$A:$B, 2, FALSE)</f>
        <v>N</v>
      </c>
    </row>
    <row r="1794" spans="1:5" x14ac:dyDescent="0.25">
      <c r="A1794">
        <v>8521919</v>
      </c>
      <c r="B1794">
        <v>16760544</v>
      </c>
      <c r="C1794" s="1">
        <v>42530</v>
      </c>
      <c r="D1794" t="s">
        <v>26</v>
      </c>
      <c r="E1794" t="str">
        <f>VLOOKUP(TRIM(D1794), Catalogo_gestiones!$A:$B, 2, FALSE)</f>
        <v>N</v>
      </c>
    </row>
    <row r="1795" spans="1:5" x14ac:dyDescent="0.25">
      <c r="A1795">
        <v>8521961</v>
      </c>
      <c r="B1795">
        <v>20568876</v>
      </c>
      <c r="C1795" s="1">
        <v>42530</v>
      </c>
      <c r="D1795" t="s">
        <v>27</v>
      </c>
      <c r="E1795" t="str">
        <f>VLOOKUP(TRIM(D1795), Catalogo_gestiones!$A:$B, 2, FALSE)</f>
        <v>S</v>
      </c>
    </row>
    <row r="1796" spans="1:5" x14ac:dyDescent="0.25">
      <c r="A1796">
        <v>8522254</v>
      </c>
      <c r="B1796">
        <v>23993880</v>
      </c>
      <c r="C1796" s="1">
        <v>42530</v>
      </c>
      <c r="D1796" t="s">
        <v>28</v>
      </c>
      <c r="E1796" t="str">
        <f>VLOOKUP(TRIM(D1796), Catalogo_gestiones!$A:$B, 2, FALSE)</f>
        <v>N</v>
      </c>
    </row>
    <row r="1797" spans="1:5" x14ac:dyDescent="0.25">
      <c r="A1797">
        <v>8522309</v>
      </c>
      <c r="B1797">
        <v>27443938</v>
      </c>
      <c r="C1797" s="1">
        <v>42530</v>
      </c>
      <c r="D1797" t="s">
        <v>24</v>
      </c>
      <c r="E1797" t="str">
        <f>VLOOKUP(TRIM(D1797), Catalogo_gestiones!$A:$B, 2, FALSE)</f>
        <v>S</v>
      </c>
    </row>
    <row r="1798" spans="1:5" x14ac:dyDescent="0.25">
      <c r="A1798">
        <v>8522309</v>
      </c>
      <c r="B1798">
        <v>27447199</v>
      </c>
      <c r="C1798" s="1">
        <v>42530</v>
      </c>
      <c r="D1798" t="s">
        <v>25</v>
      </c>
      <c r="E1798" t="str">
        <f>VLOOKUP(TRIM(D1798), Catalogo_gestiones!$A:$B, 2, FALSE)</f>
        <v>N</v>
      </c>
    </row>
    <row r="1799" spans="1:5" x14ac:dyDescent="0.25">
      <c r="A1799">
        <v>8522309</v>
      </c>
      <c r="B1799">
        <v>27626239</v>
      </c>
      <c r="C1799" s="1">
        <v>42524</v>
      </c>
      <c r="D1799" t="s">
        <v>26</v>
      </c>
      <c r="E1799" t="str">
        <f>VLOOKUP(TRIM(D1799), Catalogo_gestiones!$A:$B, 2, FALSE)</f>
        <v>N</v>
      </c>
    </row>
    <row r="1800" spans="1:5" x14ac:dyDescent="0.25">
      <c r="A1800">
        <v>8522458</v>
      </c>
      <c r="B1800">
        <v>21683437</v>
      </c>
      <c r="C1800" s="1">
        <v>42530</v>
      </c>
      <c r="D1800" t="s">
        <v>27</v>
      </c>
      <c r="E1800" t="str">
        <f>VLOOKUP(TRIM(D1800), Catalogo_gestiones!$A:$B, 2, FALSE)</f>
        <v>S</v>
      </c>
    </row>
    <row r="1801" spans="1:5" x14ac:dyDescent="0.25">
      <c r="A1801">
        <v>8522462</v>
      </c>
      <c r="B1801">
        <v>26162718</v>
      </c>
      <c r="C1801" s="1">
        <v>42530</v>
      </c>
      <c r="D1801" t="s">
        <v>28</v>
      </c>
      <c r="E1801" t="str">
        <f>VLOOKUP(TRIM(D1801), Catalogo_gestiones!$A:$B, 2, FALSE)</f>
        <v>N</v>
      </c>
    </row>
    <row r="1802" spans="1:5" x14ac:dyDescent="0.25">
      <c r="A1802">
        <v>8522957</v>
      </c>
      <c r="B1802">
        <v>22516258</v>
      </c>
      <c r="C1802" s="1">
        <v>42530</v>
      </c>
      <c r="D1802" t="s">
        <v>30</v>
      </c>
      <c r="E1802" t="str">
        <f>VLOOKUP(TRIM(D1802), Catalogo_gestiones!$A:$B, 2, FALSE)</f>
        <v>S</v>
      </c>
    </row>
    <row r="1803" spans="1:5" x14ac:dyDescent="0.25">
      <c r="A1803">
        <v>8522957</v>
      </c>
      <c r="B1803">
        <v>22516382</v>
      </c>
      <c r="C1803" s="1">
        <v>42530</v>
      </c>
      <c r="D1803" t="s">
        <v>24</v>
      </c>
      <c r="E1803" t="str">
        <f>VLOOKUP(TRIM(D1803), Catalogo_gestiones!$A:$B, 2, FALSE)</f>
        <v>S</v>
      </c>
    </row>
    <row r="1804" spans="1:5" x14ac:dyDescent="0.25">
      <c r="A1804">
        <v>8523040</v>
      </c>
      <c r="B1804">
        <v>26197937</v>
      </c>
      <c r="C1804" s="1">
        <v>42530</v>
      </c>
      <c r="D1804" t="s">
        <v>25</v>
      </c>
      <c r="E1804" t="str">
        <f>VLOOKUP(TRIM(D1804), Catalogo_gestiones!$A:$B, 2, FALSE)</f>
        <v>N</v>
      </c>
    </row>
    <row r="1805" spans="1:5" x14ac:dyDescent="0.25">
      <c r="A1805">
        <v>8523124</v>
      </c>
      <c r="B1805">
        <v>26225662</v>
      </c>
      <c r="C1805" s="1">
        <v>42530</v>
      </c>
      <c r="D1805" t="s">
        <v>26</v>
      </c>
      <c r="E1805" t="str">
        <f>VLOOKUP(TRIM(D1805), Catalogo_gestiones!$A:$B, 2, FALSE)</f>
        <v>N</v>
      </c>
    </row>
    <row r="1806" spans="1:5" x14ac:dyDescent="0.25">
      <c r="A1806">
        <v>8523205</v>
      </c>
      <c r="B1806">
        <v>22375306</v>
      </c>
      <c r="C1806" s="1">
        <v>42530</v>
      </c>
      <c r="D1806" t="s">
        <v>27</v>
      </c>
      <c r="E1806" t="str">
        <f>VLOOKUP(TRIM(D1806), Catalogo_gestiones!$A:$B, 2, FALSE)</f>
        <v>S</v>
      </c>
    </row>
    <row r="1807" spans="1:5" x14ac:dyDescent="0.25">
      <c r="A1807">
        <v>8523205</v>
      </c>
      <c r="B1807">
        <v>24912565</v>
      </c>
      <c r="C1807" s="1">
        <v>42530</v>
      </c>
      <c r="D1807" t="s">
        <v>28</v>
      </c>
      <c r="E1807" t="str">
        <f>VLOOKUP(TRIM(D1807), Catalogo_gestiones!$A:$B, 2, FALSE)</f>
        <v>N</v>
      </c>
    </row>
    <row r="1808" spans="1:5" x14ac:dyDescent="0.25">
      <c r="A1808">
        <v>8523520</v>
      </c>
      <c r="B1808">
        <v>1377705</v>
      </c>
      <c r="C1808" s="1">
        <v>42530</v>
      </c>
      <c r="D1808" t="s">
        <v>24</v>
      </c>
      <c r="E1808" t="str">
        <f>VLOOKUP(TRIM(D1808), Catalogo_gestiones!$A:$B, 2, FALSE)</f>
        <v>S</v>
      </c>
    </row>
    <row r="1809" spans="1:5" x14ac:dyDescent="0.25">
      <c r="A1809">
        <v>8523859</v>
      </c>
      <c r="B1809">
        <v>22375306</v>
      </c>
      <c r="C1809" s="1">
        <v>42530</v>
      </c>
      <c r="D1809" t="s">
        <v>25</v>
      </c>
      <c r="E1809" t="str">
        <f>VLOOKUP(TRIM(D1809), Catalogo_gestiones!$A:$B, 2, FALSE)</f>
        <v>N</v>
      </c>
    </row>
    <row r="1810" spans="1:5" x14ac:dyDescent="0.25">
      <c r="A1810">
        <v>8523897</v>
      </c>
      <c r="B1810">
        <v>19889218</v>
      </c>
      <c r="C1810" s="1">
        <v>42530</v>
      </c>
      <c r="D1810" t="s">
        <v>26</v>
      </c>
      <c r="E1810" t="str">
        <f>VLOOKUP(TRIM(D1810), Catalogo_gestiones!$A:$B, 2, FALSE)</f>
        <v>N</v>
      </c>
    </row>
    <row r="1811" spans="1:5" x14ac:dyDescent="0.25">
      <c r="A1811">
        <v>8524048</v>
      </c>
      <c r="B1811">
        <v>23295919</v>
      </c>
      <c r="C1811" s="1">
        <v>42526</v>
      </c>
      <c r="D1811" t="s">
        <v>27</v>
      </c>
      <c r="E1811" t="str">
        <f>VLOOKUP(TRIM(D1811), Catalogo_gestiones!$A:$B, 2, FALSE)</f>
        <v>S</v>
      </c>
    </row>
    <row r="1812" spans="1:5" x14ac:dyDescent="0.25">
      <c r="A1812">
        <v>8524070</v>
      </c>
      <c r="B1812">
        <v>15357610</v>
      </c>
      <c r="C1812" s="1">
        <v>42530</v>
      </c>
      <c r="D1812" t="s">
        <v>28</v>
      </c>
      <c r="E1812" t="str">
        <f>VLOOKUP(TRIM(D1812), Catalogo_gestiones!$A:$B, 2, FALSE)</f>
        <v>N</v>
      </c>
    </row>
    <row r="1813" spans="1:5" x14ac:dyDescent="0.25">
      <c r="A1813">
        <v>8524404</v>
      </c>
      <c r="B1813">
        <v>19536723</v>
      </c>
      <c r="C1813" s="1">
        <v>42530</v>
      </c>
      <c r="D1813" t="s">
        <v>24</v>
      </c>
      <c r="E1813" t="str">
        <f>VLOOKUP(TRIM(D1813), Catalogo_gestiones!$A:$B, 2, FALSE)</f>
        <v>S</v>
      </c>
    </row>
    <row r="1814" spans="1:5" x14ac:dyDescent="0.25">
      <c r="A1814">
        <v>8524784</v>
      </c>
      <c r="B1814">
        <v>27962052</v>
      </c>
      <c r="C1814" s="1">
        <v>42530</v>
      </c>
      <c r="D1814" t="s">
        <v>25</v>
      </c>
      <c r="E1814" t="str">
        <f>VLOOKUP(TRIM(D1814), Catalogo_gestiones!$A:$B, 2, FALSE)</f>
        <v>N</v>
      </c>
    </row>
    <row r="1815" spans="1:5" x14ac:dyDescent="0.25">
      <c r="A1815">
        <v>8524793</v>
      </c>
      <c r="B1815">
        <v>21416546</v>
      </c>
      <c r="C1815" s="1">
        <v>42530</v>
      </c>
      <c r="D1815" t="s">
        <v>26</v>
      </c>
      <c r="E1815" t="str">
        <f>VLOOKUP(TRIM(D1815), Catalogo_gestiones!$A:$B, 2, FALSE)</f>
        <v>N</v>
      </c>
    </row>
    <row r="1816" spans="1:5" x14ac:dyDescent="0.25">
      <c r="A1816">
        <v>8524805</v>
      </c>
      <c r="B1816">
        <v>21648150</v>
      </c>
      <c r="C1816" s="1">
        <v>42530</v>
      </c>
      <c r="D1816" t="s">
        <v>27</v>
      </c>
      <c r="E1816" t="str">
        <f>VLOOKUP(TRIM(D1816), Catalogo_gestiones!$A:$B, 2, FALSE)</f>
        <v>S</v>
      </c>
    </row>
    <row r="1817" spans="1:5" x14ac:dyDescent="0.25">
      <c r="A1817">
        <v>8524847</v>
      </c>
      <c r="B1817">
        <v>22738834</v>
      </c>
      <c r="C1817" s="1">
        <v>42530</v>
      </c>
      <c r="D1817" t="s">
        <v>28</v>
      </c>
      <c r="E1817" t="str">
        <f>VLOOKUP(TRIM(D1817), Catalogo_gestiones!$A:$B, 2, FALSE)</f>
        <v>N</v>
      </c>
    </row>
    <row r="1818" spans="1:5" x14ac:dyDescent="0.25">
      <c r="A1818">
        <v>8524847</v>
      </c>
      <c r="B1818">
        <v>26782857</v>
      </c>
      <c r="C1818" s="1">
        <v>42530</v>
      </c>
      <c r="D1818" t="s">
        <v>30</v>
      </c>
      <c r="E1818" t="str">
        <f>VLOOKUP(TRIM(D1818), Catalogo_gestiones!$A:$B, 2, FALSE)</f>
        <v>S</v>
      </c>
    </row>
    <row r="1819" spans="1:5" x14ac:dyDescent="0.25">
      <c r="A1819">
        <v>8525305</v>
      </c>
      <c r="B1819">
        <v>18744641</v>
      </c>
      <c r="C1819" s="1">
        <v>42530</v>
      </c>
      <c r="D1819" t="s">
        <v>24</v>
      </c>
      <c r="E1819" t="str">
        <f>VLOOKUP(TRIM(D1819), Catalogo_gestiones!$A:$B, 2, FALSE)</f>
        <v>S</v>
      </c>
    </row>
    <row r="1820" spans="1:5" x14ac:dyDescent="0.25">
      <c r="A1820">
        <v>8525340</v>
      </c>
      <c r="B1820">
        <v>10637802</v>
      </c>
      <c r="C1820" s="1">
        <v>42530</v>
      </c>
      <c r="D1820" t="s">
        <v>25</v>
      </c>
      <c r="E1820" t="str">
        <f>VLOOKUP(TRIM(D1820), Catalogo_gestiones!$A:$B, 2, FALSE)</f>
        <v>N</v>
      </c>
    </row>
    <row r="1821" spans="1:5" x14ac:dyDescent="0.25">
      <c r="A1821">
        <v>8525340</v>
      </c>
      <c r="B1821">
        <v>10638085</v>
      </c>
      <c r="C1821" s="1">
        <v>42530</v>
      </c>
      <c r="D1821" t="s">
        <v>26</v>
      </c>
      <c r="E1821" t="str">
        <f>VLOOKUP(TRIM(D1821), Catalogo_gestiones!$A:$B, 2, FALSE)</f>
        <v>N</v>
      </c>
    </row>
    <row r="1822" spans="1:5" x14ac:dyDescent="0.25">
      <c r="A1822">
        <v>8525418</v>
      </c>
      <c r="B1822">
        <v>26225873</v>
      </c>
      <c r="C1822" s="1">
        <v>42530</v>
      </c>
      <c r="D1822" t="s">
        <v>27</v>
      </c>
      <c r="E1822" t="str">
        <f>VLOOKUP(TRIM(D1822), Catalogo_gestiones!$A:$B, 2, FALSE)</f>
        <v>S</v>
      </c>
    </row>
    <row r="1823" spans="1:5" x14ac:dyDescent="0.25">
      <c r="A1823">
        <v>8525718</v>
      </c>
      <c r="B1823">
        <v>26653538</v>
      </c>
      <c r="C1823" s="1">
        <v>42530</v>
      </c>
      <c r="D1823" t="s">
        <v>28</v>
      </c>
      <c r="E1823" t="str">
        <f>VLOOKUP(TRIM(D1823), Catalogo_gestiones!$A:$B, 2, FALSE)</f>
        <v>N</v>
      </c>
    </row>
    <row r="1824" spans="1:5" x14ac:dyDescent="0.25">
      <c r="A1824">
        <v>8525766</v>
      </c>
      <c r="B1824">
        <v>27984804</v>
      </c>
      <c r="C1824" s="1">
        <v>42530</v>
      </c>
      <c r="D1824" t="s">
        <v>24</v>
      </c>
      <c r="E1824" t="str">
        <f>VLOOKUP(TRIM(D1824), Catalogo_gestiones!$A:$B, 2, FALSE)</f>
        <v>S</v>
      </c>
    </row>
    <row r="1825" spans="1:5" x14ac:dyDescent="0.25">
      <c r="A1825">
        <v>8526274</v>
      </c>
      <c r="B1825">
        <v>21202055</v>
      </c>
      <c r="C1825" s="1">
        <v>42530</v>
      </c>
      <c r="D1825" t="s">
        <v>25</v>
      </c>
      <c r="E1825" t="str">
        <f>VLOOKUP(TRIM(D1825), Catalogo_gestiones!$A:$B, 2, FALSE)</f>
        <v>N</v>
      </c>
    </row>
    <row r="1826" spans="1:5" x14ac:dyDescent="0.25">
      <c r="A1826">
        <v>8526376</v>
      </c>
      <c r="B1826">
        <v>27672437</v>
      </c>
      <c r="C1826" s="1">
        <v>42530</v>
      </c>
      <c r="D1826" t="s">
        <v>26</v>
      </c>
      <c r="E1826" t="str">
        <f>VLOOKUP(TRIM(D1826), Catalogo_gestiones!$A:$B, 2, FALSE)</f>
        <v>N</v>
      </c>
    </row>
    <row r="1827" spans="1:5" x14ac:dyDescent="0.25">
      <c r="A1827">
        <v>8549511</v>
      </c>
      <c r="B1827">
        <v>15077029</v>
      </c>
      <c r="C1827" s="1">
        <v>42531</v>
      </c>
      <c r="D1827" t="s">
        <v>27</v>
      </c>
      <c r="E1827" t="str">
        <f>VLOOKUP(TRIM(D1827), Catalogo_gestiones!$A:$B, 2, FALSE)</f>
        <v>S</v>
      </c>
    </row>
    <row r="1828" spans="1:5" x14ac:dyDescent="0.25">
      <c r="A1828">
        <v>8549511</v>
      </c>
      <c r="B1828">
        <v>27542907</v>
      </c>
      <c r="C1828" s="1">
        <v>42530</v>
      </c>
      <c r="D1828" t="s">
        <v>28</v>
      </c>
      <c r="E1828" t="str">
        <f>VLOOKUP(TRIM(D1828), Catalogo_gestiones!$A:$B, 2, FALSE)</f>
        <v>N</v>
      </c>
    </row>
    <row r="1829" spans="1:5" x14ac:dyDescent="0.25">
      <c r="A1829">
        <v>8549588</v>
      </c>
      <c r="B1829">
        <v>24223502</v>
      </c>
      <c r="C1829" s="1">
        <v>42530</v>
      </c>
      <c r="D1829" t="s">
        <v>24</v>
      </c>
      <c r="E1829" t="str">
        <f>VLOOKUP(TRIM(D1829), Catalogo_gestiones!$A:$B, 2, FALSE)</f>
        <v>S</v>
      </c>
    </row>
    <row r="1830" spans="1:5" x14ac:dyDescent="0.25">
      <c r="A1830">
        <v>8549887</v>
      </c>
      <c r="B1830">
        <v>23896168</v>
      </c>
      <c r="C1830" s="1">
        <v>42530</v>
      </c>
      <c r="D1830" t="s">
        <v>25</v>
      </c>
      <c r="E1830" t="str">
        <f>VLOOKUP(TRIM(D1830), Catalogo_gestiones!$A:$B, 2, FALSE)</f>
        <v>N</v>
      </c>
    </row>
    <row r="1831" spans="1:5" x14ac:dyDescent="0.25">
      <c r="A1831">
        <v>8550032</v>
      </c>
      <c r="B1831">
        <v>23865163</v>
      </c>
      <c r="C1831" s="1">
        <v>42530</v>
      </c>
      <c r="D1831" t="s">
        <v>26</v>
      </c>
      <c r="E1831" t="str">
        <f>VLOOKUP(TRIM(D1831), Catalogo_gestiones!$A:$B, 2, FALSE)</f>
        <v>N</v>
      </c>
    </row>
    <row r="1832" spans="1:5" x14ac:dyDescent="0.25">
      <c r="A1832">
        <v>8550032</v>
      </c>
      <c r="B1832">
        <v>26664605</v>
      </c>
      <c r="C1832" s="1">
        <v>42530</v>
      </c>
      <c r="D1832" t="s">
        <v>27</v>
      </c>
      <c r="E1832" t="str">
        <f>VLOOKUP(TRIM(D1832), Catalogo_gestiones!$A:$B, 2, FALSE)</f>
        <v>S</v>
      </c>
    </row>
    <row r="1833" spans="1:5" x14ac:dyDescent="0.25">
      <c r="A1833">
        <v>8550135</v>
      </c>
      <c r="B1833">
        <v>23836912</v>
      </c>
      <c r="C1833" s="1">
        <v>42530</v>
      </c>
      <c r="D1833" t="s">
        <v>28</v>
      </c>
      <c r="E1833" t="str">
        <f>VLOOKUP(TRIM(D1833), Catalogo_gestiones!$A:$B, 2, FALSE)</f>
        <v>N</v>
      </c>
    </row>
    <row r="1834" spans="1:5" x14ac:dyDescent="0.25">
      <c r="A1834">
        <v>8550135</v>
      </c>
      <c r="B1834">
        <v>25353899</v>
      </c>
      <c r="C1834" s="1">
        <v>42530</v>
      </c>
      <c r="D1834" t="s">
        <v>30</v>
      </c>
      <c r="E1834" t="str">
        <f>VLOOKUP(TRIM(D1834), Catalogo_gestiones!$A:$B, 2, FALSE)</f>
        <v>S</v>
      </c>
    </row>
    <row r="1835" spans="1:5" x14ac:dyDescent="0.25">
      <c r="A1835">
        <v>8550135</v>
      </c>
      <c r="B1835">
        <v>26223205</v>
      </c>
      <c r="C1835" s="1">
        <v>42530</v>
      </c>
      <c r="D1835" t="s">
        <v>24</v>
      </c>
      <c r="E1835" t="str">
        <f>VLOOKUP(TRIM(D1835), Catalogo_gestiones!$A:$B, 2, FALSE)</f>
        <v>S</v>
      </c>
    </row>
    <row r="1836" spans="1:5" x14ac:dyDescent="0.25">
      <c r="A1836">
        <v>8550135</v>
      </c>
      <c r="B1836">
        <v>26235241</v>
      </c>
      <c r="C1836" s="1">
        <v>42530</v>
      </c>
      <c r="D1836" t="s">
        <v>25</v>
      </c>
      <c r="E1836" t="str">
        <f>VLOOKUP(TRIM(D1836), Catalogo_gestiones!$A:$B, 2, FALSE)</f>
        <v>N</v>
      </c>
    </row>
    <row r="1837" spans="1:5" x14ac:dyDescent="0.25">
      <c r="A1837">
        <v>8550135</v>
      </c>
      <c r="B1837">
        <v>27107473</v>
      </c>
      <c r="C1837" s="1">
        <v>42530</v>
      </c>
      <c r="D1837" t="s">
        <v>26</v>
      </c>
      <c r="E1837" t="str">
        <f>VLOOKUP(TRIM(D1837), Catalogo_gestiones!$A:$B, 2, FALSE)</f>
        <v>N</v>
      </c>
    </row>
    <row r="1838" spans="1:5" x14ac:dyDescent="0.25">
      <c r="A1838">
        <v>8550284</v>
      </c>
      <c r="B1838">
        <v>21382277</v>
      </c>
      <c r="C1838" s="1">
        <v>42530</v>
      </c>
      <c r="D1838" t="s">
        <v>27</v>
      </c>
      <c r="E1838" t="str">
        <f>VLOOKUP(TRIM(D1838), Catalogo_gestiones!$A:$B, 2, FALSE)</f>
        <v>S</v>
      </c>
    </row>
    <row r="1839" spans="1:5" x14ac:dyDescent="0.25">
      <c r="A1839">
        <v>8550284</v>
      </c>
      <c r="B1839">
        <v>25923127</v>
      </c>
      <c r="C1839" s="1">
        <v>42530</v>
      </c>
      <c r="D1839" t="s">
        <v>28</v>
      </c>
      <c r="E1839" t="str">
        <f>VLOOKUP(TRIM(D1839), Catalogo_gestiones!$A:$B, 2, FALSE)</f>
        <v>N</v>
      </c>
    </row>
    <row r="1840" spans="1:5" x14ac:dyDescent="0.25">
      <c r="A1840">
        <v>8550298</v>
      </c>
      <c r="B1840">
        <v>28167696</v>
      </c>
      <c r="C1840" s="1">
        <v>42530</v>
      </c>
      <c r="D1840" t="s">
        <v>24</v>
      </c>
      <c r="E1840" t="str">
        <f>VLOOKUP(TRIM(D1840), Catalogo_gestiones!$A:$B, 2, FALSE)</f>
        <v>S</v>
      </c>
    </row>
    <row r="1841" spans="1:5" x14ac:dyDescent="0.25">
      <c r="A1841">
        <v>8550305</v>
      </c>
      <c r="B1841">
        <v>23926491</v>
      </c>
      <c r="C1841" s="1">
        <v>42530</v>
      </c>
      <c r="D1841" t="s">
        <v>25</v>
      </c>
      <c r="E1841" t="str">
        <f>VLOOKUP(TRIM(D1841), Catalogo_gestiones!$A:$B, 2, FALSE)</f>
        <v>N</v>
      </c>
    </row>
    <row r="1842" spans="1:5" x14ac:dyDescent="0.25">
      <c r="A1842">
        <v>8550332</v>
      </c>
      <c r="B1842">
        <v>23318244</v>
      </c>
      <c r="C1842" s="1">
        <v>42530</v>
      </c>
      <c r="D1842" t="s">
        <v>26</v>
      </c>
      <c r="E1842" t="str">
        <f>VLOOKUP(TRIM(D1842), Catalogo_gestiones!$A:$B, 2, FALSE)</f>
        <v>N</v>
      </c>
    </row>
    <row r="1843" spans="1:5" x14ac:dyDescent="0.25">
      <c r="A1843">
        <v>8550332</v>
      </c>
      <c r="B1843">
        <v>24814717</v>
      </c>
      <c r="C1843" s="1">
        <v>42530</v>
      </c>
      <c r="D1843" t="s">
        <v>27</v>
      </c>
      <c r="E1843" t="str">
        <f>VLOOKUP(TRIM(D1843), Catalogo_gestiones!$A:$B, 2, FALSE)</f>
        <v>S</v>
      </c>
    </row>
    <row r="1844" spans="1:5" x14ac:dyDescent="0.25">
      <c r="A1844">
        <v>8550436</v>
      </c>
      <c r="B1844">
        <v>25269400</v>
      </c>
      <c r="C1844" s="1">
        <v>42530</v>
      </c>
      <c r="D1844" t="s">
        <v>28</v>
      </c>
      <c r="E1844" t="str">
        <f>VLOOKUP(TRIM(D1844), Catalogo_gestiones!$A:$B, 2, FALSE)</f>
        <v>N</v>
      </c>
    </row>
    <row r="1845" spans="1:5" x14ac:dyDescent="0.25">
      <c r="A1845">
        <v>8550436</v>
      </c>
      <c r="B1845">
        <v>25270150</v>
      </c>
      <c r="C1845" s="1">
        <v>42530</v>
      </c>
      <c r="D1845" t="s">
        <v>24</v>
      </c>
      <c r="E1845" t="str">
        <f>VLOOKUP(TRIM(D1845), Catalogo_gestiones!$A:$B, 2, FALSE)</f>
        <v>S</v>
      </c>
    </row>
    <row r="1846" spans="1:5" x14ac:dyDescent="0.25">
      <c r="A1846">
        <v>8550484</v>
      </c>
      <c r="B1846">
        <v>26911994</v>
      </c>
      <c r="C1846" s="1">
        <v>42526</v>
      </c>
      <c r="D1846" t="s">
        <v>25</v>
      </c>
      <c r="E1846" t="str">
        <f>VLOOKUP(TRIM(D1846), Catalogo_gestiones!$A:$B, 2, FALSE)</f>
        <v>N</v>
      </c>
    </row>
    <row r="1847" spans="1:5" x14ac:dyDescent="0.25">
      <c r="A1847">
        <v>8550513</v>
      </c>
      <c r="B1847">
        <v>12130935</v>
      </c>
      <c r="C1847" s="1">
        <v>42530</v>
      </c>
      <c r="D1847" t="s">
        <v>26</v>
      </c>
      <c r="E1847" t="str">
        <f>VLOOKUP(TRIM(D1847), Catalogo_gestiones!$A:$B, 2, FALSE)</f>
        <v>N</v>
      </c>
    </row>
    <row r="1848" spans="1:5" x14ac:dyDescent="0.25">
      <c r="A1848">
        <v>8550513</v>
      </c>
      <c r="B1848">
        <v>23977900</v>
      </c>
      <c r="C1848" s="1">
        <v>42530</v>
      </c>
      <c r="D1848" t="s">
        <v>27</v>
      </c>
      <c r="E1848" t="str">
        <f>VLOOKUP(TRIM(D1848), Catalogo_gestiones!$A:$B, 2, FALSE)</f>
        <v>S</v>
      </c>
    </row>
    <row r="1849" spans="1:5" x14ac:dyDescent="0.25">
      <c r="A1849">
        <v>8550753</v>
      </c>
      <c r="B1849">
        <v>21386180</v>
      </c>
      <c r="C1849" s="1">
        <v>42530</v>
      </c>
      <c r="D1849" t="s">
        <v>28</v>
      </c>
      <c r="E1849" t="str">
        <f>VLOOKUP(TRIM(D1849), Catalogo_gestiones!$A:$B, 2, FALSE)</f>
        <v>N</v>
      </c>
    </row>
    <row r="1850" spans="1:5" x14ac:dyDescent="0.25">
      <c r="A1850">
        <v>8550900</v>
      </c>
      <c r="B1850">
        <v>19225430</v>
      </c>
      <c r="C1850" s="1">
        <v>42530</v>
      </c>
      <c r="D1850" t="s">
        <v>30</v>
      </c>
      <c r="E1850" t="str">
        <f>VLOOKUP(TRIM(D1850), Catalogo_gestiones!$A:$B, 2, FALSE)</f>
        <v>S</v>
      </c>
    </row>
    <row r="1851" spans="1:5" x14ac:dyDescent="0.25">
      <c r="A1851">
        <v>8551082</v>
      </c>
      <c r="B1851">
        <v>26878877</v>
      </c>
      <c r="C1851" s="1">
        <v>42530</v>
      </c>
      <c r="D1851" t="s">
        <v>24</v>
      </c>
      <c r="E1851" t="str">
        <f>VLOOKUP(TRIM(D1851), Catalogo_gestiones!$A:$B, 2, FALSE)</f>
        <v>S</v>
      </c>
    </row>
    <row r="1852" spans="1:5" x14ac:dyDescent="0.25">
      <c r="A1852">
        <v>8551304</v>
      </c>
      <c r="B1852">
        <v>27672818</v>
      </c>
      <c r="C1852" s="1">
        <v>42530</v>
      </c>
      <c r="D1852" t="s">
        <v>25</v>
      </c>
      <c r="E1852" t="str">
        <f>VLOOKUP(TRIM(D1852), Catalogo_gestiones!$A:$B, 2, FALSE)</f>
        <v>N</v>
      </c>
    </row>
    <row r="1853" spans="1:5" x14ac:dyDescent="0.25">
      <c r="A1853">
        <v>8551392</v>
      </c>
      <c r="B1853">
        <v>26555103</v>
      </c>
      <c r="C1853" s="1">
        <v>42530</v>
      </c>
      <c r="D1853" t="s">
        <v>26</v>
      </c>
      <c r="E1853" t="str">
        <f>VLOOKUP(TRIM(D1853), Catalogo_gestiones!$A:$B, 2, FALSE)</f>
        <v>N</v>
      </c>
    </row>
    <row r="1854" spans="1:5" x14ac:dyDescent="0.25">
      <c r="A1854">
        <v>8551680</v>
      </c>
      <c r="B1854">
        <v>23582216</v>
      </c>
      <c r="C1854" s="1">
        <v>42530</v>
      </c>
      <c r="D1854" t="s">
        <v>27</v>
      </c>
      <c r="E1854" t="str">
        <f>VLOOKUP(TRIM(D1854), Catalogo_gestiones!$A:$B, 2, FALSE)</f>
        <v>S</v>
      </c>
    </row>
    <row r="1855" spans="1:5" x14ac:dyDescent="0.25">
      <c r="A1855">
        <v>8551730</v>
      </c>
      <c r="B1855">
        <v>25786927</v>
      </c>
      <c r="C1855" s="1">
        <v>42530</v>
      </c>
      <c r="D1855" t="s">
        <v>28</v>
      </c>
      <c r="E1855" t="str">
        <f>VLOOKUP(TRIM(D1855), Catalogo_gestiones!$A:$B, 2, FALSE)</f>
        <v>N</v>
      </c>
    </row>
    <row r="1856" spans="1:5" x14ac:dyDescent="0.25">
      <c r="A1856">
        <v>8551730</v>
      </c>
      <c r="B1856">
        <v>28186038</v>
      </c>
      <c r="C1856" s="1">
        <v>42525</v>
      </c>
      <c r="D1856" t="s">
        <v>24</v>
      </c>
      <c r="E1856" t="str">
        <f>VLOOKUP(TRIM(D1856), Catalogo_gestiones!$A:$B, 2, FALSE)</f>
        <v>S</v>
      </c>
    </row>
    <row r="1857" spans="1:5" x14ac:dyDescent="0.25">
      <c r="A1857">
        <v>8552223</v>
      </c>
      <c r="B1857">
        <v>25178462</v>
      </c>
      <c r="C1857" s="1">
        <v>42530</v>
      </c>
      <c r="D1857" t="s">
        <v>25</v>
      </c>
      <c r="E1857" t="str">
        <f>VLOOKUP(TRIM(D1857), Catalogo_gestiones!$A:$B, 2, FALSE)</f>
        <v>N</v>
      </c>
    </row>
    <row r="1858" spans="1:5" x14ac:dyDescent="0.25">
      <c r="A1858">
        <v>8552331</v>
      </c>
      <c r="B1858">
        <v>22221367</v>
      </c>
      <c r="C1858" s="1">
        <v>42530</v>
      </c>
      <c r="D1858" t="s">
        <v>26</v>
      </c>
      <c r="E1858" t="str">
        <f>VLOOKUP(TRIM(D1858), Catalogo_gestiones!$A:$B, 2, FALSE)</f>
        <v>N</v>
      </c>
    </row>
    <row r="1859" spans="1:5" x14ac:dyDescent="0.25">
      <c r="A1859">
        <v>8552331</v>
      </c>
      <c r="B1859">
        <v>23982519</v>
      </c>
      <c r="C1859" s="1">
        <v>42530</v>
      </c>
      <c r="D1859" t="s">
        <v>27</v>
      </c>
      <c r="E1859" t="str">
        <f>VLOOKUP(TRIM(D1859), Catalogo_gestiones!$A:$B, 2, FALSE)</f>
        <v>S</v>
      </c>
    </row>
    <row r="1860" spans="1:5" x14ac:dyDescent="0.25">
      <c r="A1860">
        <v>8552331</v>
      </c>
      <c r="B1860">
        <v>23983643</v>
      </c>
      <c r="C1860" s="1">
        <v>42530</v>
      </c>
      <c r="D1860" t="s">
        <v>28</v>
      </c>
      <c r="E1860" t="str">
        <f>VLOOKUP(TRIM(D1860), Catalogo_gestiones!$A:$B, 2, FALSE)</f>
        <v>N</v>
      </c>
    </row>
    <row r="1861" spans="1:5" x14ac:dyDescent="0.25">
      <c r="A1861">
        <v>8552345</v>
      </c>
      <c r="B1861">
        <v>23758783</v>
      </c>
      <c r="C1861" s="1">
        <v>42531</v>
      </c>
      <c r="D1861" t="s">
        <v>24</v>
      </c>
      <c r="E1861" t="str">
        <f>VLOOKUP(TRIM(D1861), Catalogo_gestiones!$A:$B, 2, FALSE)</f>
        <v>S</v>
      </c>
    </row>
    <row r="1862" spans="1:5" x14ac:dyDescent="0.25">
      <c r="A1862">
        <v>8552345</v>
      </c>
      <c r="B1862">
        <v>27755148</v>
      </c>
      <c r="C1862" s="1">
        <v>42530</v>
      </c>
      <c r="D1862" t="s">
        <v>25</v>
      </c>
      <c r="E1862" t="str">
        <f>VLOOKUP(TRIM(D1862), Catalogo_gestiones!$A:$B, 2, FALSE)</f>
        <v>N</v>
      </c>
    </row>
    <row r="1863" spans="1:5" x14ac:dyDescent="0.25">
      <c r="A1863">
        <v>8552450</v>
      </c>
      <c r="B1863">
        <v>21386195</v>
      </c>
      <c r="C1863" s="1">
        <v>42524</v>
      </c>
      <c r="D1863" t="s">
        <v>26</v>
      </c>
      <c r="E1863" t="str">
        <f>VLOOKUP(TRIM(D1863), Catalogo_gestiones!$A:$B, 2, FALSE)</f>
        <v>N</v>
      </c>
    </row>
    <row r="1864" spans="1:5" x14ac:dyDescent="0.25">
      <c r="A1864">
        <v>8552462</v>
      </c>
      <c r="B1864">
        <v>25300456</v>
      </c>
      <c r="C1864" s="1">
        <v>42530</v>
      </c>
      <c r="D1864" t="s">
        <v>27</v>
      </c>
      <c r="E1864" t="str">
        <f>VLOOKUP(TRIM(D1864), Catalogo_gestiones!$A:$B, 2, FALSE)</f>
        <v>S</v>
      </c>
    </row>
    <row r="1865" spans="1:5" x14ac:dyDescent="0.25">
      <c r="A1865">
        <v>8552479</v>
      </c>
      <c r="B1865">
        <v>25963393</v>
      </c>
      <c r="C1865" s="1">
        <v>42530</v>
      </c>
      <c r="D1865" t="s">
        <v>28</v>
      </c>
      <c r="E1865" t="str">
        <f>VLOOKUP(TRIM(D1865), Catalogo_gestiones!$A:$B, 2, FALSE)</f>
        <v>N</v>
      </c>
    </row>
    <row r="1866" spans="1:5" x14ac:dyDescent="0.25">
      <c r="A1866">
        <v>8552611</v>
      </c>
      <c r="B1866">
        <v>26725212</v>
      </c>
      <c r="C1866" s="1">
        <v>42530</v>
      </c>
      <c r="D1866" t="s">
        <v>30</v>
      </c>
      <c r="E1866" t="str">
        <f>VLOOKUP(TRIM(D1866), Catalogo_gestiones!$A:$B, 2, FALSE)</f>
        <v>S</v>
      </c>
    </row>
    <row r="1867" spans="1:5" x14ac:dyDescent="0.25">
      <c r="A1867">
        <v>8552611</v>
      </c>
      <c r="B1867">
        <v>27290206</v>
      </c>
      <c r="C1867" s="1">
        <v>42530</v>
      </c>
      <c r="D1867" t="s">
        <v>24</v>
      </c>
      <c r="E1867" t="str">
        <f>VLOOKUP(TRIM(D1867), Catalogo_gestiones!$A:$B, 2, FALSE)</f>
        <v>S</v>
      </c>
    </row>
    <row r="1868" spans="1:5" x14ac:dyDescent="0.25">
      <c r="A1868">
        <v>8552858</v>
      </c>
      <c r="B1868">
        <v>4734571</v>
      </c>
      <c r="C1868" s="1">
        <v>42530</v>
      </c>
      <c r="D1868" t="s">
        <v>25</v>
      </c>
      <c r="E1868" t="str">
        <f>VLOOKUP(TRIM(D1868), Catalogo_gestiones!$A:$B, 2, FALSE)</f>
        <v>N</v>
      </c>
    </row>
    <row r="1869" spans="1:5" x14ac:dyDescent="0.25">
      <c r="A1869">
        <v>8552858</v>
      </c>
      <c r="B1869">
        <v>21710039</v>
      </c>
      <c r="C1869" s="1">
        <v>42530</v>
      </c>
      <c r="D1869" t="s">
        <v>26</v>
      </c>
      <c r="E1869" t="str">
        <f>VLOOKUP(TRIM(D1869), Catalogo_gestiones!$A:$B, 2, FALSE)</f>
        <v>N</v>
      </c>
    </row>
    <row r="1870" spans="1:5" x14ac:dyDescent="0.25">
      <c r="A1870">
        <v>8552858</v>
      </c>
      <c r="B1870">
        <v>28584622</v>
      </c>
      <c r="C1870" s="1">
        <v>42526</v>
      </c>
      <c r="D1870" t="s">
        <v>27</v>
      </c>
      <c r="E1870" t="str">
        <f>VLOOKUP(TRIM(D1870), Catalogo_gestiones!$A:$B, 2, FALSE)</f>
        <v>S</v>
      </c>
    </row>
    <row r="1871" spans="1:5" x14ac:dyDescent="0.25">
      <c r="A1871">
        <v>8552898</v>
      </c>
      <c r="B1871">
        <v>4715262</v>
      </c>
      <c r="C1871" s="1">
        <v>42524</v>
      </c>
      <c r="D1871" t="s">
        <v>28</v>
      </c>
      <c r="E1871" t="str">
        <f>VLOOKUP(TRIM(D1871), Catalogo_gestiones!$A:$B, 2, FALSE)</f>
        <v>N</v>
      </c>
    </row>
    <row r="1872" spans="1:5" x14ac:dyDescent="0.25">
      <c r="A1872">
        <v>8553096</v>
      </c>
      <c r="B1872">
        <v>27552740</v>
      </c>
      <c r="C1872" s="1">
        <v>42530</v>
      </c>
      <c r="D1872" t="s">
        <v>24</v>
      </c>
      <c r="E1872" t="str">
        <f>VLOOKUP(TRIM(D1872), Catalogo_gestiones!$A:$B, 2, FALSE)</f>
        <v>S</v>
      </c>
    </row>
    <row r="1873" spans="1:5" x14ac:dyDescent="0.25">
      <c r="A1873">
        <v>8553189</v>
      </c>
      <c r="B1873">
        <v>15321950</v>
      </c>
      <c r="C1873" s="1">
        <v>42530</v>
      </c>
      <c r="D1873" t="s">
        <v>25</v>
      </c>
      <c r="E1873" t="str">
        <f>VLOOKUP(TRIM(D1873), Catalogo_gestiones!$A:$B, 2, FALSE)</f>
        <v>N</v>
      </c>
    </row>
    <row r="1874" spans="1:5" x14ac:dyDescent="0.25">
      <c r="A1874">
        <v>8553292</v>
      </c>
      <c r="B1874">
        <v>26038478</v>
      </c>
      <c r="C1874" s="1">
        <v>42524</v>
      </c>
      <c r="D1874" t="s">
        <v>26</v>
      </c>
      <c r="E1874" t="str">
        <f>VLOOKUP(TRIM(D1874), Catalogo_gestiones!$A:$B, 2, FALSE)</f>
        <v>N</v>
      </c>
    </row>
    <row r="1875" spans="1:5" x14ac:dyDescent="0.25">
      <c r="A1875">
        <v>8553414</v>
      </c>
      <c r="B1875">
        <v>16700034</v>
      </c>
      <c r="C1875" s="1">
        <v>42530</v>
      </c>
      <c r="D1875" t="s">
        <v>27</v>
      </c>
      <c r="E1875" t="str">
        <f>VLOOKUP(TRIM(D1875), Catalogo_gestiones!$A:$B, 2, FALSE)</f>
        <v>S</v>
      </c>
    </row>
    <row r="1876" spans="1:5" x14ac:dyDescent="0.25">
      <c r="A1876">
        <v>8553666</v>
      </c>
      <c r="B1876">
        <v>26377696</v>
      </c>
      <c r="C1876" s="1">
        <v>42530</v>
      </c>
      <c r="D1876" t="s">
        <v>28</v>
      </c>
      <c r="E1876" t="str">
        <f>VLOOKUP(TRIM(D1876), Catalogo_gestiones!$A:$B, 2, FALSE)</f>
        <v>N</v>
      </c>
    </row>
    <row r="1877" spans="1:5" x14ac:dyDescent="0.25">
      <c r="A1877">
        <v>8553693</v>
      </c>
      <c r="B1877">
        <v>23663051</v>
      </c>
      <c r="C1877" s="1">
        <v>42530</v>
      </c>
      <c r="D1877" t="s">
        <v>24</v>
      </c>
      <c r="E1877" t="str">
        <f>VLOOKUP(TRIM(D1877), Catalogo_gestiones!$A:$B, 2, FALSE)</f>
        <v>S</v>
      </c>
    </row>
    <row r="1878" spans="1:5" x14ac:dyDescent="0.25">
      <c r="A1878">
        <v>8553693</v>
      </c>
      <c r="B1878">
        <v>23932368</v>
      </c>
      <c r="C1878" s="1">
        <v>42531</v>
      </c>
      <c r="D1878" t="s">
        <v>25</v>
      </c>
      <c r="E1878" t="str">
        <f>VLOOKUP(TRIM(D1878), Catalogo_gestiones!$A:$B, 2, FALSE)</f>
        <v>N</v>
      </c>
    </row>
    <row r="1879" spans="1:5" x14ac:dyDescent="0.25">
      <c r="A1879">
        <v>8553743</v>
      </c>
      <c r="B1879">
        <v>20545144</v>
      </c>
      <c r="C1879" s="1">
        <v>42530</v>
      </c>
      <c r="D1879" t="s">
        <v>26</v>
      </c>
      <c r="E1879" t="str">
        <f>VLOOKUP(TRIM(D1879), Catalogo_gestiones!$A:$B, 2, FALSE)</f>
        <v>N</v>
      </c>
    </row>
    <row r="1880" spans="1:5" x14ac:dyDescent="0.25">
      <c r="A1880">
        <v>8553743</v>
      </c>
      <c r="B1880">
        <v>21877122</v>
      </c>
      <c r="C1880" s="1">
        <v>42530</v>
      </c>
      <c r="D1880" t="s">
        <v>27</v>
      </c>
      <c r="E1880" t="str">
        <f>VLOOKUP(TRIM(D1880), Catalogo_gestiones!$A:$B, 2, FALSE)</f>
        <v>S</v>
      </c>
    </row>
    <row r="1881" spans="1:5" x14ac:dyDescent="0.25">
      <c r="A1881">
        <v>8554278</v>
      </c>
      <c r="B1881">
        <v>20987702</v>
      </c>
      <c r="C1881" s="1">
        <v>42530</v>
      </c>
      <c r="D1881" t="s">
        <v>28</v>
      </c>
      <c r="E1881" t="str">
        <f>VLOOKUP(TRIM(D1881), Catalogo_gestiones!$A:$B, 2, FALSE)</f>
        <v>N</v>
      </c>
    </row>
    <row r="1882" spans="1:5" x14ac:dyDescent="0.25">
      <c r="A1882">
        <v>8554397</v>
      </c>
      <c r="B1882">
        <v>28146964</v>
      </c>
      <c r="C1882" s="1">
        <v>42530</v>
      </c>
      <c r="D1882" t="s">
        <v>30</v>
      </c>
      <c r="E1882" t="str">
        <f>VLOOKUP(TRIM(D1882), Catalogo_gestiones!$A:$B, 2, FALSE)</f>
        <v>S</v>
      </c>
    </row>
    <row r="1883" spans="1:5" x14ac:dyDescent="0.25">
      <c r="A1883">
        <v>8554529</v>
      </c>
      <c r="B1883">
        <v>27523507</v>
      </c>
      <c r="C1883" s="1">
        <v>42530</v>
      </c>
      <c r="D1883" t="s">
        <v>24</v>
      </c>
      <c r="E1883" t="str">
        <f>VLOOKUP(TRIM(D1883), Catalogo_gestiones!$A:$B, 2, FALSE)</f>
        <v>S</v>
      </c>
    </row>
    <row r="1884" spans="1:5" x14ac:dyDescent="0.25">
      <c r="A1884">
        <v>8554929</v>
      </c>
      <c r="B1884">
        <v>26813424</v>
      </c>
      <c r="C1884" s="1">
        <v>42530</v>
      </c>
      <c r="D1884" t="s">
        <v>25</v>
      </c>
      <c r="E1884" t="str">
        <f>VLOOKUP(TRIM(D1884), Catalogo_gestiones!$A:$B, 2, FALSE)</f>
        <v>N</v>
      </c>
    </row>
    <row r="1885" spans="1:5" x14ac:dyDescent="0.25">
      <c r="A1885">
        <v>8554952</v>
      </c>
      <c r="B1885">
        <v>14370932</v>
      </c>
      <c r="C1885" s="1">
        <v>42530</v>
      </c>
      <c r="D1885" t="s">
        <v>26</v>
      </c>
      <c r="E1885" t="str">
        <f>VLOOKUP(TRIM(D1885), Catalogo_gestiones!$A:$B, 2, FALSE)</f>
        <v>N</v>
      </c>
    </row>
    <row r="1886" spans="1:5" x14ac:dyDescent="0.25">
      <c r="A1886">
        <v>8555181</v>
      </c>
      <c r="B1886">
        <v>28267368</v>
      </c>
      <c r="C1886" s="1">
        <v>42524</v>
      </c>
      <c r="D1886" t="s">
        <v>27</v>
      </c>
      <c r="E1886" t="str">
        <f>VLOOKUP(TRIM(D1886), Catalogo_gestiones!$A:$B, 2, FALSE)</f>
        <v>S</v>
      </c>
    </row>
    <row r="1887" spans="1:5" x14ac:dyDescent="0.25">
      <c r="A1887">
        <v>8555188</v>
      </c>
      <c r="B1887">
        <v>23486645</v>
      </c>
      <c r="C1887" s="1">
        <v>42526</v>
      </c>
      <c r="D1887" t="s">
        <v>28</v>
      </c>
      <c r="E1887" t="str">
        <f>VLOOKUP(TRIM(D1887), Catalogo_gestiones!$A:$B, 2, FALSE)</f>
        <v>N</v>
      </c>
    </row>
    <row r="1888" spans="1:5" x14ac:dyDescent="0.25">
      <c r="A1888">
        <v>8555305</v>
      </c>
      <c r="B1888">
        <v>21346506</v>
      </c>
      <c r="C1888" s="1">
        <v>42530</v>
      </c>
      <c r="D1888" t="s">
        <v>24</v>
      </c>
      <c r="E1888" t="str">
        <f>VLOOKUP(TRIM(D1888), Catalogo_gestiones!$A:$B, 2, FALSE)</f>
        <v>S</v>
      </c>
    </row>
    <row r="1889" spans="1:5" x14ac:dyDescent="0.25">
      <c r="A1889">
        <v>8555315</v>
      </c>
      <c r="B1889">
        <v>26673640</v>
      </c>
      <c r="C1889" s="1">
        <v>42530</v>
      </c>
      <c r="D1889" t="s">
        <v>25</v>
      </c>
      <c r="E1889" t="str">
        <f>VLOOKUP(TRIM(D1889), Catalogo_gestiones!$A:$B, 2, FALSE)</f>
        <v>N</v>
      </c>
    </row>
    <row r="1890" spans="1:5" x14ac:dyDescent="0.25">
      <c r="A1890">
        <v>8555342</v>
      </c>
      <c r="B1890">
        <v>25416050</v>
      </c>
      <c r="C1890" s="1">
        <v>42530</v>
      </c>
      <c r="D1890" t="s">
        <v>26</v>
      </c>
      <c r="E1890" t="str">
        <f>VLOOKUP(TRIM(D1890), Catalogo_gestiones!$A:$B, 2, FALSE)</f>
        <v>N</v>
      </c>
    </row>
    <row r="1891" spans="1:5" x14ac:dyDescent="0.25">
      <c r="A1891">
        <v>8555675</v>
      </c>
      <c r="B1891">
        <v>14868002</v>
      </c>
      <c r="C1891" s="1">
        <v>42530</v>
      </c>
      <c r="D1891" t="s">
        <v>27</v>
      </c>
      <c r="E1891" t="str">
        <f>VLOOKUP(TRIM(D1891), Catalogo_gestiones!$A:$B, 2, FALSE)</f>
        <v>S</v>
      </c>
    </row>
    <row r="1892" spans="1:5" x14ac:dyDescent="0.25">
      <c r="A1892">
        <v>8555675</v>
      </c>
      <c r="B1892">
        <v>28583654</v>
      </c>
      <c r="C1892" s="1">
        <v>42525</v>
      </c>
      <c r="D1892" t="s">
        <v>28</v>
      </c>
      <c r="E1892" t="str">
        <f>VLOOKUP(TRIM(D1892), Catalogo_gestiones!$A:$B, 2, FALSE)</f>
        <v>N</v>
      </c>
    </row>
    <row r="1893" spans="1:5" x14ac:dyDescent="0.25">
      <c r="A1893">
        <v>8555736</v>
      </c>
      <c r="B1893">
        <v>25460723</v>
      </c>
      <c r="C1893" s="1">
        <v>42526</v>
      </c>
      <c r="D1893" t="s">
        <v>24</v>
      </c>
      <c r="E1893" t="str">
        <f>VLOOKUP(TRIM(D1893), Catalogo_gestiones!$A:$B, 2, FALSE)</f>
        <v>S</v>
      </c>
    </row>
    <row r="1894" spans="1:5" x14ac:dyDescent="0.25">
      <c r="A1894">
        <v>8555791</v>
      </c>
      <c r="B1894">
        <v>25874889</v>
      </c>
      <c r="C1894" s="1">
        <v>42530</v>
      </c>
      <c r="D1894" t="s">
        <v>25</v>
      </c>
      <c r="E1894" t="str">
        <f>VLOOKUP(TRIM(D1894), Catalogo_gestiones!$A:$B, 2, FALSE)</f>
        <v>N</v>
      </c>
    </row>
    <row r="1895" spans="1:5" x14ac:dyDescent="0.25">
      <c r="A1895">
        <v>8555825</v>
      </c>
      <c r="B1895">
        <v>23416027</v>
      </c>
      <c r="C1895" s="1">
        <v>42530</v>
      </c>
      <c r="D1895" t="s">
        <v>26</v>
      </c>
      <c r="E1895" t="str">
        <f>VLOOKUP(TRIM(D1895), Catalogo_gestiones!$A:$B, 2, FALSE)</f>
        <v>N</v>
      </c>
    </row>
    <row r="1896" spans="1:5" x14ac:dyDescent="0.25">
      <c r="A1896">
        <v>8555868</v>
      </c>
      <c r="B1896">
        <v>10788626</v>
      </c>
      <c r="C1896" s="1">
        <v>42530</v>
      </c>
      <c r="D1896" t="s">
        <v>27</v>
      </c>
      <c r="E1896" t="str">
        <f>VLOOKUP(TRIM(D1896), Catalogo_gestiones!$A:$B, 2, FALSE)</f>
        <v>S</v>
      </c>
    </row>
    <row r="1897" spans="1:5" x14ac:dyDescent="0.25">
      <c r="A1897">
        <v>8556030</v>
      </c>
      <c r="B1897">
        <v>19681511</v>
      </c>
      <c r="C1897" s="1">
        <v>42530</v>
      </c>
      <c r="D1897" t="s">
        <v>28</v>
      </c>
      <c r="E1897" t="str">
        <f>VLOOKUP(TRIM(D1897), Catalogo_gestiones!$A:$B, 2, FALSE)</f>
        <v>N</v>
      </c>
    </row>
    <row r="1898" spans="1:5" x14ac:dyDescent="0.25">
      <c r="A1898">
        <v>8556030</v>
      </c>
      <c r="B1898">
        <v>24292654</v>
      </c>
      <c r="C1898" s="1">
        <v>42530</v>
      </c>
      <c r="D1898" t="s">
        <v>30</v>
      </c>
      <c r="E1898" t="str">
        <f>VLOOKUP(TRIM(D1898), Catalogo_gestiones!$A:$B, 2, FALSE)</f>
        <v>S</v>
      </c>
    </row>
    <row r="1899" spans="1:5" x14ac:dyDescent="0.25">
      <c r="A1899">
        <v>8556030</v>
      </c>
      <c r="B1899">
        <v>26488898</v>
      </c>
      <c r="C1899" s="1">
        <v>42530</v>
      </c>
      <c r="D1899" t="s">
        <v>24</v>
      </c>
      <c r="E1899" t="str">
        <f>VLOOKUP(TRIM(D1899), Catalogo_gestiones!$A:$B, 2, FALSE)</f>
        <v>S</v>
      </c>
    </row>
    <row r="1900" spans="1:5" x14ac:dyDescent="0.25">
      <c r="A1900">
        <v>8556391</v>
      </c>
      <c r="B1900">
        <v>23249256</v>
      </c>
      <c r="C1900" s="1">
        <v>42530</v>
      </c>
      <c r="D1900" t="s">
        <v>25</v>
      </c>
      <c r="E1900" t="str">
        <f>VLOOKUP(TRIM(D1900), Catalogo_gestiones!$A:$B, 2, FALSE)</f>
        <v>N</v>
      </c>
    </row>
    <row r="1901" spans="1:5" x14ac:dyDescent="0.25">
      <c r="A1901">
        <v>8556391</v>
      </c>
      <c r="B1901">
        <v>28582736</v>
      </c>
      <c r="C1901" s="1">
        <v>42525</v>
      </c>
      <c r="D1901" t="s">
        <v>26</v>
      </c>
      <c r="E1901" t="str">
        <f>VLOOKUP(TRIM(D1901), Catalogo_gestiones!$A:$B, 2, FALSE)</f>
        <v>N</v>
      </c>
    </row>
    <row r="1902" spans="1:5" x14ac:dyDescent="0.25">
      <c r="A1902">
        <v>8556426</v>
      </c>
      <c r="B1902">
        <v>1709105</v>
      </c>
      <c r="C1902" s="1">
        <v>42530</v>
      </c>
      <c r="D1902" t="s">
        <v>27</v>
      </c>
      <c r="E1902" t="str">
        <f>VLOOKUP(TRIM(D1902), Catalogo_gestiones!$A:$B, 2, FALSE)</f>
        <v>S</v>
      </c>
    </row>
    <row r="1903" spans="1:5" x14ac:dyDescent="0.25">
      <c r="A1903">
        <v>8556428</v>
      </c>
      <c r="B1903">
        <v>2953804</v>
      </c>
      <c r="C1903" s="1">
        <v>42530</v>
      </c>
      <c r="D1903" t="s">
        <v>28</v>
      </c>
      <c r="E1903" t="str">
        <f>VLOOKUP(TRIM(D1903), Catalogo_gestiones!$A:$B, 2, FALSE)</f>
        <v>N</v>
      </c>
    </row>
    <row r="1904" spans="1:5" x14ac:dyDescent="0.25">
      <c r="A1904">
        <v>8556457</v>
      </c>
      <c r="B1904">
        <v>27019597</v>
      </c>
      <c r="C1904" s="1">
        <v>42530</v>
      </c>
      <c r="D1904" t="s">
        <v>24</v>
      </c>
      <c r="E1904" t="str">
        <f>VLOOKUP(TRIM(D1904), Catalogo_gestiones!$A:$B, 2, FALSE)</f>
        <v>S</v>
      </c>
    </row>
    <row r="1905" spans="1:5" x14ac:dyDescent="0.25">
      <c r="A1905">
        <v>8556457</v>
      </c>
      <c r="B1905">
        <v>27021386</v>
      </c>
      <c r="C1905" s="1">
        <v>42530</v>
      </c>
      <c r="D1905" t="s">
        <v>25</v>
      </c>
      <c r="E1905" t="str">
        <f>VLOOKUP(TRIM(D1905), Catalogo_gestiones!$A:$B, 2, FALSE)</f>
        <v>N</v>
      </c>
    </row>
    <row r="1906" spans="1:5" x14ac:dyDescent="0.25">
      <c r="A1906">
        <v>8556636</v>
      </c>
      <c r="B1906">
        <v>20095662</v>
      </c>
      <c r="C1906" s="1">
        <v>42530</v>
      </c>
      <c r="D1906" t="s">
        <v>26</v>
      </c>
      <c r="E1906" t="str">
        <f>VLOOKUP(TRIM(D1906), Catalogo_gestiones!$A:$B, 2, FALSE)</f>
        <v>N</v>
      </c>
    </row>
    <row r="1907" spans="1:5" x14ac:dyDescent="0.25">
      <c r="A1907">
        <v>8556668</v>
      </c>
      <c r="B1907">
        <v>23262163</v>
      </c>
      <c r="C1907" s="1">
        <v>42530</v>
      </c>
      <c r="D1907" t="s">
        <v>27</v>
      </c>
      <c r="E1907" t="str">
        <f>VLOOKUP(TRIM(D1907), Catalogo_gestiones!$A:$B, 2, FALSE)</f>
        <v>S</v>
      </c>
    </row>
    <row r="1908" spans="1:5" x14ac:dyDescent="0.25">
      <c r="A1908">
        <v>8556848</v>
      </c>
      <c r="B1908">
        <v>27485416</v>
      </c>
      <c r="C1908" s="1">
        <v>42530</v>
      </c>
      <c r="D1908" t="s">
        <v>28</v>
      </c>
      <c r="E1908" t="str">
        <f>VLOOKUP(TRIM(D1908), Catalogo_gestiones!$A:$B, 2, FALSE)</f>
        <v>N</v>
      </c>
    </row>
    <row r="1909" spans="1:5" x14ac:dyDescent="0.25">
      <c r="A1909">
        <v>8556862</v>
      </c>
      <c r="B1909">
        <v>21386184</v>
      </c>
      <c r="C1909" s="1">
        <v>42530</v>
      </c>
      <c r="D1909" t="s">
        <v>24</v>
      </c>
      <c r="E1909" t="str">
        <f>VLOOKUP(TRIM(D1909), Catalogo_gestiones!$A:$B, 2, FALSE)</f>
        <v>S</v>
      </c>
    </row>
    <row r="1910" spans="1:5" x14ac:dyDescent="0.25">
      <c r="A1910">
        <v>8556874</v>
      </c>
      <c r="B1910">
        <v>22431746</v>
      </c>
      <c r="C1910" s="1">
        <v>42530</v>
      </c>
      <c r="D1910" t="s">
        <v>25</v>
      </c>
      <c r="E1910" t="str">
        <f>VLOOKUP(TRIM(D1910), Catalogo_gestiones!$A:$B, 2, FALSE)</f>
        <v>N</v>
      </c>
    </row>
    <row r="1911" spans="1:5" x14ac:dyDescent="0.25">
      <c r="A1911">
        <v>8556971</v>
      </c>
      <c r="B1911">
        <v>23736047</v>
      </c>
      <c r="C1911" s="1">
        <v>42530</v>
      </c>
      <c r="D1911" t="s">
        <v>26</v>
      </c>
      <c r="E1911" t="str">
        <f>VLOOKUP(TRIM(D1911), Catalogo_gestiones!$A:$B, 2, FALSE)</f>
        <v>N</v>
      </c>
    </row>
    <row r="1912" spans="1:5" x14ac:dyDescent="0.25">
      <c r="A1912">
        <v>8557015</v>
      </c>
      <c r="B1912">
        <v>27004164</v>
      </c>
      <c r="C1912" s="1">
        <v>42530</v>
      </c>
      <c r="D1912" t="s">
        <v>27</v>
      </c>
      <c r="E1912" t="str">
        <f>VLOOKUP(TRIM(D1912), Catalogo_gestiones!$A:$B, 2, FALSE)</f>
        <v>S</v>
      </c>
    </row>
    <row r="1913" spans="1:5" x14ac:dyDescent="0.25">
      <c r="A1913">
        <v>8557036</v>
      </c>
      <c r="B1913">
        <v>26395640</v>
      </c>
      <c r="C1913" s="1">
        <v>42530</v>
      </c>
      <c r="D1913" t="s">
        <v>28</v>
      </c>
      <c r="E1913" t="str">
        <f>VLOOKUP(TRIM(D1913), Catalogo_gestiones!$A:$B, 2, FALSE)</f>
        <v>N</v>
      </c>
    </row>
    <row r="1914" spans="1:5" x14ac:dyDescent="0.25">
      <c r="A1914">
        <v>8557297</v>
      </c>
      <c r="B1914">
        <v>25845100</v>
      </c>
      <c r="C1914" s="1">
        <v>42530</v>
      </c>
      <c r="D1914" t="s">
        <v>30</v>
      </c>
      <c r="E1914" t="str">
        <f>VLOOKUP(TRIM(D1914), Catalogo_gestiones!$A:$B, 2, FALSE)</f>
        <v>S</v>
      </c>
    </row>
    <row r="1915" spans="1:5" x14ac:dyDescent="0.25">
      <c r="A1915">
        <v>8557297</v>
      </c>
      <c r="B1915">
        <v>25846718</v>
      </c>
      <c r="C1915" s="1">
        <v>42530</v>
      </c>
      <c r="D1915" t="s">
        <v>24</v>
      </c>
      <c r="E1915" t="str">
        <f>VLOOKUP(TRIM(D1915), Catalogo_gestiones!$A:$B, 2, FALSE)</f>
        <v>S</v>
      </c>
    </row>
    <row r="1916" spans="1:5" x14ac:dyDescent="0.25">
      <c r="A1916">
        <v>8557743</v>
      </c>
      <c r="B1916">
        <v>23790214</v>
      </c>
      <c r="C1916" s="1">
        <v>42530</v>
      </c>
      <c r="D1916" t="s">
        <v>25</v>
      </c>
      <c r="E1916" t="str">
        <f>VLOOKUP(TRIM(D1916), Catalogo_gestiones!$A:$B, 2, FALSE)</f>
        <v>N</v>
      </c>
    </row>
    <row r="1917" spans="1:5" x14ac:dyDescent="0.25">
      <c r="A1917">
        <v>8557743</v>
      </c>
      <c r="B1917">
        <v>25042402</v>
      </c>
      <c r="C1917" s="1">
        <v>42530</v>
      </c>
      <c r="D1917" t="s">
        <v>26</v>
      </c>
      <c r="E1917" t="str">
        <f>VLOOKUP(TRIM(D1917), Catalogo_gestiones!$A:$B, 2, FALSE)</f>
        <v>N</v>
      </c>
    </row>
    <row r="1918" spans="1:5" x14ac:dyDescent="0.25">
      <c r="A1918">
        <v>8557752</v>
      </c>
      <c r="B1918">
        <v>22994170</v>
      </c>
      <c r="C1918" s="1">
        <v>42530</v>
      </c>
      <c r="D1918" t="s">
        <v>27</v>
      </c>
      <c r="E1918" t="str">
        <f>VLOOKUP(TRIM(D1918), Catalogo_gestiones!$A:$B, 2, FALSE)</f>
        <v>S</v>
      </c>
    </row>
    <row r="1919" spans="1:5" x14ac:dyDescent="0.25">
      <c r="A1919">
        <v>8557907</v>
      </c>
      <c r="B1919">
        <v>16361629</v>
      </c>
      <c r="C1919" s="1">
        <v>42530</v>
      </c>
      <c r="D1919" t="s">
        <v>28</v>
      </c>
      <c r="E1919" t="str">
        <f>VLOOKUP(TRIM(D1919), Catalogo_gestiones!$A:$B, 2, FALSE)</f>
        <v>N</v>
      </c>
    </row>
    <row r="1920" spans="1:5" x14ac:dyDescent="0.25">
      <c r="A1920">
        <v>8557907</v>
      </c>
      <c r="B1920">
        <v>16362152</v>
      </c>
      <c r="C1920" s="1">
        <v>42530</v>
      </c>
      <c r="D1920" t="s">
        <v>24</v>
      </c>
      <c r="E1920" t="str">
        <f>VLOOKUP(TRIM(D1920), Catalogo_gestiones!$A:$B, 2, FALSE)</f>
        <v>S</v>
      </c>
    </row>
    <row r="1921" spans="1:5" x14ac:dyDescent="0.25">
      <c r="A1921">
        <v>8557907</v>
      </c>
      <c r="B1921">
        <v>16363686</v>
      </c>
      <c r="C1921" s="1">
        <v>42530</v>
      </c>
      <c r="D1921" t="s">
        <v>25</v>
      </c>
      <c r="E1921" t="str">
        <f>VLOOKUP(TRIM(D1921), Catalogo_gestiones!$A:$B, 2, FALSE)</f>
        <v>N</v>
      </c>
    </row>
    <row r="1922" spans="1:5" x14ac:dyDescent="0.25">
      <c r="A1922">
        <v>8557916</v>
      </c>
      <c r="B1922">
        <v>26218300</v>
      </c>
      <c r="C1922" s="1">
        <v>42530</v>
      </c>
      <c r="D1922" t="s">
        <v>26</v>
      </c>
      <c r="E1922" t="str">
        <f>VLOOKUP(TRIM(D1922), Catalogo_gestiones!$A:$B, 2, FALSE)</f>
        <v>N</v>
      </c>
    </row>
    <row r="1923" spans="1:5" x14ac:dyDescent="0.25">
      <c r="A1923">
        <v>8557950</v>
      </c>
      <c r="B1923">
        <v>20970930</v>
      </c>
      <c r="C1923" s="1">
        <v>42530</v>
      </c>
      <c r="D1923" t="s">
        <v>27</v>
      </c>
      <c r="E1923" t="str">
        <f>VLOOKUP(TRIM(D1923), Catalogo_gestiones!$A:$B, 2, FALSE)</f>
        <v>S</v>
      </c>
    </row>
    <row r="1924" spans="1:5" x14ac:dyDescent="0.25">
      <c r="A1924">
        <v>8558072</v>
      </c>
      <c r="B1924">
        <v>4392423</v>
      </c>
      <c r="C1924" s="1">
        <v>42530</v>
      </c>
      <c r="D1924" t="s">
        <v>28</v>
      </c>
      <c r="E1924" t="str">
        <f>VLOOKUP(TRIM(D1924), Catalogo_gestiones!$A:$B, 2, FALSE)</f>
        <v>N</v>
      </c>
    </row>
    <row r="1925" spans="1:5" x14ac:dyDescent="0.25">
      <c r="A1925">
        <v>8558124</v>
      </c>
      <c r="B1925">
        <v>26976651</v>
      </c>
      <c r="C1925" s="1">
        <v>42530</v>
      </c>
      <c r="D1925" t="s">
        <v>24</v>
      </c>
      <c r="E1925" t="str">
        <f>VLOOKUP(TRIM(D1925), Catalogo_gestiones!$A:$B, 2, FALSE)</f>
        <v>S</v>
      </c>
    </row>
    <row r="1926" spans="1:5" x14ac:dyDescent="0.25">
      <c r="A1926">
        <v>8558363</v>
      </c>
      <c r="B1926">
        <v>21516779</v>
      </c>
      <c r="C1926" s="1">
        <v>42530</v>
      </c>
      <c r="D1926" t="s">
        <v>25</v>
      </c>
      <c r="E1926" t="str">
        <f>VLOOKUP(TRIM(D1926), Catalogo_gestiones!$A:$B, 2, FALSE)</f>
        <v>N</v>
      </c>
    </row>
    <row r="1927" spans="1:5" x14ac:dyDescent="0.25">
      <c r="A1927">
        <v>8558454</v>
      </c>
      <c r="B1927">
        <v>20952780</v>
      </c>
      <c r="C1927" s="1">
        <v>42524</v>
      </c>
      <c r="D1927" t="s">
        <v>26</v>
      </c>
      <c r="E1927" t="str">
        <f>VLOOKUP(TRIM(D1927), Catalogo_gestiones!$A:$B, 2, FALSE)</f>
        <v>N</v>
      </c>
    </row>
    <row r="1928" spans="1:5" x14ac:dyDescent="0.25">
      <c r="A1928">
        <v>8558498</v>
      </c>
      <c r="B1928">
        <v>23317795</v>
      </c>
      <c r="C1928" s="1">
        <v>42530</v>
      </c>
      <c r="D1928" t="s">
        <v>27</v>
      </c>
      <c r="E1928" t="str">
        <f>VLOOKUP(TRIM(D1928), Catalogo_gestiones!$A:$B, 2, FALSE)</f>
        <v>S</v>
      </c>
    </row>
    <row r="1929" spans="1:5" x14ac:dyDescent="0.25">
      <c r="A1929">
        <v>8558545</v>
      </c>
      <c r="B1929">
        <v>23658040</v>
      </c>
      <c r="C1929" s="1">
        <v>42526</v>
      </c>
      <c r="D1929" t="s">
        <v>28</v>
      </c>
      <c r="E1929" t="str">
        <f>VLOOKUP(TRIM(D1929), Catalogo_gestiones!$A:$B, 2, FALSE)</f>
        <v>N</v>
      </c>
    </row>
    <row r="1930" spans="1:5" x14ac:dyDescent="0.25">
      <c r="A1930">
        <v>8558545</v>
      </c>
      <c r="B1930">
        <v>23658178</v>
      </c>
      <c r="C1930" s="1">
        <v>42530</v>
      </c>
      <c r="D1930" t="s">
        <v>30</v>
      </c>
      <c r="E1930" t="str">
        <f>VLOOKUP(TRIM(D1930), Catalogo_gestiones!$A:$B, 2, FALSE)</f>
        <v>S</v>
      </c>
    </row>
    <row r="1931" spans="1:5" x14ac:dyDescent="0.25">
      <c r="A1931">
        <v>8558545</v>
      </c>
      <c r="B1931">
        <v>26572022</v>
      </c>
      <c r="C1931" s="1">
        <v>42530</v>
      </c>
      <c r="D1931" t="s">
        <v>24</v>
      </c>
      <c r="E1931" t="str">
        <f>VLOOKUP(TRIM(D1931), Catalogo_gestiones!$A:$B, 2, FALSE)</f>
        <v>S</v>
      </c>
    </row>
    <row r="1932" spans="1:5" x14ac:dyDescent="0.25">
      <c r="A1932">
        <v>8558545</v>
      </c>
      <c r="B1932">
        <v>28583662</v>
      </c>
      <c r="C1932" s="1">
        <v>42525</v>
      </c>
      <c r="D1932" t="s">
        <v>25</v>
      </c>
      <c r="E1932" t="str">
        <f>VLOOKUP(TRIM(D1932), Catalogo_gestiones!$A:$B, 2, FALSE)</f>
        <v>N</v>
      </c>
    </row>
    <row r="1933" spans="1:5" x14ac:dyDescent="0.25">
      <c r="A1933">
        <v>8558638</v>
      </c>
      <c r="B1933">
        <v>25961154</v>
      </c>
      <c r="C1933" s="1">
        <v>42530</v>
      </c>
      <c r="D1933" t="s">
        <v>26</v>
      </c>
      <c r="E1933" t="str">
        <f>VLOOKUP(TRIM(D1933), Catalogo_gestiones!$A:$B, 2, FALSE)</f>
        <v>N</v>
      </c>
    </row>
    <row r="1934" spans="1:5" x14ac:dyDescent="0.25">
      <c r="A1934">
        <v>8558638</v>
      </c>
      <c r="B1934">
        <v>25962746</v>
      </c>
      <c r="C1934" s="1">
        <v>42530</v>
      </c>
      <c r="D1934" t="s">
        <v>27</v>
      </c>
      <c r="E1934" t="str">
        <f>VLOOKUP(TRIM(D1934), Catalogo_gestiones!$A:$B, 2, FALSE)</f>
        <v>S</v>
      </c>
    </row>
    <row r="1935" spans="1:5" x14ac:dyDescent="0.25">
      <c r="A1935">
        <v>8558638</v>
      </c>
      <c r="B1935">
        <v>25963644</v>
      </c>
      <c r="C1935" s="1">
        <v>42530</v>
      </c>
      <c r="D1935" t="s">
        <v>28</v>
      </c>
      <c r="E1935" t="str">
        <f>VLOOKUP(TRIM(D1935), Catalogo_gestiones!$A:$B, 2, FALSE)</f>
        <v>N</v>
      </c>
    </row>
    <row r="1936" spans="1:5" x14ac:dyDescent="0.25">
      <c r="A1936">
        <v>8558664</v>
      </c>
      <c r="B1936">
        <v>16084697</v>
      </c>
      <c r="C1936" s="1">
        <v>42530</v>
      </c>
      <c r="D1936" t="s">
        <v>24</v>
      </c>
      <c r="E1936" t="str">
        <f>VLOOKUP(TRIM(D1936), Catalogo_gestiones!$A:$B, 2, FALSE)</f>
        <v>S</v>
      </c>
    </row>
    <row r="1937" spans="1:5" x14ac:dyDescent="0.25">
      <c r="A1937">
        <v>8558664</v>
      </c>
      <c r="B1937">
        <v>20541812</v>
      </c>
      <c r="C1937" s="1">
        <v>42530</v>
      </c>
      <c r="D1937" t="s">
        <v>25</v>
      </c>
      <c r="E1937" t="str">
        <f>VLOOKUP(TRIM(D1937), Catalogo_gestiones!$A:$B, 2, FALSE)</f>
        <v>N</v>
      </c>
    </row>
    <row r="1938" spans="1:5" x14ac:dyDescent="0.25">
      <c r="A1938">
        <v>8558900</v>
      </c>
      <c r="B1938">
        <v>25301860</v>
      </c>
      <c r="C1938" s="1">
        <v>42530</v>
      </c>
      <c r="D1938" t="s">
        <v>26</v>
      </c>
      <c r="E1938" t="str">
        <f>VLOOKUP(TRIM(D1938), Catalogo_gestiones!$A:$B, 2, FALSE)</f>
        <v>N</v>
      </c>
    </row>
    <row r="1939" spans="1:5" x14ac:dyDescent="0.25">
      <c r="A1939">
        <v>8559026</v>
      </c>
      <c r="B1939">
        <v>25923877</v>
      </c>
      <c r="C1939" s="1">
        <v>42530</v>
      </c>
      <c r="D1939" t="s">
        <v>27</v>
      </c>
      <c r="E1939" t="str">
        <f>VLOOKUP(TRIM(D1939), Catalogo_gestiones!$A:$B, 2, FALSE)</f>
        <v>S</v>
      </c>
    </row>
    <row r="1940" spans="1:5" x14ac:dyDescent="0.25">
      <c r="A1940">
        <v>8559026</v>
      </c>
      <c r="B1940">
        <v>25934012</v>
      </c>
      <c r="C1940" s="1">
        <v>42530</v>
      </c>
      <c r="D1940" t="s">
        <v>28</v>
      </c>
      <c r="E1940" t="str">
        <f>VLOOKUP(TRIM(D1940), Catalogo_gestiones!$A:$B, 2, FALSE)</f>
        <v>N</v>
      </c>
    </row>
    <row r="1941" spans="1:5" x14ac:dyDescent="0.25">
      <c r="A1941">
        <v>8559026</v>
      </c>
      <c r="B1941">
        <v>25942733</v>
      </c>
      <c r="C1941" s="1">
        <v>42530</v>
      </c>
      <c r="D1941" t="s">
        <v>24</v>
      </c>
      <c r="E1941" t="str">
        <f>VLOOKUP(TRIM(D1941), Catalogo_gestiones!$A:$B, 2, FALSE)</f>
        <v>S</v>
      </c>
    </row>
    <row r="1942" spans="1:5" x14ac:dyDescent="0.25">
      <c r="A1942">
        <v>8085392</v>
      </c>
      <c r="B1942">
        <v>27892052</v>
      </c>
      <c r="C1942" s="1">
        <v>42527</v>
      </c>
      <c r="D1942" t="s">
        <v>24</v>
      </c>
      <c r="E1942" t="str">
        <f>VLOOKUP(TRIM(D1942), Catalogo_gestiones!$A:$B, 2, FALSE)</f>
        <v>S</v>
      </c>
    </row>
    <row r="1943" spans="1:5" x14ac:dyDescent="0.25">
      <c r="A1943">
        <v>8085687</v>
      </c>
      <c r="B1943">
        <v>27777136</v>
      </c>
      <c r="C1943" s="1">
        <v>42527</v>
      </c>
      <c r="D1943" t="s">
        <v>25</v>
      </c>
      <c r="E1943" t="str">
        <f>VLOOKUP(TRIM(D1943), Catalogo_gestiones!$A:$B, 2, FALSE)</f>
        <v>N</v>
      </c>
    </row>
    <row r="1944" spans="1:5" x14ac:dyDescent="0.25">
      <c r="A1944">
        <v>8085706</v>
      </c>
      <c r="B1944">
        <v>25794246</v>
      </c>
      <c r="C1944" s="1">
        <v>42527</v>
      </c>
      <c r="D1944" t="s">
        <v>26</v>
      </c>
      <c r="E1944" t="str">
        <f>VLOOKUP(TRIM(D1944), Catalogo_gestiones!$A:$B, 2, FALSE)</f>
        <v>N</v>
      </c>
    </row>
    <row r="1945" spans="1:5" x14ac:dyDescent="0.25">
      <c r="A1945">
        <v>8088495</v>
      </c>
      <c r="B1945">
        <v>21175250</v>
      </c>
      <c r="C1945" s="1">
        <v>42527</v>
      </c>
      <c r="D1945" t="s">
        <v>27</v>
      </c>
      <c r="E1945" t="str">
        <f>VLOOKUP(TRIM(D1945), Catalogo_gestiones!$A:$B, 2, FALSE)</f>
        <v>S</v>
      </c>
    </row>
    <row r="1946" spans="1:5" x14ac:dyDescent="0.25">
      <c r="A1946">
        <v>8088495</v>
      </c>
      <c r="B1946">
        <v>25700352</v>
      </c>
      <c r="C1946" s="1">
        <v>42527</v>
      </c>
      <c r="D1946" t="s">
        <v>28</v>
      </c>
      <c r="E1946" t="str">
        <f>VLOOKUP(TRIM(D1946), Catalogo_gestiones!$A:$B, 2, FALSE)</f>
        <v>N</v>
      </c>
    </row>
    <row r="1947" spans="1:5" x14ac:dyDescent="0.25">
      <c r="A1947">
        <v>8088899</v>
      </c>
      <c r="B1947">
        <v>26370037</v>
      </c>
      <c r="C1947" s="1">
        <v>42527</v>
      </c>
      <c r="D1947" t="s">
        <v>24</v>
      </c>
      <c r="E1947" t="str">
        <f>VLOOKUP(TRIM(D1947), Catalogo_gestiones!$A:$B, 2, FALSE)</f>
        <v>S</v>
      </c>
    </row>
    <row r="1948" spans="1:5" x14ac:dyDescent="0.25">
      <c r="A1948">
        <v>8089371</v>
      </c>
      <c r="B1948">
        <v>21887785</v>
      </c>
      <c r="C1948" s="1">
        <v>42527</v>
      </c>
      <c r="D1948" t="s">
        <v>25</v>
      </c>
      <c r="E1948" t="str">
        <f>VLOOKUP(TRIM(D1948), Catalogo_gestiones!$A:$B, 2, FALSE)</f>
        <v>N</v>
      </c>
    </row>
    <row r="1949" spans="1:5" x14ac:dyDescent="0.25">
      <c r="A1949">
        <v>8089371</v>
      </c>
      <c r="B1949">
        <v>24378718</v>
      </c>
      <c r="C1949" s="1">
        <v>42527</v>
      </c>
      <c r="D1949" t="s">
        <v>26</v>
      </c>
      <c r="E1949" t="str">
        <f>VLOOKUP(TRIM(D1949), Catalogo_gestiones!$A:$B, 2, FALSE)</f>
        <v>N</v>
      </c>
    </row>
    <row r="1950" spans="1:5" x14ac:dyDescent="0.25">
      <c r="A1950">
        <v>8089696</v>
      </c>
      <c r="B1950">
        <v>16084748</v>
      </c>
      <c r="C1950" s="1">
        <v>42527</v>
      </c>
      <c r="D1950" t="s">
        <v>27</v>
      </c>
      <c r="E1950" t="str">
        <f>VLOOKUP(TRIM(D1950), Catalogo_gestiones!$A:$B, 2, FALSE)</f>
        <v>S</v>
      </c>
    </row>
    <row r="1951" spans="1:5" x14ac:dyDescent="0.25">
      <c r="A1951">
        <v>8089696</v>
      </c>
      <c r="B1951">
        <v>20145473</v>
      </c>
      <c r="C1951" s="1">
        <v>42527</v>
      </c>
      <c r="D1951" t="s">
        <v>28</v>
      </c>
      <c r="E1951" t="str">
        <f>VLOOKUP(TRIM(D1951), Catalogo_gestiones!$A:$B, 2, FALSE)</f>
        <v>N</v>
      </c>
    </row>
    <row r="1952" spans="1:5" x14ac:dyDescent="0.25">
      <c r="A1952">
        <v>8089696</v>
      </c>
      <c r="B1952">
        <v>20146321</v>
      </c>
      <c r="C1952" s="1">
        <v>42527</v>
      </c>
      <c r="D1952" t="s">
        <v>24</v>
      </c>
      <c r="E1952" t="str">
        <f>VLOOKUP(TRIM(D1952), Catalogo_gestiones!$A:$B, 2, FALSE)</f>
        <v>S</v>
      </c>
    </row>
    <row r="1953" spans="1:5" x14ac:dyDescent="0.25">
      <c r="A1953">
        <v>8089801</v>
      </c>
      <c r="B1953">
        <v>26958913</v>
      </c>
      <c r="C1953" s="1">
        <v>42527</v>
      </c>
      <c r="D1953" t="s">
        <v>25</v>
      </c>
      <c r="E1953" t="str">
        <f>VLOOKUP(TRIM(D1953), Catalogo_gestiones!$A:$B, 2, FALSE)</f>
        <v>N</v>
      </c>
    </row>
    <row r="1954" spans="1:5" x14ac:dyDescent="0.25">
      <c r="A1954">
        <v>8089801</v>
      </c>
      <c r="B1954">
        <v>26967590</v>
      </c>
      <c r="C1954" s="1">
        <v>42527</v>
      </c>
      <c r="D1954" t="s">
        <v>26</v>
      </c>
      <c r="E1954" t="str">
        <f>VLOOKUP(TRIM(D1954), Catalogo_gestiones!$A:$B, 2, FALSE)</f>
        <v>N</v>
      </c>
    </row>
    <row r="1955" spans="1:5" x14ac:dyDescent="0.25">
      <c r="A1955">
        <v>8090100</v>
      </c>
      <c r="B1955">
        <v>25579254</v>
      </c>
      <c r="C1955" s="1">
        <v>42527</v>
      </c>
      <c r="D1955" t="s">
        <v>27</v>
      </c>
      <c r="E1955" t="str">
        <f>VLOOKUP(TRIM(D1955), Catalogo_gestiones!$A:$B, 2, FALSE)</f>
        <v>S</v>
      </c>
    </row>
    <row r="1956" spans="1:5" x14ac:dyDescent="0.25">
      <c r="A1956">
        <v>8090327</v>
      </c>
      <c r="B1956">
        <v>24060799</v>
      </c>
      <c r="C1956" s="1">
        <v>42527</v>
      </c>
      <c r="D1956" t="s">
        <v>28</v>
      </c>
      <c r="E1956" t="str">
        <f>VLOOKUP(TRIM(D1956), Catalogo_gestiones!$A:$B, 2, FALSE)</f>
        <v>N</v>
      </c>
    </row>
    <row r="1957" spans="1:5" x14ac:dyDescent="0.25">
      <c r="A1957">
        <v>8090376</v>
      </c>
      <c r="B1957">
        <v>28116836</v>
      </c>
      <c r="C1957" s="1">
        <v>42527</v>
      </c>
      <c r="D1957" t="s">
        <v>30</v>
      </c>
      <c r="E1957" t="str">
        <f>VLOOKUP(TRIM(D1957), Catalogo_gestiones!$A:$B, 2, FALSE)</f>
        <v>S</v>
      </c>
    </row>
    <row r="1958" spans="1:5" x14ac:dyDescent="0.25">
      <c r="A1958">
        <v>8090702</v>
      </c>
      <c r="B1958">
        <v>26143640</v>
      </c>
      <c r="C1958" s="1">
        <v>42527</v>
      </c>
      <c r="D1958" t="s">
        <v>24</v>
      </c>
      <c r="E1958" t="str">
        <f>VLOOKUP(TRIM(D1958), Catalogo_gestiones!$A:$B, 2, FALSE)</f>
        <v>S</v>
      </c>
    </row>
    <row r="1959" spans="1:5" x14ac:dyDescent="0.25">
      <c r="A1959">
        <v>8090807</v>
      </c>
      <c r="B1959">
        <v>24076434</v>
      </c>
      <c r="C1959" s="1">
        <v>42527</v>
      </c>
      <c r="D1959" t="s">
        <v>25</v>
      </c>
      <c r="E1959" t="str">
        <f>VLOOKUP(TRIM(D1959), Catalogo_gestiones!$A:$B, 2, FALSE)</f>
        <v>N</v>
      </c>
    </row>
    <row r="1960" spans="1:5" x14ac:dyDescent="0.25">
      <c r="A1960">
        <v>8091415</v>
      </c>
      <c r="B1960">
        <v>26388699</v>
      </c>
      <c r="C1960" s="1">
        <v>42527</v>
      </c>
      <c r="D1960" t="s">
        <v>26</v>
      </c>
      <c r="E1960" t="str">
        <f>VLOOKUP(TRIM(D1960), Catalogo_gestiones!$A:$B, 2, FALSE)</f>
        <v>N</v>
      </c>
    </row>
    <row r="1961" spans="1:5" x14ac:dyDescent="0.25">
      <c r="A1961">
        <v>8091415</v>
      </c>
      <c r="B1961">
        <v>28543492</v>
      </c>
      <c r="C1961" s="1">
        <v>42528</v>
      </c>
      <c r="D1961" t="s">
        <v>27</v>
      </c>
      <c r="E1961" t="str">
        <f>VLOOKUP(TRIM(D1961), Catalogo_gestiones!$A:$B, 2, FALSE)</f>
        <v>S</v>
      </c>
    </row>
    <row r="1962" spans="1:5" x14ac:dyDescent="0.25">
      <c r="A1962">
        <v>8091720</v>
      </c>
      <c r="B1962">
        <v>25710171</v>
      </c>
      <c r="C1962" s="1">
        <v>42527</v>
      </c>
      <c r="D1962" t="s">
        <v>28</v>
      </c>
      <c r="E1962" t="str">
        <f>VLOOKUP(TRIM(D1962), Catalogo_gestiones!$A:$B, 2, FALSE)</f>
        <v>N</v>
      </c>
    </row>
    <row r="1963" spans="1:5" x14ac:dyDescent="0.25">
      <c r="A1963">
        <v>8091720</v>
      </c>
      <c r="B1963">
        <v>25711212</v>
      </c>
      <c r="C1963" s="1">
        <v>42527</v>
      </c>
      <c r="D1963" t="s">
        <v>24</v>
      </c>
      <c r="E1963" t="str">
        <f>VLOOKUP(TRIM(D1963), Catalogo_gestiones!$A:$B, 2, FALSE)</f>
        <v>S</v>
      </c>
    </row>
    <row r="1964" spans="1:5" x14ac:dyDescent="0.25">
      <c r="A1964">
        <v>8091720</v>
      </c>
      <c r="B1964">
        <v>25711791</v>
      </c>
      <c r="C1964" s="1">
        <v>42527</v>
      </c>
      <c r="D1964" t="s">
        <v>25</v>
      </c>
      <c r="E1964" t="str">
        <f>VLOOKUP(TRIM(D1964), Catalogo_gestiones!$A:$B, 2, FALSE)</f>
        <v>N</v>
      </c>
    </row>
    <row r="1965" spans="1:5" x14ac:dyDescent="0.25">
      <c r="A1965">
        <v>8092203</v>
      </c>
      <c r="B1965">
        <v>27368714</v>
      </c>
      <c r="C1965" s="1">
        <v>42527</v>
      </c>
      <c r="D1965" t="s">
        <v>26</v>
      </c>
      <c r="E1965" t="str">
        <f>VLOOKUP(TRIM(D1965), Catalogo_gestiones!$A:$B, 2, FALSE)</f>
        <v>N</v>
      </c>
    </row>
    <row r="1966" spans="1:5" x14ac:dyDescent="0.25">
      <c r="A1966">
        <v>8092365</v>
      </c>
      <c r="B1966">
        <v>26716493</v>
      </c>
      <c r="C1966" s="1">
        <v>42527</v>
      </c>
      <c r="D1966" t="s">
        <v>27</v>
      </c>
      <c r="E1966" t="str">
        <f>VLOOKUP(TRIM(D1966), Catalogo_gestiones!$A:$B, 2, FALSE)</f>
        <v>S</v>
      </c>
    </row>
    <row r="1967" spans="1:5" x14ac:dyDescent="0.25">
      <c r="A1967">
        <v>8120004</v>
      </c>
      <c r="B1967">
        <v>27770039</v>
      </c>
      <c r="C1967" s="1">
        <v>42527</v>
      </c>
      <c r="D1967" t="s">
        <v>28</v>
      </c>
      <c r="E1967" t="str">
        <f>VLOOKUP(TRIM(D1967), Catalogo_gestiones!$A:$B, 2, FALSE)</f>
        <v>N</v>
      </c>
    </row>
    <row r="1968" spans="1:5" x14ac:dyDescent="0.25">
      <c r="A1968">
        <v>8120077</v>
      </c>
      <c r="B1968">
        <v>23053023</v>
      </c>
      <c r="C1968" s="1">
        <v>42528</v>
      </c>
      <c r="D1968" t="s">
        <v>24</v>
      </c>
      <c r="E1968" t="str">
        <f>VLOOKUP(TRIM(D1968), Catalogo_gestiones!$A:$B, 2, FALSE)</f>
        <v>S</v>
      </c>
    </row>
    <row r="1969" spans="1:5" x14ac:dyDescent="0.25">
      <c r="A1969">
        <v>8120077</v>
      </c>
      <c r="B1969">
        <v>23102782</v>
      </c>
      <c r="C1969" s="1">
        <v>42528</v>
      </c>
      <c r="D1969" t="s">
        <v>25</v>
      </c>
      <c r="E1969" t="str">
        <f>VLOOKUP(TRIM(D1969), Catalogo_gestiones!$A:$B, 2, FALSE)</f>
        <v>N</v>
      </c>
    </row>
    <row r="1970" spans="1:5" x14ac:dyDescent="0.25">
      <c r="A1970">
        <v>8120123</v>
      </c>
      <c r="B1970">
        <v>24060274</v>
      </c>
      <c r="C1970" s="1">
        <v>42528</v>
      </c>
      <c r="D1970" t="s">
        <v>26</v>
      </c>
      <c r="E1970" t="str">
        <f>VLOOKUP(TRIM(D1970), Catalogo_gestiones!$A:$B, 2, FALSE)</f>
        <v>N</v>
      </c>
    </row>
    <row r="1971" spans="1:5" x14ac:dyDescent="0.25">
      <c r="A1971">
        <v>8120123</v>
      </c>
      <c r="B1971">
        <v>24378668</v>
      </c>
      <c r="C1971" s="1">
        <v>42528</v>
      </c>
      <c r="D1971" t="s">
        <v>27</v>
      </c>
      <c r="E1971" t="str">
        <f>VLOOKUP(TRIM(D1971), Catalogo_gestiones!$A:$B, 2, FALSE)</f>
        <v>S</v>
      </c>
    </row>
    <row r="1972" spans="1:5" x14ac:dyDescent="0.25">
      <c r="A1972">
        <v>8120258</v>
      </c>
      <c r="B1972">
        <v>22218377</v>
      </c>
      <c r="C1972" s="1">
        <v>42528</v>
      </c>
      <c r="D1972" t="s">
        <v>28</v>
      </c>
      <c r="E1972" t="str">
        <f>VLOOKUP(TRIM(D1972), Catalogo_gestiones!$A:$B, 2, FALSE)</f>
        <v>N</v>
      </c>
    </row>
    <row r="1973" spans="1:5" x14ac:dyDescent="0.25">
      <c r="A1973">
        <v>8120280</v>
      </c>
      <c r="B1973">
        <v>17490411</v>
      </c>
      <c r="C1973" s="1">
        <v>42528</v>
      </c>
      <c r="D1973" t="s">
        <v>30</v>
      </c>
      <c r="E1973" t="str">
        <f>VLOOKUP(TRIM(D1973), Catalogo_gestiones!$A:$B, 2, FALSE)</f>
        <v>S</v>
      </c>
    </row>
    <row r="1974" spans="1:5" x14ac:dyDescent="0.25">
      <c r="A1974">
        <v>8120338</v>
      </c>
      <c r="B1974">
        <v>25641175</v>
      </c>
      <c r="C1974" s="1">
        <v>42528</v>
      </c>
      <c r="D1974" t="s">
        <v>24</v>
      </c>
      <c r="E1974" t="str">
        <f>VLOOKUP(TRIM(D1974), Catalogo_gestiones!$A:$B, 2, FALSE)</f>
        <v>S</v>
      </c>
    </row>
    <row r="1975" spans="1:5" x14ac:dyDescent="0.25">
      <c r="A1975">
        <v>8120338</v>
      </c>
      <c r="B1975">
        <v>27451233</v>
      </c>
      <c r="C1975" s="1">
        <v>42528</v>
      </c>
      <c r="D1975" t="s">
        <v>25</v>
      </c>
      <c r="E1975" t="str">
        <f>VLOOKUP(TRIM(D1975), Catalogo_gestiones!$A:$B, 2, FALSE)</f>
        <v>N</v>
      </c>
    </row>
    <row r="1976" spans="1:5" x14ac:dyDescent="0.25">
      <c r="A1976">
        <v>8120351</v>
      </c>
      <c r="B1976">
        <v>25400500</v>
      </c>
      <c r="C1976" s="1">
        <v>42528</v>
      </c>
      <c r="D1976" t="s">
        <v>26</v>
      </c>
      <c r="E1976" t="str">
        <f>VLOOKUP(TRIM(D1976), Catalogo_gestiones!$A:$B, 2, FALSE)</f>
        <v>N</v>
      </c>
    </row>
    <row r="1977" spans="1:5" x14ac:dyDescent="0.25">
      <c r="A1977">
        <v>8120351</v>
      </c>
      <c r="B1977">
        <v>25402114</v>
      </c>
      <c r="C1977" s="1">
        <v>42528</v>
      </c>
      <c r="D1977" t="s">
        <v>27</v>
      </c>
      <c r="E1977" t="str">
        <f>VLOOKUP(TRIM(D1977), Catalogo_gestiones!$A:$B, 2, FALSE)</f>
        <v>S</v>
      </c>
    </row>
    <row r="1978" spans="1:5" x14ac:dyDescent="0.25">
      <c r="A1978">
        <v>8120504</v>
      </c>
      <c r="B1978">
        <v>25516208</v>
      </c>
      <c r="C1978" s="1">
        <v>42528</v>
      </c>
      <c r="D1978" t="s">
        <v>28</v>
      </c>
      <c r="E1978" t="str">
        <f>VLOOKUP(TRIM(D1978), Catalogo_gestiones!$A:$B, 2, FALSE)</f>
        <v>N</v>
      </c>
    </row>
    <row r="1979" spans="1:5" x14ac:dyDescent="0.25">
      <c r="A1979">
        <v>8120567</v>
      </c>
      <c r="B1979">
        <v>21872767</v>
      </c>
      <c r="C1979" s="1">
        <v>42528</v>
      </c>
      <c r="D1979" t="s">
        <v>24</v>
      </c>
      <c r="E1979" t="str">
        <f>VLOOKUP(TRIM(D1979), Catalogo_gestiones!$A:$B, 2, FALSE)</f>
        <v>S</v>
      </c>
    </row>
    <row r="1980" spans="1:5" x14ac:dyDescent="0.25">
      <c r="A1980">
        <v>8120613</v>
      </c>
      <c r="B1980">
        <v>15453603</v>
      </c>
      <c r="C1980" s="1">
        <v>42529</v>
      </c>
      <c r="D1980" t="s">
        <v>25</v>
      </c>
      <c r="E1980" t="str">
        <f>VLOOKUP(TRIM(D1980), Catalogo_gestiones!$A:$B, 2, FALSE)</f>
        <v>N</v>
      </c>
    </row>
    <row r="1981" spans="1:5" x14ac:dyDescent="0.25">
      <c r="A1981">
        <v>8120615</v>
      </c>
      <c r="B1981">
        <v>20326533</v>
      </c>
      <c r="C1981" s="1">
        <v>42528</v>
      </c>
      <c r="D1981" t="s">
        <v>26</v>
      </c>
      <c r="E1981" t="str">
        <f>VLOOKUP(TRIM(D1981), Catalogo_gestiones!$A:$B, 2, FALSE)</f>
        <v>N</v>
      </c>
    </row>
    <row r="1982" spans="1:5" x14ac:dyDescent="0.25">
      <c r="A1982">
        <v>8120642</v>
      </c>
      <c r="B1982">
        <v>27997023</v>
      </c>
      <c r="C1982" s="1">
        <v>42528</v>
      </c>
      <c r="D1982" t="s">
        <v>27</v>
      </c>
      <c r="E1982" t="str">
        <f>VLOOKUP(TRIM(D1982), Catalogo_gestiones!$A:$B, 2, FALSE)</f>
        <v>S</v>
      </c>
    </row>
    <row r="1983" spans="1:5" x14ac:dyDescent="0.25">
      <c r="A1983">
        <v>8120741</v>
      </c>
      <c r="B1983">
        <v>22880917</v>
      </c>
      <c r="C1983" s="1">
        <v>42528</v>
      </c>
      <c r="D1983" t="s">
        <v>28</v>
      </c>
      <c r="E1983" t="str">
        <f>VLOOKUP(TRIM(D1983), Catalogo_gestiones!$A:$B, 2, FALSE)</f>
        <v>N</v>
      </c>
    </row>
    <row r="1984" spans="1:5" x14ac:dyDescent="0.25">
      <c r="A1984">
        <v>8120773</v>
      </c>
      <c r="B1984">
        <v>16069377</v>
      </c>
      <c r="C1984" s="1">
        <v>42528</v>
      </c>
      <c r="D1984" t="s">
        <v>24</v>
      </c>
      <c r="E1984" t="str">
        <f>VLOOKUP(TRIM(D1984), Catalogo_gestiones!$A:$B, 2, FALSE)</f>
        <v>S</v>
      </c>
    </row>
    <row r="1985" spans="1:5" x14ac:dyDescent="0.25">
      <c r="A1985">
        <v>8120773</v>
      </c>
      <c r="B1985">
        <v>19003063</v>
      </c>
      <c r="C1985" s="1">
        <v>42528</v>
      </c>
      <c r="D1985" t="s">
        <v>25</v>
      </c>
      <c r="E1985" t="str">
        <f>VLOOKUP(TRIM(D1985), Catalogo_gestiones!$A:$B, 2, FALSE)</f>
        <v>N</v>
      </c>
    </row>
    <row r="1986" spans="1:5" x14ac:dyDescent="0.25">
      <c r="A1986">
        <v>8120833</v>
      </c>
      <c r="B1986">
        <v>24374772</v>
      </c>
      <c r="C1986" s="1">
        <v>42528</v>
      </c>
      <c r="D1986" t="s">
        <v>26</v>
      </c>
      <c r="E1986" t="str">
        <f>VLOOKUP(TRIM(D1986), Catalogo_gestiones!$A:$B, 2, FALSE)</f>
        <v>N</v>
      </c>
    </row>
    <row r="1987" spans="1:5" x14ac:dyDescent="0.25">
      <c r="A1987">
        <v>8120848</v>
      </c>
      <c r="B1987">
        <v>25950361</v>
      </c>
      <c r="C1987" s="1">
        <v>42528</v>
      </c>
      <c r="D1987" t="s">
        <v>27</v>
      </c>
      <c r="E1987" t="str">
        <f>VLOOKUP(TRIM(D1987), Catalogo_gestiones!$A:$B, 2, FALSE)</f>
        <v>S</v>
      </c>
    </row>
    <row r="1988" spans="1:5" x14ac:dyDescent="0.25">
      <c r="A1988">
        <v>8120848</v>
      </c>
      <c r="B1988">
        <v>27351285</v>
      </c>
      <c r="C1988" s="1">
        <v>42528</v>
      </c>
      <c r="D1988" t="s">
        <v>28</v>
      </c>
      <c r="E1988" t="str">
        <f>VLOOKUP(TRIM(D1988), Catalogo_gestiones!$A:$B, 2, FALSE)</f>
        <v>N</v>
      </c>
    </row>
    <row r="1989" spans="1:5" x14ac:dyDescent="0.25">
      <c r="A1989">
        <v>8120848</v>
      </c>
      <c r="B1989">
        <v>28586063</v>
      </c>
      <c r="C1989" s="1">
        <v>42528</v>
      </c>
      <c r="D1989" t="s">
        <v>30</v>
      </c>
      <c r="E1989" t="str">
        <f>VLOOKUP(TRIM(D1989), Catalogo_gestiones!$A:$B, 2, FALSE)</f>
        <v>S</v>
      </c>
    </row>
    <row r="1990" spans="1:5" x14ac:dyDescent="0.25">
      <c r="A1990">
        <v>8120977</v>
      </c>
      <c r="B1990">
        <v>25568684</v>
      </c>
      <c r="C1990" s="1">
        <v>42528</v>
      </c>
      <c r="D1990" t="s">
        <v>24</v>
      </c>
      <c r="E1990" t="str">
        <f>VLOOKUP(TRIM(D1990), Catalogo_gestiones!$A:$B, 2, FALSE)</f>
        <v>S</v>
      </c>
    </row>
    <row r="1991" spans="1:5" x14ac:dyDescent="0.25">
      <c r="A1991">
        <v>8121172</v>
      </c>
      <c r="B1991">
        <v>15535226</v>
      </c>
      <c r="C1991" s="1">
        <v>42528</v>
      </c>
      <c r="D1991" t="s">
        <v>25</v>
      </c>
      <c r="E1991" t="str">
        <f>VLOOKUP(TRIM(D1991), Catalogo_gestiones!$A:$B, 2, FALSE)</f>
        <v>N</v>
      </c>
    </row>
    <row r="1992" spans="1:5" x14ac:dyDescent="0.25">
      <c r="A1992">
        <v>8121172</v>
      </c>
      <c r="B1992">
        <v>20238795</v>
      </c>
      <c r="C1992" s="1">
        <v>42528</v>
      </c>
      <c r="D1992" t="s">
        <v>26</v>
      </c>
      <c r="E1992" t="str">
        <f>VLOOKUP(TRIM(D1992), Catalogo_gestiones!$A:$B, 2, FALSE)</f>
        <v>N</v>
      </c>
    </row>
    <row r="1993" spans="1:5" x14ac:dyDescent="0.25">
      <c r="A1993">
        <v>8121247</v>
      </c>
      <c r="B1993">
        <v>1689560</v>
      </c>
      <c r="C1993" s="1">
        <v>42528</v>
      </c>
      <c r="D1993" t="s">
        <v>27</v>
      </c>
      <c r="E1993" t="str">
        <f>VLOOKUP(TRIM(D1993), Catalogo_gestiones!$A:$B, 2, FALSE)</f>
        <v>S</v>
      </c>
    </row>
    <row r="1994" spans="1:5" x14ac:dyDescent="0.25">
      <c r="A1994">
        <v>8121247</v>
      </c>
      <c r="B1994">
        <v>28582863</v>
      </c>
      <c r="C1994" s="1">
        <v>42528</v>
      </c>
      <c r="D1994" t="s">
        <v>28</v>
      </c>
      <c r="E1994" t="str">
        <f>VLOOKUP(TRIM(D1994), Catalogo_gestiones!$A:$B, 2, FALSE)</f>
        <v>N</v>
      </c>
    </row>
    <row r="1995" spans="1:5" x14ac:dyDescent="0.25">
      <c r="A1995">
        <v>8121396</v>
      </c>
      <c r="B1995">
        <v>25634049</v>
      </c>
      <c r="C1995" s="1">
        <v>42528</v>
      </c>
      <c r="D1995" t="s">
        <v>24</v>
      </c>
      <c r="E1995" t="str">
        <f>VLOOKUP(TRIM(D1995), Catalogo_gestiones!$A:$B, 2, FALSE)</f>
        <v>S</v>
      </c>
    </row>
    <row r="1996" spans="1:5" x14ac:dyDescent="0.25">
      <c r="A1996">
        <v>8121437</v>
      </c>
      <c r="B1996">
        <v>21978793</v>
      </c>
      <c r="C1996" s="1">
        <v>42528</v>
      </c>
      <c r="D1996" t="s">
        <v>25</v>
      </c>
      <c r="E1996" t="str">
        <f>VLOOKUP(TRIM(D1996), Catalogo_gestiones!$A:$B, 2, FALSE)</f>
        <v>N</v>
      </c>
    </row>
    <row r="1997" spans="1:5" x14ac:dyDescent="0.25">
      <c r="A1997">
        <v>8121787</v>
      </c>
      <c r="B1997">
        <v>28250237</v>
      </c>
      <c r="C1997" s="1">
        <v>42529</v>
      </c>
      <c r="D1997" t="s">
        <v>26</v>
      </c>
      <c r="E1997" t="str">
        <f>VLOOKUP(TRIM(D1997), Catalogo_gestiones!$A:$B, 2, FALSE)</f>
        <v>N</v>
      </c>
    </row>
    <row r="1998" spans="1:5" x14ac:dyDescent="0.25">
      <c r="A1998">
        <v>8122348</v>
      </c>
      <c r="B1998">
        <v>23138110</v>
      </c>
      <c r="C1998" s="1">
        <v>42529</v>
      </c>
      <c r="D1998" t="s">
        <v>27</v>
      </c>
      <c r="E1998" t="str">
        <f>VLOOKUP(TRIM(D1998), Catalogo_gestiones!$A:$B, 2, FALSE)</f>
        <v>S</v>
      </c>
    </row>
    <row r="1999" spans="1:5" x14ac:dyDescent="0.25">
      <c r="A1999">
        <v>8122348</v>
      </c>
      <c r="B1999">
        <v>27354461</v>
      </c>
      <c r="C1999" s="1">
        <v>42529</v>
      </c>
      <c r="D1999" t="s">
        <v>28</v>
      </c>
      <c r="E1999" t="str">
        <f>VLOOKUP(TRIM(D1999), Catalogo_gestiones!$A:$B, 2, FALSE)</f>
        <v>N</v>
      </c>
    </row>
    <row r="2000" spans="1:5" x14ac:dyDescent="0.25">
      <c r="A2000">
        <v>8122438</v>
      </c>
      <c r="B2000">
        <v>25825719</v>
      </c>
      <c r="C2000" s="1">
        <v>42529</v>
      </c>
      <c r="D2000" t="s">
        <v>24</v>
      </c>
      <c r="E2000" t="str">
        <f>VLOOKUP(TRIM(D2000), Catalogo_gestiones!$A:$B, 2, FALSE)</f>
        <v>S</v>
      </c>
    </row>
    <row r="2001" spans="1:5" x14ac:dyDescent="0.25">
      <c r="A2001">
        <v>8122438</v>
      </c>
      <c r="B2001">
        <v>27451551</v>
      </c>
      <c r="C2001" s="1">
        <v>42529</v>
      </c>
      <c r="D2001" t="s">
        <v>25</v>
      </c>
      <c r="E2001" t="str">
        <f>VLOOKUP(TRIM(D2001), Catalogo_gestiones!$A:$B, 2, FALSE)</f>
        <v>N</v>
      </c>
    </row>
    <row r="2002" spans="1:5" x14ac:dyDescent="0.25">
      <c r="A2002">
        <v>8122952</v>
      </c>
      <c r="B2002">
        <v>26844999</v>
      </c>
      <c r="C2002" s="1">
        <v>42529</v>
      </c>
      <c r="D2002" t="s">
        <v>26</v>
      </c>
      <c r="E2002" t="str">
        <f>VLOOKUP(TRIM(D2002), Catalogo_gestiones!$A:$B, 2, FALSE)</f>
        <v>N</v>
      </c>
    </row>
    <row r="2003" spans="1:5" x14ac:dyDescent="0.25">
      <c r="A2003">
        <v>8122952</v>
      </c>
      <c r="B2003">
        <v>27342408</v>
      </c>
      <c r="C2003" s="1">
        <v>42529</v>
      </c>
      <c r="D2003" t="s">
        <v>27</v>
      </c>
      <c r="E2003" t="str">
        <f>VLOOKUP(TRIM(D2003), Catalogo_gestiones!$A:$B, 2, FALSE)</f>
        <v>S</v>
      </c>
    </row>
    <row r="2004" spans="1:5" x14ac:dyDescent="0.25">
      <c r="A2004">
        <v>8122952</v>
      </c>
      <c r="B2004">
        <v>27362528</v>
      </c>
      <c r="C2004" s="1">
        <v>42529</v>
      </c>
      <c r="D2004" t="s">
        <v>28</v>
      </c>
      <c r="E2004" t="str">
        <f>VLOOKUP(TRIM(D2004), Catalogo_gestiones!$A:$B, 2, FALSE)</f>
        <v>N</v>
      </c>
    </row>
    <row r="2005" spans="1:5" x14ac:dyDescent="0.25">
      <c r="A2005">
        <v>8123013</v>
      </c>
      <c r="B2005">
        <v>27748497</v>
      </c>
      <c r="C2005" s="1">
        <v>42529</v>
      </c>
      <c r="D2005" t="s">
        <v>30</v>
      </c>
      <c r="E2005" t="str">
        <f>VLOOKUP(TRIM(D2005), Catalogo_gestiones!$A:$B, 2, FALSE)</f>
        <v>S</v>
      </c>
    </row>
    <row r="2006" spans="1:5" x14ac:dyDescent="0.25">
      <c r="A2006">
        <v>8140803</v>
      </c>
      <c r="B2006">
        <v>16471105</v>
      </c>
      <c r="C2006" s="1">
        <v>42529</v>
      </c>
      <c r="D2006" t="s">
        <v>24</v>
      </c>
      <c r="E2006" t="str">
        <f>VLOOKUP(TRIM(D2006), Catalogo_gestiones!$A:$B, 2, FALSE)</f>
        <v>S</v>
      </c>
    </row>
    <row r="2007" spans="1:5" x14ac:dyDescent="0.25">
      <c r="A2007">
        <v>8140967</v>
      </c>
      <c r="B2007">
        <v>1261260</v>
      </c>
      <c r="C2007" s="1">
        <v>42529</v>
      </c>
      <c r="D2007" t="s">
        <v>25</v>
      </c>
      <c r="E2007" t="str">
        <f>VLOOKUP(TRIM(D2007), Catalogo_gestiones!$A:$B, 2, FALSE)</f>
        <v>N</v>
      </c>
    </row>
    <row r="2008" spans="1:5" x14ac:dyDescent="0.25">
      <c r="A2008">
        <v>8140967</v>
      </c>
      <c r="B2008">
        <v>1261261</v>
      </c>
      <c r="C2008" s="1">
        <v>42529</v>
      </c>
      <c r="D2008" t="s">
        <v>26</v>
      </c>
      <c r="E2008" t="str">
        <f>VLOOKUP(TRIM(D2008), Catalogo_gestiones!$A:$B, 2, FALSE)</f>
        <v>N</v>
      </c>
    </row>
    <row r="2009" spans="1:5" x14ac:dyDescent="0.25">
      <c r="A2009">
        <v>8141368</v>
      </c>
      <c r="B2009">
        <v>21108707</v>
      </c>
      <c r="C2009" s="1">
        <v>42529</v>
      </c>
      <c r="D2009" t="s">
        <v>27</v>
      </c>
      <c r="E2009" t="str">
        <f>VLOOKUP(TRIM(D2009), Catalogo_gestiones!$A:$B, 2, FALSE)</f>
        <v>S</v>
      </c>
    </row>
    <row r="2010" spans="1:5" x14ac:dyDescent="0.25">
      <c r="A2010">
        <v>8141661</v>
      </c>
      <c r="B2010">
        <v>26211389</v>
      </c>
      <c r="C2010" s="1">
        <v>42529</v>
      </c>
      <c r="D2010" t="s">
        <v>28</v>
      </c>
      <c r="E2010" t="str">
        <f>VLOOKUP(TRIM(D2010), Catalogo_gestiones!$A:$B, 2, FALSE)</f>
        <v>N</v>
      </c>
    </row>
    <row r="2011" spans="1:5" x14ac:dyDescent="0.25">
      <c r="A2011">
        <v>8142131</v>
      </c>
      <c r="B2011">
        <v>23230686</v>
      </c>
      <c r="C2011" s="1">
        <v>42527</v>
      </c>
      <c r="D2011" t="s">
        <v>24</v>
      </c>
      <c r="E2011" t="str">
        <f>VLOOKUP(TRIM(D2011), Catalogo_gestiones!$A:$B, 2, FALSE)</f>
        <v>S</v>
      </c>
    </row>
    <row r="2012" spans="1:5" x14ac:dyDescent="0.25">
      <c r="A2012">
        <v>8142840</v>
      </c>
      <c r="B2012">
        <v>28584067</v>
      </c>
      <c r="C2012" s="1">
        <v>42529</v>
      </c>
      <c r="D2012" t="s">
        <v>25</v>
      </c>
      <c r="E2012" t="str">
        <f>VLOOKUP(TRIM(D2012), Catalogo_gestiones!$A:$B, 2, FALSE)</f>
        <v>N</v>
      </c>
    </row>
    <row r="2013" spans="1:5" x14ac:dyDescent="0.25">
      <c r="A2013">
        <v>8142913</v>
      </c>
      <c r="B2013">
        <v>15150108</v>
      </c>
      <c r="C2013" s="1">
        <v>42529</v>
      </c>
      <c r="D2013" t="s">
        <v>26</v>
      </c>
      <c r="E2013" t="str">
        <f>VLOOKUP(TRIM(D2013), Catalogo_gestiones!$A:$B, 2, FALSE)</f>
        <v>N</v>
      </c>
    </row>
    <row r="2014" spans="1:5" x14ac:dyDescent="0.25">
      <c r="A2014">
        <v>8143445</v>
      </c>
      <c r="B2014">
        <v>27500623</v>
      </c>
      <c r="C2014" s="1">
        <v>42529</v>
      </c>
      <c r="D2014" t="s">
        <v>27</v>
      </c>
      <c r="E2014" t="str">
        <f>VLOOKUP(TRIM(D2014), Catalogo_gestiones!$A:$B, 2, FALSE)</f>
        <v>S</v>
      </c>
    </row>
    <row r="2015" spans="1:5" x14ac:dyDescent="0.25">
      <c r="A2015">
        <v>8143616</v>
      </c>
      <c r="B2015">
        <v>28579108</v>
      </c>
      <c r="C2015" s="1">
        <v>42529</v>
      </c>
      <c r="D2015" t="s">
        <v>28</v>
      </c>
      <c r="E2015" t="str">
        <f>VLOOKUP(TRIM(D2015), Catalogo_gestiones!$A:$B, 2, FALSE)</f>
        <v>N</v>
      </c>
    </row>
    <row r="2016" spans="1:5" x14ac:dyDescent="0.25">
      <c r="A2016">
        <v>8143620</v>
      </c>
      <c r="B2016">
        <v>26382097</v>
      </c>
      <c r="C2016" s="1">
        <v>42527</v>
      </c>
      <c r="D2016" t="s">
        <v>24</v>
      </c>
      <c r="E2016" t="str">
        <f>VLOOKUP(TRIM(D2016), Catalogo_gestiones!$A:$B, 2, FALSE)</f>
        <v>S</v>
      </c>
    </row>
    <row r="2017" spans="1:5" x14ac:dyDescent="0.25">
      <c r="A2017">
        <v>8143701</v>
      </c>
      <c r="B2017">
        <v>21781337</v>
      </c>
      <c r="C2017" s="1">
        <v>42529</v>
      </c>
      <c r="D2017" t="s">
        <v>25</v>
      </c>
      <c r="E2017" t="str">
        <f>VLOOKUP(TRIM(D2017), Catalogo_gestiones!$A:$B, 2, FALSE)</f>
        <v>N</v>
      </c>
    </row>
    <row r="2018" spans="1:5" x14ac:dyDescent="0.25">
      <c r="A2018">
        <v>8143941</v>
      </c>
      <c r="B2018">
        <v>28177048</v>
      </c>
      <c r="C2018" s="1">
        <v>42529</v>
      </c>
      <c r="D2018" t="s">
        <v>26</v>
      </c>
      <c r="E2018" t="str">
        <f>VLOOKUP(TRIM(D2018), Catalogo_gestiones!$A:$B, 2, FALSE)</f>
        <v>N</v>
      </c>
    </row>
    <row r="2019" spans="1:5" x14ac:dyDescent="0.25">
      <c r="A2019">
        <v>8144093</v>
      </c>
      <c r="B2019">
        <v>24256962</v>
      </c>
      <c r="C2019" s="1">
        <v>42529</v>
      </c>
      <c r="D2019" t="s">
        <v>27</v>
      </c>
      <c r="E2019" t="str">
        <f>VLOOKUP(TRIM(D2019), Catalogo_gestiones!$A:$B, 2, FALSE)</f>
        <v>S</v>
      </c>
    </row>
    <row r="2020" spans="1:5" x14ac:dyDescent="0.25">
      <c r="A2020">
        <v>8144093</v>
      </c>
      <c r="B2020">
        <v>24257547</v>
      </c>
      <c r="C2020" s="1">
        <v>42529</v>
      </c>
      <c r="D2020" t="s">
        <v>28</v>
      </c>
      <c r="E2020" t="str">
        <f>VLOOKUP(TRIM(D2020), Catalogo_gestiones!$A:$B, 2, FALSE)</f>
        <v>N</v>
      </c>
    </row>
    <row r="2021" spans="1:5" x14ac:dyDescent="0.25">
      <c r="A2021">
        <v>8144093</v>
      </c>
      <c r="B2021">
        <v>25328215</v>
      </c>
      <c r="C2021" s="1">
        <v>42529</v>
      </c>
      <c r="D2021" t="s">
        <v>30</v>
      </c>
      <c r="E2021" t="str">
        <f>VLOOKUP(TRIM(D2021), Catalogo_gestiones!$A:$B, 2, FALSE)</f>
        <v>S</v>
      </c>
    </row>
    <row r="2022" spans="1:5" x14ac:dyDescent="0.25">
      <c r="A2022">
        <v>8144982</v>
      </c>
      <c r="B2022">
        <v>26085369</v>
      </c>
      <c r="C2022" s="1">
        <v>42529</v>
      </c>
      <c r="D2022" t="s">
        <v>24</v>
      </c>
      <c r="E2022" t="str">
        <f>VLOOKUP(TRIM(D2022), Catalogo_gestiones!$A:$B, 2, FALSE)</f>
        <v>S</v>
      </c>
    </row>
    <row r="2023" spans="1:5" x14ac:dyDescent="0.25">
      <c r="A2023">
        <v>8145532</v>
      </c>
      <c r="B2023">
        <v>27443036</v>
      </c>
      <c r="C2023" s="1">
        <v>42529</v>
      </c>
      <c r="D2023" t="s">
        <v>25</v>
      </c>
      <c r="E2023" t="str">
        <f>VLOOKUP(TRIM(D2023), Catalogo_gestiones!$A:$B, 2, FALSE)</f>
        <v>N</v>
      </c>
    </row>
    <row r="2024" spans="1:5" x14ac:dyDescent="0.25">
      <c r="A2024">
        <v>8145532</v>
      </c>
      <c r="B2024">
        <v>27445813</v>
      </c>
      <c r="C2024" s="1">
        <v>42529</v>
      </c>
      <c r="D2024" t="s">
        <v>26</v>
      </c>
      <c r="E2024" t="str">
        <f>VLOOKUP(TRIM(D2024), Catalogo_gestiones!$A:$B, 2, FALSE)</f>
        <v>N</v>
      </c>
    </row>
    <row r="2025" spans="1:5" x14ac:dyDescent="0.25">
      <c r="A2025">
        <v>8145600</v>
      </c>
      <c r="B2025">
        <v>21147053</v>
      </c>
      <c r="C2025" s="1">
        <v>42529</v>
      </c>
      <c r="D2025" t="s">
        <v>27</v>
      </c>
      <c r="E2025" t="str">
        <f>VLOOKUP(TRIM(D2025), Catalogo_gestiones!$A:$B, 2, FALSE)</f>
        <v>S</v>
      </c>
    </row>
    <row r="2026" spans="1:5" x14ac:dyDescent="0.25">
      <c r="A2026">
        <v>8145696</v>
      </c>
      <c r="B2026">
        <v>1487545</v>
      </c>
      <c r="C2026" s="1">
        <v>42530</v>
      </c>
      <c r="D2026" t="s">
        <v>28</v>
      </c>
      <c r="E2026" t="str">
        <f>VLOOKUP(TRIM(D2026), Catalogo_gestiones!$A:$B, 2, FALSE)</f>
        <v>N</v>
      </c>
    </row>
    <row r="2027" spans="1:5" x14ac:dyDescent="0.25">
      <c r="A2027">
        <v>8146040</v>
      </c>
      <c r="B2027">
        <v>27997103</v>
      </c>
      <c r="C2027" s="1">
        <v>42527</v>
      </c>
      <c r="D2027" t="s">
        <v>24</v>
      </c>
      <c r="E2027" t="str">
        <f>VLOOKUP(TRIM(D2027), Catalogo_gestiones!$A:$B, 2, FALSE)</f>
        <v>S</v>
      </c>
    </row>
    <row r="2028" spans="1:5" x14ac:dyDescent="0.25">
      <c r="A2028">
        <v>8146127</v>
      </c>
      <c r="B2028">
        <v>20815640</v>
      </c>
      <c r="C2028" s="1">
        <v>42530</v>
      </c>
      <c r="D2028" t="s">
        <v>25</v>
      </c>
      <c r="E2028" t="str">
        <f>VLOOKUP(TRIM(D2028), Catalogo_gestiones!$A:$B, 2, FALSE)</f>
        <v>N</v>
      </c>
    </row>
    <row r="2029" spans="1:5" x14ac:dyDescent="0.25">
      <c r="A2029">
        <v>8146254</v>
      </c>
      <c r="B2029">
        <v>25426056</v>
      </c>
      <c r="C2029" s="1">
        <v>42530</v>
      </c>
      <c r="D2029" t="s">
        <v>26</v>
      </c>
      <c r="E2029" t="str">
        <f>VLOOKUP(TRIM(D2029), Catalogo_gestiones!$A:$B, 2, FALSE)</f>
        <v>N</v>
      </c>
    </row>
    <row r="2030" spans="1:5" x14ac:dyDescent="0.25">
      <c r="A2030">
        <v>8146294</v>
      </c>
      <c r="B2030">
        <v>26813743</v>
      </c>
      <c r="C2030" s="1">
        <v>42530</v>
      </c>
      <c r="D2030" t="s">
        <v>27</v>
      </c>
      <c r="E2030" t="str">
        <f>VLOOKUP(TRIM(D2030), Catalogo_gestiones!$A:$B, 2, FALSE)</f>
        <v>S</v>
      </c>
    </row>
    <row r="2031" spans="1:5" x14ac:dyDescent="0.25">
      <c r="A2031">
        <v>8146356</v>
      </c>
      <c r="B2031">
        <v>15560223</v>
      </c>
      <c r="C2031" s="1">
        <v>42530</v>
      </c>
      <c r="D2031" t="s">
        <v>28</v>
      </c>
      <c r="E2031" t="str">
        <f>VLOOKUP(TRIM(D2031), Catalogo_gestiones!$A:$B, 2, FALSE)</f>
        <v>N</v>
      </c>
    </row>
    <row r="2032" spans="1:5" x14ac:dyDescent="0.25">
      <c r="A2032">
        <v>8146356</v>
      </c>
      <c r="B2032">
        <v>15560641</v>
      </c>
      <c r="C2032" s="1">
        <v>42530</v>
      </c>
      <c r="D2032" t="s">
        <v>24</v>
      </c>
      <c r="E2032" t="str">
        <f>VLOOKUP(TRIM(D2032), Catalogo_gestiones!$A:$B, 2, FALSE)</f>
        <v>S</v>
      </c>
    </row>
    <row r="2033" spans="1:5" x14ac:dyDescent="0.25">
      <c r="A2033">
        <v>8146356</v>
      </c>
      <c r="B2033">
        <v>15561187</v>
      </c>
      <c r="C2033" s="1">
        <v>42530</v>
      </c>
      <c r="D2033" t="s">
        <v>25</v>
      </c>
      <c r="E2033" t="str">
        <f>VLOOKUP(TRIM(D2033), Catalogo_gestiones!$A:$B, 2, FALSE)</f>
        <v>N</v>
      </c>
    </row>
    <row r="2034" spans="1:5" x14ac:dyDescent="0.25">
      <c r="A2034">
        <v>8146680</v>
      </c>
      <c r="B2034">
        <v>10589807</v>
      </c>
      <c r="C2034" s="1">
        <v>42530</v>
      </c>
      <c r="D2034" t="s">
        <v>26</v>
      </c>
      <c r="E2034" t="str">
        <f>VLOOKUP(TRIM(D2034), Catalogo_gestiones!$A:$B, 2, FALSE)</f>
        <v>N</v>
      </c>
    </row>
    <row r="2035" spans="1:5" x14ac:dyDescent="0.25">
      <c r="A2035">
        <v>8147134</v>
      </c>
      <c r="B2035">
        <v>27154443</v>
      </c>
      <c r="C2035" s="1">
        <v>42530</v>
      </c>
      <c r="D2035" t="s">
        <v>27</v>
      </c>
      <c r="E2035" t="str">
        <f>VLOOKUP(TRIM(D2035), Catalogo_gestiones!$A:$B, 2, FALSE)</f>
        <v>S</v>
      </c>
    </row>
    <row r="2036" spans="1:5" x14ac:dyDescent="0.25">
      <c r="A2036">
        <v>8147204</v>
      </c>
      <c r="B2036">
        <v>27138725</v>
      </c>
      <c r="C2036" s="1">
        <v>42530</v>
      </c>
      <c r="D2036" t="s">
        <v>28</v>
      </c>
      <c r="E2036" t="str">
        <f>VLOOKUP(TRIM(D2036), Catalogo_gestiones!$A:$B, 2, FALSE)</f>
        <v>N</v>
      </c>
    </row>
    <row r="2037" spans="1:5" x14ac:dyDescent="0.25">
      <c r="A2037">
        <v>8147976</v>
      </c>
      <c r="B2037">
        <v>22912840</v>
      </c>
      <c r="C2037" s="1">
        <v>42530</v>
      </c>
      <c r="D2037" t="s">
        <v>30</v>
      </c>
      <c r="E2037" t="str">
        <f>VLOOKUP(TRIM(D2037), Catalogo_gestiones!$A:$B, 2, FALSE)</f>
        <v>S</v>
      </c>
    </row>
    <row r="2038" spans="1:5" x14ac:dyDescent="0.25">
      <c r="A2038">
        <v>8148012</v>
      </c>
      <c r="B2038">
        <v>26918078</v>
      </c>
      <c r="C2038" s="1">
        <v>42530</v>
      </c>
      <c r="D2038" t="s">
        <v>24</v>
      </c>
      <c r="E2038" t="str">
        <f>VLOOKUP(TRIM(D2038), Catalogo_gestiones!$A:$B, 2, FALSE)</f>
        <v>S</v>
      </c>
    </row>
    <row r="2039" spans="1:5" x14ac:dyDescent="0.25">
      <c r="A2039">
        <v>8148012</v>
      </c>
      <c r="B2039">
        <v>26918957</v>
      </c>
      <c r="C2039" s="1">
        <v>42530</v>
      </c>
      <c r="D2039" t="s">
        <v>25</v>
      </c>
      <c r="E2039" t="str">
        <f>VLOOKUP(TRIM(D2039), Catalogo_gestiones!$A:$B, 2, FALSE)</f>
        <v>N</v>
      </c>
    </row>
    <row r="2040" spans="1:5" x14ac:dyDescent="0.25">
      <c r="A2040">
        <v>8148376</v>
      </c>
      <c r="B2040">
        <v>16869327</v>
      </c>
      <c r="C2040" s="1">
        <v>42530</v>
      </c>
      <c r="D2040" t="s">
        <v>26</v>
      </c>
      <c r="E2040" t="str">
        <f>VLOOKUP(TRIM(D2040), Catalogo_gestiones!$A:$B, 2, FALSE)</f>
        <v>N</v>
      </c>
    </row>
    <row r="2041" spans="1:5" x14ac:dyDescent="0.25">
      <c r="A2041">
        <v>8148804</v>
      </c>
      <c r="B2041">
        <v>24807483</v>
      </c>
      <c r="C2041" s="1">
        <v>42530</v>
      </c>
      <c r="D2041" t="s">
        <v>27</v>
      </c>
      <c r="E2041" t="str">
        <f>VLOOKUP(TRIM(D2041), Catalogo_gestiones!$A:$B, 2, FALSE)</f>
        <v>S</v>
      </c>
    </row>
    <row r="2042" spans="1:5" x14ac:dyDescent="0.25">
      <c r="A2042">
        <v>8149563</v>
      </c>
      <c r="B2042">
        <v>22789135</v>
      </c>
      <c r="C2042" s="1">
        <v>42530</v>
      </c>
      <c r="D2042" t="s">
        <v>28</v>
      </c>
      <c r="E2042" t="str">
        <f>VLOOKUP(TRIM(D2042), Catalogo_gestiones!$A:$B, 2, FALSE)</f>
        <v>N</v>
      </c>
    </row>
    <row r="2043" spans="1:5" x14ac:dyDescent="0.25">
      <c r="A2043">
        <v>8149563</v>
      </c>
      <c r="B2043">
        <v>22789722</v>
      </c>
      <c r="C2043" s="1">
        <v>42530</v>
      </c>
      <c r="D2043" t="s">
        <v>24</v>
      </c>
      <c r="E2043" t="str">
        <f>VLOOKUP(TRIM(D2043), Catalogo_gestiones!$A:$B, 2, FALSE)</f>
        <v>S</v>
      </c>
    </row>
    <row r="2044" spans="1:5" x14ac:dyDescent="0.25">
      <c r="A2044">
        <v>8149652</v>
      </c>
      <c r="B2044">
        <v>14265682</v>
      </c>
      <c r="C2044" s="1">
        <v>42530</v>
      </c>
      <c r="D2044" t="s">
        <v>25</v>
      </c>
      <c r="E2044" t="str">
        <f>VLOOKUP(TRIM(D2044), Catalogo_gestiones!$A:$B, 2, FALSE)</f>
        <v>N</v>
      </c>
    </row>
    <row r="2045" spans="1:5" x14ac:dyDescent="0.25">
      <c r="A2045">
        <v>8149652</v>
      </c>
      <c r="B2045">
        <v>16980898</v>
      </c>
      <c r="C2045" s="1">
        <v>42530</v>
      </c>
      <c r="D2045" t="s">
        <v>26</v>
      </c>
      <c r="E2045" t="str">
        <f>VLOOKUP(TRIM(D2045), Catalogo_gestiones!$A:$B, 2, FALSE)</f>
        <v>N</v>
      </c>
    </row>
    <row r="2046" spans="1:5" x14ac:dyDescent="0.25">
      <c r="A2046">
        <v>8149652</v>
      </c>
      <c r="B2046">
        <v>23954312</v>
      </c>
      <c r="C2046" s="1">
        <v>42530</v>
      </c>
      <c r="D2046" t="s">
        <v>27</v>
      </c>
      <c r="E2046" t="str">
        <f>VLOOKUP(TRIM(D2046), Catalogo_gestiones!$A:$B, 2, FALSE)</f>
        <v>S</v>
      </c>
    </row>
    <row r="2047" spans="1:5" x14ac:dyDescent="0.25">
      <c r="A2047">
        <v>8149873</v>
      </c>
      <c r="B2047">
        <v>21128782</v>
      </c>
      <c r="C2047" s="1">
        <v>42530</v>
      </c>
      <c r="D2047" t="s">
        <v>28</v>
      </c>
      <c r="E2047" t="str">
        <f>VLOOKUP(TRIM(D2047), Catalogo_gestiones!$A:$B, 2, FALSE)</f>
        <v>N</v>
      </c>
    </row>
    <row r="2048" spans="1:5" x14ac:dyDescent="0.25">
      <c r="A2048">
        <v>8149873</v>
      </c>
      <c r="B2048">
        <v>21130021</v>
      </c>
      <c r="C2048" s="1">
        <v>42530</v>
      </c>
      <c r="D2048" t="s">
        <v>24</v>
      </c>
      <c r="E2048" t="str">
        <f>VLOOKUP(TRIM(D2048), Catalogo_gestiones!$A:$B, 2, FALSE)</f>
        <v>S</v>
      </c>
    </row>
    <row r="2049" spans="1:5" x14ac:dyDescent="0.25">
      <c r="A2049">
        <v>8150642</v>
      </c>
      <c r="B2049">
        <v>21255889</v>
      </c>
      <c r="C2049" s="1">
        <v>42530</v>
      </c>
      <c r="D2049" t="s">
        <v>25</v>
      </c>
      <c r="E2049" t="str">
        <f>VLOOKUP(TRIM(D2049), Catalogo_gestiones!$A:$B, 2, FALSE)</f>
        <v>N</v>
      </c>
    </row>
    <row r="2050" spans="1:5" x14ac:dyDescent="0.25">
      <c r="A2050">
        <v>8150722</v>
      </c>
      <c r="B2050">
        <v>24211866</v>
      </c>
      <c r="C2050" s="1">
        <v>42530</v>
      </c>
      <c r="D2050" t="s">
        <v>26</v>
      </c>
      <c r="E2050" t="str">
        <f>VLOOKUP(TRIM(D2050), Catalogo_gestiones!$A:$B, 2, FALSE)</f>
        <v>N</v>
      </c>
    </row>
    <row r="2051" spans="1:5" x14ac:dyDescent="0.25">
      <c r="A2051">
        <v>8151650</v>
      </c>
      <c r="B2051">
        <v>25137085</v>
      </c>
      <c r="C2051" s="1">
        <v>42530</v>
      </c>
      <c r="D2051" t="s">
        <v>27</v>
      </c>
      <c r="E2051" t="str">
        <f>VLOOKUP(TRIM(D2051), Catalogo_gestiones!$A:$B, 2, FALSE)</f>
        <v>S</v>
      </c>
    </row>
    <row r="2052" spans="1:5" x14ac:dyDescent="0.25">
      <c r="A2052">
        <v>8151925</v>
      </c>
      <c r="B2052">
        <v>26319431</v>
      </c>
      <c r="C2052" s="1">
        <v>42530</v>
      </c>
      <c r="D2052" t="s">
        <v>28</v>
      </c>
      <c r="E2052" t="str">
        <f>VLOOKUP(TRIM(D2052), Catalogo_gestiones!$A:$B, 2, FALSE)</f>
        <v>N</v>
      </c>
    </row>
    <row r="2053" spans="1:5" x14ac:dyDescent="0.25">
      <c r="A2053">
        <v>8152781</v>
      </c>
      <c r="B2053">
        <v>26226398</v>
      </c>
      <c r="C2053" s="1">
        <v>42530</v>
      </c>
      <c r="D2053" t="s">
        <v>30</v>
      </c>
      <c r="E2053" t="str">
        <f>VLOOKUP(TRIM(D2053), Catalogo_gestiones!$A:$B, 2, FALSE)</f>
        <v>S</v>
      </c>
    </row>
    <row r="2054" spans="1:5" x14ac:dyDescent="0.25">
      <c r="A2054">
        <v>8153448</v>
      </c>
      <c r="B2054">
        <v>26125116</v>
      </c>
      <c r="C2054" s="1">
        <v>42530</v>
      </c>
      <c r="D2054" t="s">
        <v>24</v>
      </c>
      <c r="E2054" t="str">
        <f>VLOOKUP(TRIM(D2054), Catalogo_gestiones!$A:$B, 2, FALSE)</f>
        <v>S</v>
      </c>
    </row>
    <row r="2055" spans="1:5" x14ac:dyDescent="0.25">
      <c r="A2055">
        <v>8153448</v>
      </c>
      <c r="B2055">
        <v>26129875</v>
      </c>
      <c r="C2055" s="1">
        <v>42530</v>
      </c>
      <c r="D2055" t="s">
        <v>25</v>
      </c>
      <c r="E2055" t="str">
        <f>VLOOKUP(TRIM(D2055), Catalogo_gestiones!$A:$B, 2, FALSE)</f>
        <v>N</v>
      </c>
    </row>
    <row r="2056" spans="1:5" x14ac:dyDescent="0.25">
      <c r="A2056">
        <v>8153540</v>
      </c>
      <c r="B2056">
        <v>25028738</v>
      </c>
      <c r="C2056" s="1">
        <v>42530</v>
      </c>
      <c r="D2056" t="s">
        <v>26</v>
      </c>
      <c r="E2056" t="str">
        <f>VLOOKUP(TRIM(D2056), Catalogo_gestiones!$A:$B, 2, FALSE)</f>
        <v>N</v>
      </c>
    </row>
    <row r="2057" spans="1:5" x14ac:dyDescent="0.25">
      <c r="A2057">
        <v>8153540</v>
      </c>
      <c r="B2057">
        <v>26813496</v>
      </c>
      <c r="C2057" s="1">
        <v>42530</v>
      </c>
      <c r="D2057" t="s">
        <v>27</v>
      </c>
      <c r="E2057" t="str">
        <f>VLOOKUP(TRIM(D2057), Catalogo_gestiones!$A:$B, 2, FALSE)</f>
        <v>S</v>
      </c>
    </row>
    <row r="2058" spans="1:5" x14ac:dyDescent="0.25">
      <c r="A2058">
        <v>8153587</v>
      </c>
      <c r="B2058">
        <v>24000694</v>
      </c>
      <c r="C2058" s="1">
        <v>42530</v>
      </c>
      <c r="D2058" t="s">
        <v>28</v>
      </c>
      <c r="E2058" t="str">
        <f>VLOOKUP(TRIM(D2058), Catalogo_gestiones!$A:$B, 2, FALSE)</f>
        <v>N</v>
      </c>
    </row>
    <row r="2059" spans="1:5" x14ac:dyDescent="0.25">
      <c r="A2059">
        <v>8159247</v>
      </c>
      <c r="B2059">
        <v>24925294</v>
      </c>
      <c r="C2059" s="1">
        <v>42530</v>
      </c>
      <c r="D2059" t="s">
        <v>24</v>
      </c>
      <c r="E2059" t="str">
        <f>VLOOKUP(TRIM(D2059), Catalogo_gestiones!$A:$B, 2, FALSE)</f>
        <v>S</v>
      </c>
    </row>
    <row r="2060" spans="1:5" x14ac:dyDescent="0.25">
      <c r="A2060">
        <v>8159247</v>
      </c>
      <c r="B2060">
        <v>24925514</v>
      </c>
      <c r="C2060" s="1">
        <v>42530</v>
      </c>
      <c r="D2060" t="s">
        <v>25</v>
      </c>
      <c r="E2060" t="str">
        <f>VLOOKUP(TRIM(D2060), Catalogo_gestiones!$A:$B, 2, FALSE)</f>
        <v>N</v>
      </c>
    </row>
    <row r="2061" spans="1:5" x14ac:dyDescent="0.25">
      <c r="A2061">
        <v>8159304</v>
      </c>
      <c r="B2061">
        <v>25008009</v>
      </c>
      <c r="C2061" s="1">
        <v>42530</v>
      </c>
      <c r="D2061" t="s">
        <v>26</v>
      </c>
      <c r="E2061" t="str">
        <f>VLOOKUP(TRIM(D2061), Catalogo_gestiones!$A:$B, 2, FALSE)</f>
        <v>N</v>
      </c>
    </row>
    <row r="2062" spans="1:5" x14ac:dyDescent="0.25">
      <c r="A2062">
        <v>8159820</v>
      </c>
      <c r="B2062">
        <v>22290865</v>
      </c>
      <c r="C2062" s="1">
        <v>42530</v>
      </c>
      <c r="D2062" t="s">
        <v>27</v>
      </c>
      <c r="E2062" t="str">
        <f>VLOOKUP(TRIM(D2062), Catalogo_gestiones!$A:$B, 2, FALSE)</f>
        <v>S</v>
      </c>
    </row>
    <row r="2063" spans="1:5" x14ac:dyDescent="0.25">
      <c r="A2063">
        <v>8159820</v>
      </c>
      <c r="B2063">
        <v>22291304</v>
      </c>
      <c r="C2063" s="1">
        <v>42530</v>
      </c>
      <c r="D2063" t="s">
        <v>28</v>
      </c>
      <c r="E2063" t="str">
        <f>VLOOKUP(TRIM(D2063), Catalogo_gestiones!$A:$B, 2, FALSE)</f>
        <v>N</v>
      </c>
    </row>
    <row r="2064" spans="1:5" x14ac:dyDescent="0.25">
      <c r="A2064">
        <v>8159820</v>
      </c>
      <c r="B2064">
        <v>24951061</v>
      </c>
      <c r="C2064" s="1">
        <v>42530</v>
      </c>
      <c r="D2064" t="s">
        <v>24</v>
      </c>
      <c r="E2064" t="str">
        <f>VLOOKUP(TRIM(D2064), Catalogo_gestiones!$A:$B, 2, FALSE)</f>
        <v>S</v>
      </c>
    </row>
    <row r="2065" spans="1:5" x14ac:dyDescent="0.25">
      <c r="A2065">
        <v>8160167</v>
      </c>
      <c r="B2065">
        <v>2861483</v>
      </c>
      <c r="C2065" s="1">
        <v>42530</v>
      </c>
      <c r="D2065" t="s">
        <v>25</v>
      </c>
      <c r="E2065" t="str">
        <f>VLOOKUP(TRIM(D2065), Catalogo_gestiones!$A:$B, 2, FALSE)</f>
        <v>N</v>
      </c>
    </row>
    <row r="2066" spans="1:5" x14ac:dyDescent="0.25">
      <c r="A2066">
        <v>8160262</v>
      </c>
      <c r="B2066">
        <v>26180107</v>
      </c>
      <c r="C2066" s="1">
        <v>42530</v>
      </c>
      <c r="D2066" t="s">
        <v>26</v>
      </c>
      <c r="E2066" t="str">
        <f>VLOOKUP(TRIM(D2066), Catalogo_gestiones!$A:$B, 2, FALSE)</f>
        <v>N</v>
      </c>
    </row>
    <row r="2067" spans="1:5" x14ac:dyDescent="0.25">
      <c r="A2067">
        <v>8160270</v>
      </c>
      <c r="B2067">
        <v>27760880</v>
      </c>
      <c r="C2067" s="1">
        <v>42530</v>
      </c>
      <c r="D2067" t="s">
        <v>27</v>
      </c>
      <c r="E2067" t="str">
        <f>VLOOKUP(TRIM(D2067), Catalogo_gestiones!$A:$B, 2, FALSE)</f>
        <v>S</v>
      </c>
    </row>
    <row r="2068" spans="1:5" x14ac:dyDescent="0.25">
      <c r="A2068">
        <v>8160623</v>
      </c>
      <c r="B2068">
        <v>21313010</v>
      </c>
      <c r="C2068" s="1">
        <v>42533</v>
      </c>
      <c r="D2068" t="s">
        <v>28</v>
      </c>
      <c r="E2068" t="str">
        <f>VLOOKUP(TRIM(D2068), Catalogo_gestiones!$A:$B, 2, FALSE)</f>
        <v>N</v>
      </c>
    </row>
    <row r="2069" spans="1:5" x14ac:dyDescent="0.25">
      <c r="A2069">
        <v>8160623</v>
      </c>
      <c r="B2069">
        <v>27645067</v>
      </c>
      <c r="C2069" s="1">
        <v>42533</v>
      </c>
      <c r="D2069" t="s">
        <v>30</v>
      </c>
      <c r="E2069" t="str">
        <f>VLOOKUP(TRIM(D2069), Catalogo_gestiones!$A:$B, 2, FALSE)</f>
        <v>S</v>
      </c>
    </row>
    <row r="2070" spans="1:5" x14ac:dyDescent="0.25">
      <c r="A2070">
        <v>8160956</v>
      </c>
      <c r="B2070">
        <v>21942759</v>
      </c>
      <c r="C2070" s="1">
        <v>42530</v>
      </c>
      <c r="D2070" t="s">
        <v>24</v>
      </c>
      <c r="E2070" t="str">
        <f>VLOOKUP(TRIM(D2070), Catalogo_gestiones!$A:$B, 2, FALSE)</f>
        <v>S</v>
      </c>
    </row>
    <row r="2071" spans="1:5" x14ac:dyDescent="0.25">
      <c r="A2071">
        <v>8160956</v>
      </c>
      <c r="B2071">
        <v>21943359</v>
      </c>
      <c r="C2071" s="1">
        <v>42530</v>
      </c>
      <c r="D2071" t="s">
        <v>25</v>
      </c>
      <c r="E2071" t="str">
        <f>VLOOKUP(TRIM(D2071), Catalogo_gestiones!$A:$B, 2, FALSE)</f>
        <v>N</v>
      </c>
    </row>
    <row r="2072" spans="1:5" x14ac:dyDescent="0.25">
      <c r="A2072">
        <v>8160956</v>
      </c>
      <c r="B2072">
        <v>21943838</v>
      </c>
      <c r="C2072" s="1">
        <v>42530</v>
      </c>
      <c r="D2072" t="s">
        <v>26</v>
      </c>
      <c r="E2072" t="str">
        <f>VLOOKUP(TRIM(D2072), Catalogo_gestiones!$A:$B, 2, FALSE)</f>
        <v>N</v>
      </c>
    </row>
    <row r="2073" spans="1:5" x14ac:dyDescent="0.25">
      <c r="A2073">
        <v>8161759</v>
      </c>
      <c r="B2073">
        <v>24392059</v>
      </c>
      <c r="C2073" s="1">
        <v>42530</v>
      </c>
      <c r="D2073" t="s">
        <v>27</v>
      </c>
      <c r="E2073" t="str">
        <f>VLOOKUP(TRIM(D2073), Catalogo_gestiones!$A:$B, 2, FALSE)</f>
        <v>S</v>
      </c>
    </row>
    <row r="2074" spans="1:5" x14ac:dyDescent="0.25">
      <c r="A2074">
        <v>8161857</v>
      </c>
      <c r="B2074">
        <v>28595455</v>
      </c>
      <c r="C2074" s="1">
        <v>42529</v>
      </c>
      <c r="D2074" t="s">
        <v>28</v>
      </c>
      <c r="E2074" t="str">
        <f>VLOOKUP(TRIM(D2074), Catalogo_gestiones!$A:$B, 2, FALSE)</f>
        <v>N</v>
      </c>
    </row>
    <row r="2075" spans="1:5" x14ac:dyDescent="0.25">
      <c r="A2075">
        <v>8162090</v>
      </c>
      <c r="B2075">
        <v>12041523</v>
      </c>
      <c r="C2075" s="1">
        <v>42530</v>
      </c>
      <c r="D2075" t="s">
        <v>24</v>
      </c>
      <c r="E2075" t="str">
        <f>VLOOKUP(TRIM(D2075), Catalogo_gestiones!$A:$B, 2, FALSE)</f>
        <v>S</v>
      </c>
    </row>
    <row r="2076" spans="1:5" x14ac:dyDescent="0.25">
      <c r="A2076">
        <v>8162090</v>
      </c>
      <c r="B2076">
        <v>20732916</v>
      </c>
      <c r="C2076" s="1">
        <v>42530</v>
      </c>
      <c r="D2076" t="s">
        <v>25</v>
      </c>
      <c r="E2076" t="str">
        <f>VLOOKUP(TRIM(D2076), Catalogo_gestiones!$A:$B, 2, FALSE)</f>
        <v>N</v>
      </c>
    </row>
    <row r="2077" spans="1:5" x14ac:dyDescent="0.25">
      <c r="A2077">
        <v>8162090</v>
      </c>
      <c r="B2077">
        <v>20736069</v>
      </c>
      <c r="C2077" s="1">
        <v>42530</v>
      </c>
      <c r="D2077" t="s">
        <v>26</v>
      </c>
      <c r="E2077" t="str">
        <f>VLOOKUP(TRIM(D2077), Catalogo_gestiones!$A:$B, 2, FALSE)</f>
        <v>N</v>
      </c>
    </row>
    <row r="2078" spans="1:5" x14ac:dyDescent="0.25">
      <c r="A2078">
        <v>8162545</v>
      </c>
      <c r="B2078">
        <v>20841513</v>
      </c>
      <c r="C2078" s="1">
        <v>42534</v>
      </c>
      <c r="D2078" t="s">
        <v>27</v>
      </c>
      <c r="E2078" t="str">
        <f>VLOOKUP(TRIM(D2078), Catalogo_gestiones!$A:$B, 2, FALSE)</f>
        <v>S</v>
      </c>
    </row>
    <row r="2079" spans="1:5" x14ac:dyDescent="0.25">
      <c r="A2079">
        <v>8162545</v>
      </c>
      <c r="B2079">
        <v>22625570</v>
      </c>
      <c r="C2079" s="1">
        <v>42531</v>
      </c>
      <c r="D2079" t="s">
        <v>28</v>
      </c>
      <c r="E2079" t="str">
        <f>VLOOKUP(TRIM(D2079), Catalogo_gestiones!$A:$B, 2, FALSE)</f>
        <v>N</v>
      </c>
    </row>
    <row r="2080" spans="1:5" x14ac:dyDescent="0.25">
      <c r="A2080">
        <v>8162900</v>
      </c>
      <c r="B2080">
        <v>26490081</v>
      </c>
      <c r="C2080" s="1">
        <v>42531</v>
      </c>
      <c r="D2080" t="s">
        <v>24</v>
      </c>
      <c r="E2080" t="str">
        <f>VLOOKUP(TRIM(D2080), Catalogo_gestiones!$A:$B, 2, FALSE)</f>
        <v>S</v>
      </c>
    </row>
    <row r="2081" spans="1:5" x14ac:dyDescent="0.25">
      <c r="A2081">
        <v>8163083</v>
      </c>
      <c r="B2081">
        <v>26691394</v>
      </c>
      <c r="C2081" s="1">
        <v>42531</v>
      </c>
      <c r="D2081" t="s">
        <v>25</v>
      </c>
      <c r="E2081" t="str">
        <f>VLOOKUP(TRIM(D2081), Catalogo_gestiones!$A:$B, 2, FALSE)</f>
        <v>N</v>
      </c>
    </row>
    <row r="2082" spans="1:5" x14ac:dyDescent="0.25">
      <c r="A2082">
        <v>8163089</v>
      </c>
      <c r="B2082">
        <v>23261406</v>
      </c>
      <c r="C2082" s="1">
        <v>42531</v>
      </c>
      <c r="D2082" t="s">
        <v>26</v>
      </c>
      <c r="E2082" t="str">
        <f>VLOOKUP(TRIM(D2082), Catalogo_gestiones!$A:$B, 2, FALSE)</f>
        <v>N</v>
      </c>
    </row>
    <row r="2083" spans="1:5" x14ac:dyDescent="0.25">
      <c r="A2083">
        <v>8163206</v>
      </c>
      <c r="B2083">
        <v>21051982</v>
      </c>
      <c r="C2083" s="1">
        <v>42531</v>
      </c>
      <c r="D2083" t="s">
        <v>27</v>
      </c>
      <c r="E2083" t="str">
        <f>VLOOKUP(TRIM(D2083), Catalogo_gestiones!$A:$B, 2, FALSE)</f>
        <v>S</v>
      </c>
    </row>
    <row r="2084" spans="1:5" x14ac:dyDescent="0.25">
      <c r="A2084">
        <v>8163225</v>
      </c>
      <c r="B2084">
        <v>14785233</v>
      </c>
      <c r="C2084" s="1">
        <v>42531</v>
      </c>
      <c r="D2084" t="s">
        <v>28</v>
      </c>
      <c r="E2084" t="str">
        <f>VLOOKUP(TRIM(D2084), Catalogo_gestiones!$A:$B, 2, FALSE)</f>
        <v>N</v>
      </c>
    </row>
    <row r="2085" spans="1:5" x14ac:dyDescent="0.25">
      <c r="A2085">
        <v>8163225</v>
      </c>
      <c r="B2085">
        <v>24997522</v>
      </c>
      <c r="C2085" s="1">
        <v>42531</v>
      </c>
      <c r="D2085" t="s">
        <v>30</v>
      </c>
      <c r="E2085" t="str">
        <f>VLOOKUP(TRIM(D2085), Catalogo_gestiones!$A:$B, 2, FALSE)</f>
        <v>S</v>
      </c>
    </row>
    <row r="2086" spans="1:5" x14ac:dyDescent="0.25">
      <c r="A2086">
        <v>8163268</v>
      </c>
      <c r="B2086">
        <v>27339206</v>
      </c>
      <c r="C2086" s="1">
        <v>42531</v>
      </c>
      <c r="D2086" t="s">
        <v>24</v>
      </c>
      <c r="E2086" t="str">
        <f>VLOOKUP(TRIM(D2086), Catalogo_gestiones!$A:$B, 2, FALSE)</f>
        <v>S</v>
      </c>
    </row>
    <row r="2087" spans="1:5" x14ac:dyDescent="0.25">
      <c r="A2087">
        <v>8163501</v>
      </c>
      <c r="B2087">
        <v>21616089</v>
      </c>
      <c r="C2087" s="1">
        <v>42531</v>
      </c>
      <c r="D2087" t="s">
        <v>25</v>
      </c>
      <c r="E2087" t="str">
        <f>VLOOKUP(TRIM(D2087), Catalogo_gestiones!$A:$B, 2, FALSE)</f>
        <v>N</v>
      </c>
    </row>
    <row r="2088" spans="1:5" x14ac:dyDescent="0.25">
      <c r="A2088">
        <v>8163501</v>
      </c>
      <c r="B2088">
        <v>21618226</v>
      </c>
      <c r="C2088" s="1">
        <v>42531</v>
      </c>
      <c r="D2088" t="s">
        <v>26</v>
      </c>
      <c r="E2088" t="str">
        <f>VLOOKUP(TRIM(D2088), Catalogo_gestiones!$A:$B, 2, FALSE)</f>
        <v>N</v>
      </c>
    </row>
    <row r="2089" spans="1:5" x14ac:dyDescent="0.25">
      <c r="A2089">
        <v>8163501</v>
      </c>
      <c r="B2089">
        <v>21621233</v>
      </c>
      <c r="C2089" s="1">
        <v>42531</v>
      </c>
      <c r="D2089" t="s">
        <v>27</v>
      </c>
      <c r="E2089" t="str">
        <f>VLOOKUP(TRIM(D2089), Catalogo_gestiones!$A:$B, 2, FALSE)</f>
        <v>S</v>
      </c>
    </row>
    <row r="2090" spans="1:5" x14ac:dyDescent="0.25">
      <c r="A2090">
        <v>8163501</v>
      </c>
      <c r="B2090">
        <v>24110082</v>
      </c>
      <c r="C2090" s="1">
        <v>42531</v>
      </c>
      <c r="D2090" t="s">
        <v>28</v>
      </c>
      <c r="E2090" t="str">
        <f>VLOOKUP(TRIM(D2090), Catalogo_gestiones!$A:$B, 2, FALSE)</f>
        <v>N</v>
      </c>
    </row>
    <row r="2091" spans="1:5" x14ac:dyDescent="0.25">
      <c r="A2091">
        <v>8163541</v>
      </c>
      <c r="B2091">
        <v>24920834</v>
      </c>
      <c r="C2091" s="1">
        <v>42531</v>
      </c>
      <c r="D2091" t="s">
        <v>24</v>
      </c>
      <c r="E2091" t="str">
        <f>VLOOKUP(TRIM(D2091), Catalogo_gestiones!$A:$B, 2, FALSE)</f>
        <v>S</v>
      </c>
    </row>
    <row r="2092" spans="1:5" x14ac:dyDescent="0.25">
      <c r="A2092">
        <v>8163778</v>
      </c>
      <c r="B2092">
        <v>27381420</v>
      </c>
      <c r="C2092" s="1">
        <v>42531</v>
      </c>
      <c r="D2092" t="s">
        <v>25</v>
      </c>
      <c r="E2092" t="str">
        <f>VLOOKUP(TRIM(D2092), Catalogo_gestiones!$A:$B, 2, FALSE)</f>
        <v>N</v>
      </c>
    </row>
    <row r="2093" spans="1:5" x14ac:dyDescent="0.25">
      <c r="A2093">
        <v>8163809</v>
      </c>
      <c r="B2093">
        <v>26370927</v>
      </c>
      <c r="C2093" s="1">
        <v>42531</v>
      </c>
      <c r="D2093" t="s">
        <v>26</v>
      </c>
      <c r="E2093" t="str">
        <f>VLOOKUP(TRIM(D2093), Catalogo_gestiones!$A:$B, 2, FALSE)</f>
        <v>N</v>
      </c>
    </row>
    <row r="2094" spans="1:5" x14ac:dyDescent="0.25">
      <c r="A2094">
        <v>8163832</v>
      </c>
      <c r="B2094">
        <v>24843109</v>
      </c>
      <c r="C2094" s="1">
        <v>42531</v>
      </c>
      <c r="D2094" t="s">
        <v>27</v>
      </c>
      <c r="E2094" t="str">
        <f>VLOOKUP(TRIM(D2094), Catalogo_gestiones!$A:$B, 2, FALSE)</f>
        <v>S</v>
      </c>
    </row>
    <row r="2095" spans="1:5" x14ac:dyDescent="0.25">
      <c r="A2095">
        <v>8164317</v>
      </c>
      <c r="B2095">
        <v>24836777</v>
      </c>
      <c r="C2095" s="1">
        <v>42531</v>
      </c>
      <c r="D2095" t="s">
        <v>28</v>
      </c>
      <c r="E2095" t="str">
        <f>VLOOKUP(TRIM(D2095), Catalogo_gestiones!$A:$B, 2, FALSE)</f>
        <v>N</v>
      </c>
    </row>
    <row r="2096" spans="1:5" x14ac:dyDescent="0.25">
      <c r="A2096">
        <v>8164706</v>
      </c>
      <c r="B2096">
        <v>27675670</v>
      </c>
      <c r="C2096" s="1">
        <v>42531</v>
      </c>
      <c r="D2096" t="s">
        <v>24</v>
      </c>
      <c r="E2096" t="str">
        <f>VLOOKUP(TRIM(D2096), Catalogo_gestiones!$A:$B, 2, FALSE)</f>
        <v>S</v>
      </c>
    </row>
    <row r="2097" spans="1:5" x14ac:dyDescent="0.25">
      <c r="A2097">
        <v>8164716</v>
      </c>
      <c r="B2097">
        <v>23812101</v>
      </c>
      <c r="C2097" s="1">
        <v>42531</v>
      </c>
      <c r="D2097" t="s">
        <v>25</v>
      </c>
      <c r="E2097" t="str">
        <f>VLOOKUP(TRIM(D2097), Catalogo_gestiones!$A:$B, 2, FALSE)</f>
        <v>N</v>
      </c>
    </row>
    <row r="2098" spans="1:5" x14ac:dyDescent="0.25">
      <c r="A2098">
        <v>8164846</v>
      </c>
      <c r="B2098">
        <v>24213987</v>
      </c>
      <c r="C2098" s="1">
        <v>42531</v>
      </c>
      <c r="D2098" t="s">
        <v>26</v>
      </c>
      <c r="E2098" t="str">
        <f>VLOOKUP(TRIM(D2098), Catalogo_gestiones!$A:$B, 2, FALSE)</f>
        <v>N</v>
      </c>
    </row>
    <row r="2099" spans="1:5" x14ac:dyDescent="0.25">
      <c r="A2099">
        <v>8164886</v>
      </c>
      <c r="B2099">
        <v>26205139</v>
      </c>
      <c r="C2099" s="1">
        <v>42531</v>
      </c>
      <c r="D2099" t="s">
        <v>27</v>
      </c>
      <c r="E2099" t="str">
        <f>VLOOKUP(TRIM(D2099), Catalogo_gestiones!$A:$B, 2, FALSE)</f>
        <v>S</v>
      </c>
    </row>
    <row r="2100" spans="1:5" x14ac:dyDescent="0.25">
      <c r="A2100">
        <v>8164886</v>
      </c>
      <c r="B2100">
        <v>26206180</v>
      </c>
      <c r="C2100" s="1">
        <v>42531</v>
      </c>
      <c r="D2100" t="s">
        <v>28</v>
      </c>
      <c r="E2100" t="str">
        <f>VLOOKUP(TRIM(D2100), Catalogo_gestiones!$A:$B, 2, FALSE)</f>
        <v>N</v>
      </c>
    </row>
    <row r="2101" spans="1:5" x14ac:dyDescent="0.25">
      <c r="A2101">
        <v>8164974</v>
      </c>
      <c r="B2101">
        <v>25826418</v>
      </c>
      <c r="C2101" s="1">
        <v>42531</v>
      </c>
      <c r="D2101" t="s">
        <v>30</v>
      </c>
      <c r="E2101" t="str">
        <f>VLOOKUP(TRIM(D2101), Catalogo_gestiones!$A:$B, 2, FALSE)</f>
        <v>S</v>
      </c>
    </row>
    <row r="2102" spans="1:5" x14ac:dyDescent="0.25">
      <c r="A2102">
        <v>8165150</v>
      </c>
      <c r="B2102">
        <v>25261181</v>
      </c>
      <c r="C2102" s="1">
        <v>42531</v>
      </c>
      <c r="D2102" t="s">
        <v>24</v>
      </c>
      <c r="E2102" t="str">
        <f>VLOOKUP(TRIM(D2102), Catalogo_gestiones!$A:$B, 2, FALSE)</f>
        <v>S</v>
      </c>
    </row>
    <row r="2103" spans="1:5" x14ac:dyDescent="0.25">
      <c r="A2103">
        <v>8165309</v>
      </c>
      <c r="B2103">
        <v>27696033</v>
      </c>
      <c r="C2103" s="1">
        <v>42531</v>
      </c>
      <c r="D2103" t="s">
        <v>25</v>
      </c>
      <c r="E2103" t="str">
        <f>VLOOKUP(TRIM(D2103), Catalogo_gestiones!$A:$B, 2, FALSE)</f>
        <v>N</v>
      </c>
    </row>
    <row r="2104" spans="1:5" x14ac:dyDescent="0.25">
      <c r="A2104">
        <v>8165415</v>
      </c>
      <c r="B2104">
        <v>21264525</v>
      </c>
      <c r="C2104" s="1">
        <v>42531</v>
      </c>
      <c r="D2104" t="s">
        <v>26</v>
      </c>
      <c r="E2104" t="str">
        <f>VLOOKUP(TRIM(D2104), Catalogo_gestiones!$A:$B, 2, FALSE)</f>
        <v>N</v>
      </c>
    </row>
    <row r="2105" spans="1:5" x14ac:dyDescent="0.25">
      <c r="A2105">
        <v>8165415</v>
      </c>
      <c r="B2105">
        <v>28584076</v>
      </c>
      <c r="C2105" s="1">
        <v>42528</v>
      </c>
      <c r="D2105" t="s">
        <v>27</v>
      </c>
      <c r="E2105" t="str">
        <f>VLOOKUP(TRIM(D2105), Catalogo_gestiones!$A:$B, 2, FALSE)</f>
        <v>S</v>
      </c>
    </row>
    <row r="2106" spans="1:5" x14ac:dyDescent="0.25">
      <c r="A2106">
        <v>8165420</v>
      </c>
      <c r="B2106">
        <v>27823013</v>
      </c>
      <c r="C2106" s="1">
        <v>42531</v>
      </c>
      <c r="D2106" t="s">
        <v>28</v>
      </c>
      <c r="E2106" t="str">
        <f>VLOOKUP(TRIM(D2106), Catalogo_gestiones!$A:$B, 2, FALSE)</f>
        <v>N</v>
      </c>
    </row>
    <row r="2107" spans="1:5" x14ac:dyDescent="0.25">
      <c r="A2107">
        <v>8165423</v>
      </c>
      <c r="B2107">
        <v>27019405</v>
      </c>
      <c r="C2107" s="1">
        <v>42531</v>
      </c>
      <c r="D2107" t="s">
        <v>24</v>
      </c>
      <c r="E2107" t="str">
        <f>VLOOKUP(TRIM(D2107), Catalogo_gestiones!$A:$B, 2, FALSE)</f>
        <v>S</v>
      </c>
    </row>
    <row r="2108" spans="1:5" x14ac:dyDescent="0.25">
      <c r="A2108">
        <v>8165559</v>
      </c>
      <c r="B2108">
        <v>24129857</v>
      </c>
      <c r="C2108" s="1">
        <v>42531</v>
      </c>
      <c r="D2108" t="s">
        <v>25</v>
      </c>
      <c r="E2108" t="str">
        <f>VLOOKUP(TRIM(D2108), Catalogo_gestiones!$A:$B, 2, FALSE)</f>
        <v>N</v>
      </c>
    </row>
    <row r="2109" spans="1:5" x14ac:dyDescent="0.25">
      <c r="A2109">
        <v>8165867</v>
      </c>
      <c r="B2109">
        <v>28083468</v>
      </c>
      <c r="C2109" s="1">
        <v>42531</v>
      </c>
      <c r="D2109" t="s">
        <v>26</v>
      </c>
      <c r="E2109" t="str">
        <f>VLOOKUP(TRIM(D2109), Catalogo_gestiones!$A:$B, 2, FALSE)</f>
        <v>N</v>
      </c>
    </row>
    <row r="2110" spans="1:5" x14ac:dyDescent="0.25">
      <c r="A2110">
        <v>8165887</v>
      </c>
      <c r="B2110">
        <v>11364019</v>
      </c>
      <c r="C2110" s="1">
        <v>42531</v>
      </c>
      <c r="D2110" t="s">
        <v>27</v>
      </c>
      <c r="E2110" t="str">
        <f>VLOOKUP(TRIM(D2110), Catalogo_gestiones!$A:$B, 2, FALSE)</f>
        <v>S</v>
      </c>
    </row>
    <row r="2111" spans="1:5" x14ac:dyDescent="0.25">
      <c r="A2111">
        <v>8165887</v>
      </c>
      <c r="B2111">
        <v>26704806</v>
      </c>
      <c r="C2111" s="1">
        <v>42531</v>
      </c>
      <c r="D2111" t="s">
        <v>28</v>
      </c>
      <c r="E2111" t="str">
        <f>VLOOKUP(TRIM(D2111), Catalogo_gestiones!$A:$B, 2, FALSE)</f>
        <v>N</v>
      </c>
    </row>
    <row r="2112" spans="1:5" x14ac:dyDescent="0.25">
      <c r="A2112">
        <v>8165993</v>
      </c>
      <c r="B2112">
        <v>4366591</v>
      </c>
      <c r="C2112" s="1">
        <v>42534</v>
      </c>
      <c r="D2112" t="s">
        <v>24</v>
      </c>
      <c r="E2112" t="str">
        <f>VLOOKUP(TRIM(D2112), Catalogo_gestiones!$A:$B, 2, FALSE)</f>
        <v>S</v>
      </c>
    </row>
    <row r="2113" spans="1:5" x14ac:dyDescent="0.25">
      <c r="A2113">
        <v>8165993</v>
      </c>
      <c r="B2113">
        <v>26466300</v>
      </c>
      <c r="C2113" s="1">
        <v>42531</v>
      </c>
      <c r="D2113" t="s">
        <v>25</v>
      </c>
      <c r="E2113" t="str">
        <f>VLOOKUP(TRIM(D2113), Catalogo_gestiones!$A:$B, 2, FALSE)</f>
        <v>N</v>
      </c>
    </row>
    <row r="2114" spans="1:5" x14ac:dyDescent="0.25">
      <c r="A2114">
        <v>8165995</v>
      </c>
      <c r="B2114">
        <v>19787114</v>
      </c>
      <c r="C2114" s="1">
        <v>42531</v>
      </c>
      <c r="D2114" t="s">
        <v>26</v>
      </c>
      <c r="E2114" t="str">
        <f>VLOOKUP(TRIM(D2114), Catalogo_gestiones!$A:$B, 2, FALSE)</f>
        <v>N</v>
      </c>
    </row>
    <row r="2115" spans="1:5" x14ac:dyDescent="0.25">
      <c r="A2115">
        <v>8165995</v>
      </c>
      <c r="B2115">
        <v>28584115</v>
      </c>
      <c r="C2115" s="1">
        <v>42528</v>
      </c>
      <c r="D2115" t="s">
        <v>27</v>
      </c>
      <c r="E2115" t="str">
        <f>VLOOKUP(TRIM(D2115), Catalogo_gestiones!$A:$B, 2, FALSE)</f>
        <v>S</v>
      </c>
    </row>
    <row r="2116" spans="1:5" x14ac:dyDescent="0.25">
      <c r="A2116">
        <v>8166018</v>
      </c>
      <c r="B2116">
        <v>26407894</v>
      </c>
      <c r="C2116" s="1">
        <v>42531</v>
      </c>
      <c r="D2116" t="s">
        <v>28</v>
      </c>
      <c r="E2116" t="str">
        <f>VLOOKUP(TRIM(D2116), Catalogo_gestiones!$A:$B, 2, FALSE)</f>
        <v>N</v>
      </c>
    </row>
    <row r="2117" spans="1:5" x14ac:dyDescent="0.25">
      <c r="A2117">
        <v>8166066</v>
      </c>
      <c r="B2117">
        <v>25450737</v>
      </c>
      <c r="C2117" s="1">
        <v>42531</v>
      </c>
      <c r="D2117" t="s">
        <v>30</v>
      </c>
      <c r="E2117" t="str">
        <f>VLOOKUP(TRIM(D2117), Catalogo_gestiones!$A:$B, 2, FALSE)</f>
        <v>S</v>
      </c>
    </row>
    <row r="2118" spans="1:5" x14ac:dyDescent="0.25">
      <c r="A2118">
        <v>8166124</v>
      </c>
      <c r="B2118">
        <v>25535320</v>
      </c>
      <c r="C2118" s="1">
        <v>42531</v>
      </c>
      <c r="D2118" t="s">
        <v>24</v>
      </c>
      <c r="E2118" t="str">
        <f>VLOOKUP(TRIM(D2118), Catalogo_gestiones!$A:$B, 2, FALSE)</f>
        <v>S</v>
      </c>
    </row>
    <row r="2119" spans="1:5" x14ac:dyDescent="0.25">
      <c r="A2119">
        <v>8166124</v>
      </c>
      <c r="B2119">
        <v>27177694</v>
      </c>
      <c r="C2119" s="1">
        <v>42531</v>
      </c>
      <c r="D2119" t="s">
        <v>25</v>
      </c>
      <c r="E2119" t="str">
        <f>VLOOKUP(TRIM(D2119), Catalogo_gestiones!$A:$B, 2, FALSE)</f>
        <v>N</v>
      </c>
    </row>
    <row r="2120" spans="1:5" x14ac:dyDescent="0.25">
      <c r="A2120">
        <v>8166205</v>
      </c>
      <c r="B2120">
        <v>20943764</v>
      </c>
      <c r="C2120" s="1">
        <v>42531</v>
      </c>
      <c r="D2120" t="s">
        <v>26</v>
      </c>
      <c r="E2120" t="str">
        <f>VLOOKUP(TRIM(D2120), Catalogo_gestiones!$A:$B, 2, FALSE)</f>
        <v>N</v>
      </c>
    </row>
    <row r="2121" spans="1:5" x14ac:dyDescent="0.25">
      <c r="A2121">
        <v>8166205</v>
      </c>
      <c r="B2121">
        <v>20946217</v>
      </c>
      <c r="C2121" s="1">
        <v>42531</v>
      </c>
      <c r="D2121" t="s">
        <v>27</v>
      </c>
      <c r="E2121" t="str">
        <f>VLOOKUP(TRIM(D2121), Catalogo_gestiones!$A:$B, 2, FALSE)</f>
        <v>S</v>
      </c>
    </row>
    <row r="2122" spans="1:5" x14ac:dyDescent="0.25">
      <c r="A2122">
        <v>8166235</v>
      </c>
      <c r="B2122">
        <v>22194960</v>
      </c>
      <c r="C2122" s="1">
        <v>42531</v>
      </c>
      <c r="D2122" t="s">
        <v>28</v>
      </c>
      <c r="E2122" t="str">
        <f>VLOOKUP(TRIM(D2122), Catalogo_gestiones!$A:$B, 2, FALSE)</f>
        <v>N</v>
      </c>
    </row>
    <row r="2123" spans="1:5" x14ac:dyDescent="0.25">
      <c r="A2123">
        <v>8166235</v>
      </c>
      <c r="B2123">
        <v>23293642</v>
      </c>
      <c r="C2123" s="1">
        <v>42531</v>
      </c>
      <c r="D2123" t="s">
        <v>24</v>
      </c>
      <c r="E2123" t="str">
        <f>VLOOKUP(TRIM(D2123), Catalogo_gestiones!$A:$B, 2, FALSE)</f>
        <v>S</v>
      </c>
    </row>
    <row r="2124" spans="1:5" x14ac:dyDescent="0.25">
      <c r="A2124">
        <v>8166389</v>
      </c>
      <c r="B2124">
        <v>26935836</v>
      </c>
      <c r="C2124" s="1">
        <v>42531</v>
      </c>
      <c r="D2124" t="s">
        <v>25</v>
      </c>
      <c r="E2124" t="str">
        <f>VLOOKUP(TRIM(D2124), Catalogo_gestiones!$A:$B, 2, FALSE)</f>
        <v>N</v>
      </c>
    </row>
    <row r="2125" spans="1:5" x14ac:dyDescent="0.25">
      <c r="A2125">
        <v>8166412</v>
      </c>
      <c r="B2125">
        <v>28040121</v>
      </c>
      <c r="C2125" s="1">
        <v>42531</v>
      </c>
      <c r="D2125" t="s">
        <v>26</v>
      </c>
      <c r="E2125" t="str">
        <f>VLOOKUP(TRIM(D2125), Catalogo_gestiones!$A:$B, 2, FALSE)</f>
        <v>N</v>
      </c>
    </row>
    <row r="2126" spans="1:5" x14ac:dyDescent="0.25">
      <c r="A2126">
        <v>8166533</v>
      </c>
      <c r="B2126">
        <v>27048470</v>
      </c>
      <c r="C2126" s="1">
        <v>42531</v>
      </c>
      <c r="D2126" t="s">
        <v>27</v>
      </c>
      <c r="E2126" t="str">
        <f>VLOOKUP(TRIM(D2126), Catalogo_gestiones!$A:$B, 2, FALSE)</f>
        <v>S</v>
      </c>
    </row>
    <row r="2127" spans="1:5" x14ac:dyDescent="0.25">
      <c r="A2127">
        <v>8166876</v>
      </c>
      <c r="B2127">
        <v>25427986</v>
      </c>
      <c r="C2127" s="1">
        <v>42531</v>
      </c>
      <c r="D2127" t="s">
        <v>28</v>
      </c>
      <c r="E2127" t="str">
        <f>VLOOKUP(TRIM(D2127), Catalogo_gestiones!$A:$B, 2, FALSE)</f>
        <v>N</v>
      </c>
    </row>
    <row r="2128" spans="1:5" x14ac:dyDescent="0.25">
      <c r="A2128">
        <v>8166876</v>
      </c>
      <c r="B2128">
        <v>25433531</v>
      </c>
      <c r="C2128" s="1">
        <v>42531</v>
      </c>
      <c r="D2128" t="s">
        <v>24</v>
      </c>
      <c r="E2128" t="str">
        <f>VLOOKUP(TRIM(D2128), Catalogo_gestiones!$A:$B, 2, FALSE)</f>
        <v>S</v>
      </c>
    </row>
    <row r="2129" spans="1:5" x14ac:dyDescent="0.25">
      <c r="A2129">
        <v>8166895</v>
      </c>
      <c r="B2129">
        <v>17937860</v>
      </c>
      <c r="C2129" s="1">
        <v>42531</v>
      </c>
      <c r="D2129" t="s">
        <v>25</v>
      </c>
      <c r="E2129" t="str">
        <f>VLOOKUP(TRIM(D2129), Catalogo_gestiones!$A:$B, 2, FALSE)</f>
        <v>N</v>
      </c>
    </row>
    <row r="2130" spans="1:5" x14ac:dyDescent="0.25">
      <c r="A2130">
        <v>8167005</v>
      </c>
      <c r="B2130">
        <v>25382403</v>
      </c>
      <c r="C2130" s="1">
        <v>42531</v>
      </c>
      <c r="D2130" t="s">
        <v>26</v>
      </c>
      <c r="E2130" t="str">
        <f>VLOOKUP(TRIM(D2130), Catalogo_gestiones!$A:$B, 2, FALSE)</f>
        <v>N</v>
      </c>
    </row>
    <row r="2131" spans="1:5" x14ac:dyDescent="0.25">
      <c r="A2131">
        <v>8167005</v>
      </c>
      <c r="B2131">
        <v>27609725</v>
      </c>
      <c r="C2131" s="1">
        <v>42531</v>
      </c>
      <c r="D2131" t="s">
        <v>27</v>
      </c>
      <c r="E2131" t="str">
        <f>VLOOKUP(TRIM(D2131), Catalogo_gestiones!$A:$B, 2, FALSE)</f>
        <v>S</v>
      </c>
    </row>
    <row r="2132" spans="1:5" x14ac:dyDescent="0.25">
      <c r="A2132">
        <v>8167406</v>
      </c>
      <c r="B2132">
        <v>18535343</v>
      </c>
      <c r="C2132" s="1">
        <v>42531</v>
      </c>
      <c r="D2132" t="s">
        <v>28</v>
      </c>
      <c r="E2132" t="str">
        <f>VLOOKUP(TRIM(D2132), Catalogo_gestiones!$A:$B, 2, FALSE)</f>
        <v>N</v>
      </c>
    </row>
    <row r="2133" spans="1:5" x14ac:dyDescent="0.25">
      <c r="A2133">
        <v>8167480</v>
      </c>
      <c r="B2133">
        <v>24965165</v>
      </c>
      <c r="C2133" s="1">
        <v>42531</v>
      </c>
      <c r="D2133" t="s">
        <v>30</v>
      </c>
      <c r="E2133" t="str">
        <f>VLOOKUP(TRIM(D2133), Catalogo_gestiones!$A:$B, 2, FALSE)</f>
        <v>S</v>
      </c>
    </row>
    <row r="2134" spans="1:5" x14ac:dyDescent="0.25">
      <c r="A2134">
        <v>8167480</v>
      </c>
      <c r="B2134">
        <v>24967274</v>
      </c>
      <c r="C2134" s="1">
        <v>42531</v>
      </c>
      <c r="D2134" t="s">
        <v>24</v>
      </c>
      <c r="E2134" t="str">
        <f>VLOOKUP(TRIM(D2134), Catalogo_gestiones!$A:$B, 2, FALSE)</f>
        <v>S</v>
      </c>
    </row>
    <row r="2135" spans="1:5" x14ac:dyDescent="0.25">
      <c r="A2135">
        <v>8167480</v>
      </c>
      <c r="B2135">
        <v>25550360</v>
      </c>
      <c r="C2135" s="1">
        <v>42531</v>
      </c>
      <c r="D2135" t="s">
        <v>25</v>
      </c>
      <c r="E2135" t="str">
        <f>VLOOKUP(TRIM(D2135), Catalogo_gestiones!$A:$B, 2, FALSE)</f>
        <v>N</v>
      </c>
    </row>
    <row r="2136" spans="1:5" x14ac:dyDescent="0.25">
      <c r="A2136">
        <v>8167498</v>
      </c>
      <c r="B2136">
        <v>14496476</v>
      </c>
      <c r="C2136" s="1">
        <v>42531</v>
      </c>
      <c r="D2136" t="s">
        <v>26</v>
      </c>
      <c r="E2136" t="str">
        <f>VLOOKUP(TRIM(D2136), Catalogo_gestiones!$A:$B, 2, FALSE)</f>
        <v>N</v>
      </c>
    </row>
    <row r="2137" spans="1:5" x14ac:dyDescent="0.25">
      <c r="A2137">
        <v>8167510</v>
      </c>
      <c r="B2137">
        <v>24373132</v>
      </c>
      <c r="C2137" s="1">
        <v>42531</v>
      </c>
      <c r="D2137" t="s">
        <v>27</v>
      </c>
      <c r="E2137" t="str">
        <f>VLOOKUP(TRIM(D2137), Catalogo_gestiones!$A:$B, 2, FALSE)</f>
        <v>S</v>
      </c>
    </row>
    <row r="2138" spans="1:5" x14ac:dyDescent="0.25">
      <c r="A2138">
        <v>8167543</v>
      </c>
      <c r="B2138">
        <v>14590137</v>
      </c>
      <c r="C2138" s="1">
        <v>42531</v>
      </c>
      <c r="D2138" t="s">
        <v>28</v>
      </c>
      <c r="E2138" t="str">
        <f>VLOOKUP(TRIM(D2138), Catalogo_gestiones!$A:$B, 2, FALSE)</f>
        <v>N</v>
      </c>
    </row>
    <row r="2139" spans="1:5" x14ac:dyDescent="0.25">
      <c r="A2139">
        <v>8167778</v>
      </c>
      <c r="B2139">
        <v>27145364</v>
      </c>
      <c r="C2139" s="1">
        <v>42531</v>
      </c>
      <c r="D2139" t="s">
        <v>24</v>
      </c>
      <c r="E2139" t="str">
        <f>VLOOKUP(TRIM(D2139), Catalogo_gestiones!$A:$B, 2, FALSE)</f>
        <v>S</v>
      </c>
    </row>
    <row r="2140" spans="1:5" x14ac:dyDescent="0.25">
      <c r="A2140">
        <v>8167784</v>
      </c>
      <c r="B2140">
        <v>21647828</v>
      </c>
      <c r="C2140" s="1">
        <v>42531</v>
      </c>
      <c r="D2140" t="s">
        <v>25</v>
      </c>
      <c r="E2140" t="str">
        <f>VLOOKUP(TRIM(D2140), Catalogo_gestiones!$A:$B, 2, FALSE)</f>
        <v>N</v>
      </c>
    </row>
    <row r="2141" spans="1:5" x14ac:dyDescent="0.25">
      <c r="A2141">
        <v>8167985</v>
      </c>
      <c r="B2141">
        <v>21128781</v>
      </c>
      <c r="C2141" s="1">
        <v>42531</v>
      </c>
      <c r="D2141" t="s">
        <v>26</v>
      </c>
      <c r="E2141" t="str">
        <f>VLOOKUP(TRIM(D2141), Catalogo_gestiones!$A:$B, 2, FALSE)</f>
        <v>N</v>
      </c>
    </row>
    <row r="2142" spans="1:5" x14ac:dyDescent="0.25">
      <c r="A2142">
        <v>8168164</v>
      </c>
      <c r="B2142">
        <v>27255677</v>
      </c>
      <c r="C2142" s="1">
        <v>42531</v>
      </c>
      <c r="D2142" t="s">
        <v>27</v>
      </c>
      <c r="E2142" t="str">
        <f>VLOOKUP(TRIM(D2142), Catalogo_gestiones!$A:$B, 2, FALSE)</f>
        <v>S</v>
      </c>
    </row>
    <row r="2143" spans="1:5" x14ac:dyDescent="0.25">
      <c r="A2143">
        <v>8168198</v>
      </c>
      <c r="B2143">
        <v>23820381</v>
      </c>
      <c r="C2143" s="1">
        <v>42531</v>
      </c>
      <c r="D2143" t="s">
        <v>28</v>
      </c>
      <c r="E2143" t="str">
        <f>VLOOKUP(TRIM(D2143), Catalogo_gestiones!$A:$B, 2, FALSE)</f>
        <v>N</v>
      </c>
    </row>
    <row r="2144" spans="1:5" x14ac:dyDescent="0.25">
      <c r="A2144">
        <v>8168200</v>
      </c>
      <c r="B2144">
        <v>24390372</v>
      </c>
      <c r="C2144" s="1">
        <v>42527</v>
      </c>
      <c r="D2144" t="s">
        <v>24</v>
      </c>
      <c r="E2144" t="str">
        <f>VLOOKUP(TRIM(D2144), Catalogo_gestiones!$A:$B, 2, FALSE)</f>
        <v>S</v>
      </c>
    </row>
    <row r="2145" spans="1:5" x14ac:dyDescent="0.25">
      <c r="A2145">
        <v>8168429</v>
      </c>
      <c r="B2145">
        <v>28586542</v>
      </c>
      <c r="C2145" s="1">
        <v>42529</v>
      </c>
      <c r="D2145" t="s">
        <v>25</v>
      </c>
      <c r="E2145" t="str">
        <f>VLOOKUP(TRIM(D2145), Catalogo_gestiones!$A:$B, 2, FALSE)</f>
        <v>N</v>
      </c>
    </row>
    <row r="2146" spans="1:5" x14ac:dyDescent="0.25">
      <c r="A2146">
        <v>8168460</v>
      </c>
      <c r="B2146">
        <v>2891486</v>
      </c>
      <c r="C2146" s="1">
        <v>42531</v>
      </c>
      <c r="D2146" t="s">
        <v>26</v>
      </c>
      <c r="E2146" t="str">
        <f>VLOOKUP(TRIM(D2146), Catalogo_gestiones!$A:$B, 2, FALSE)</f>
        <v>N</v>
      </c>
    </row>
    <row r="2147" spans="1:5" x14ac:dyDescent="0.25">
      <c r="A2147">
        <v>8168855</v>
      </c>
      <c r="B2147">
        <v>19612833</v>
      </c>
      <c r="C2147" s="1">
        <v>42531</v>
      </c>
      <c r="D2147" t="s">
        <v>27</v>
      </c>
      <c r="E2147" t="str">
        <f>VLOOKUP(TRIM(D2147), Catalogo_gestiones!$A:$B, 2, FALSE)</f>
        <v>S</v>
      </c>
    </row>
    <row r="2148" spans="1:5" x14ac:dyDescent="0.25">
      <c r="A2148">
        <v>8168905</v>
      </c>
      <c r="B2148">
        <v>27915388</v>
      </c>
      <c r="C2148" s="1">
        <v>42531</v>
      </c>
      <c r="D2148" t="s">
        <v>28</v>
      </c>
      <c r="E2148" t="str">
        <f>VLOOKUP(TRIM(D2148), Catalogo_gestiones!$A:$B, 2, FALSE)</f>
        <v>N</v>
      </c>
    </row>
    <row r="2149" spans="1:5" x14ac:dyDescent="0.25">
      <c r="A2149">
        <v>8168937</v>
      </c>
      <c r="B2149">
        <v>21552660</v>
      </c>
      <c r="C2149" s="1">
        <v>42531</v>
      </c>
      <c r="D2149" t="s">
        <v>30</v>
      </c>
      <c r="E2149" t="str">
        <f>VLOOKUP(TRIM(D2149), Catalogo_gestiones!$A:$B, 2, FALSE)</f>
        <v>S</v>
      </c>
    </row>
    <row r="2150" spans="1:5" x14ac:dyDescent="0.25">
      <c r="A2150">
        <v>8169074</v>
      </c>
      <c r="B2150">
        <v>25017414</v>
      </c>
      <c r="C2150" s="1">
        <v>42531</v>
      </c>
      <c r="D2150" t="s">
        <v>24</v>
      </c>
      <c r="E2150" t="str">
        <f>VLOOKUP(TRIM(D2150), Catalogo_gestiones!$A:$B, 2, FALSE)</f>
        <v>S</v>
      </c>
    </row>
    <row r="2151" spans="1:5" x14ac:dyDescent="0.25">
      <c r="A2151">
        <v>8169074</v>
      </c>
      <c r="B2151">
        <v>25018031</v>
      </c>
      <c r="C2151" s="1">
        <v>42531</v>
      </c>
      <c r="D2151" t="s">
        <v>25</v>
      </c>
      <c r="E2151" t="str">
        <f>VLOOKUP(TRIM(D2151), Catalogo_gestiones!$A:$B, 2, FALSE)</f>
        <v>N</v>
      </c>
    </row>
    <row r="2152" spans="1:5" x14ac:dyDescent="0.25">
      <c r="A2152">
        <v>8169102</v>
      </c>
      <c r="B2152">
        <v>25450537</v>
      </c>
      <c r="C2152" s="1">
        <v>42531</v>
      </c>
      <c r="D2152" t="s">
        <v>26</v>
      </c>
      <c r="E2152" t="str">
        <f>VLOOKUP(TRIM(D2152), Catalogo_gestiones!$A:$B, 2, FALSE)</f>
        <v>N</v>
      </c>
    </row>
    <row r="2153" spans="1:5" x14ac:dyDescent="0.25">
      <c r="A2153">
        <v>8169114</v>
      </c>
      <c r="B2153">
        <v>28219094</v>
      </c>
      <c r="C2153" s="1">
        <v>42531</v>
      </c>
      <c r="D2153" t="s">
        <v>27</v>
      </c>
      <c r="E2153" t="str">
        <f>VLOOKUP(TRIM(D2153), Catalogo_gestiones!$A:$B, 2, FALSE)</f>
        <v>S</v>
      </c>
    </row>
    <row r="2154" spans="1:5" x14ac:dyDescent="0.25">
      <c r="A2154">
        <v>8169123</v>
      </c>
      <c r="B2154">
        <v>23737110</v>
      </c>
      <c r="C2154" s="1">
        <v>42531</v>
      </c>
      <c r="D2154" t="s">
        <v>28</v>
      </c>
      <c r="E2154" t="str">
        <f>VLOOKUP(TRIM(D2154), Catalogo_gestiones!$A:$B, 2, FALSE)</f>
        <v>N</v>
      </c>
    </row>
    <row r="2155" spans="1:5" x14ac:dyDescent="0.25">
      <c r="A2155">
        <v>8169305</v>
      </c>
      <c r="B2155">
        <v>23981315</v>
      </c>
      <c r="C2155" s="1">
        <v>42531</v>
      </c>
      <c r="D2155" t="s">
        <v>24</v>
      </c>
      <c r="E2155" t="str">
        <f>VLOOKUP(TRIM(D2155), Catalogo_gestiones!$A:$B, 2, FALSE)</f>
        <v>S</v>
      </c>
    </row>
    <row r="2156" spans="1:5" x14ac:dyDescent="0.25">
      <c r="A2156">
        <v>8169312</v>
      </c>
      <c r="B2156">
        <v>27097133</v>
      </c>
      <c r="C2156" s="1">
        <v>42531</v>
      </c>
      <c r="D2156" t="s">
        <v>25</v>
      </c>
      <c r="E2156" t="str">
        <f>VLOOKUP(TRIM(D2156), Catalogo_gestiones!$A:$B, 2, FALSE)</f>
        <v>N</v>
      </c>
    </row>
    <row r="2157" spans="1:5" x14ac:dyDescent="0.25">
      <c r="A2157">
        <v>8169455</v>
      </c>
      <c r="B2157">
        <v>17140148</v>
      </c>
      <c r="C2157" s="1">
        <v>42538</v>
      </c>
      <c r="D2157" t="s">
        <v>26</v>
      </c>
      <c r="E2157" t="str">
        <f>VLOOKUP(TRIM(D2157), Catalogo_gestiones!$A:$B, 2, FALSE)</f>
        <v>N</v>
      </c>
    </row>
    <row r="2158" spans="1:5" x14ac:dyDescent="0.25">
      <c r="A2158">
        <v>8169800</v>
      </c>
      <c r="B2158">
        <v>27338499</v>
      </c>
      <c r="C2158" s="1">
        <v>42538</v>
      </c>
      <c r="D2158" t="s">
        <v>27</v>
      </c>
      <c r="E2158" t="str">
        <f>VLOOKUP(TRIM(D2158), Catalogo_gestiones!$A:$B, 2, FALSE)</f>
        <v>S</v>
      </c>
    </row>
    <row r="2159" spans="1:5" x14ac:dyDescent="0.25">
      <c r="A2159">
        <v>8169896</v>
      </c>
      <c r="B2159">
        <v>23435595</v>
      </c>
      <c r="C2159" s="1">
        <v>42538</v>
      </c>
      <c r="D2159" t="s">
        <v>28</v>
      </c>
      <c r="E2159" t="str">
        <f>VLOOKUP(TRIM(D2159), Catalogo_gestiones!$A:$B, 2, FALSE)</f>
        <v>N</v>
      </c>
    </row>
    <row r="2160" spans="1:5" x14ac:dyDescent="0.25">
      <c r="A2160">
        <v>8169896</v>
      </c>
      <c r="B2160">
        <v>23435865</v>
      </c>
      <c r="C2160" s="1">
        <v>42538</v>
      </c>
      <c r="D2160" t="s">
        <v>24</v>
      </c>
      <c r="E2160" t="str">
        <f>VLOOKUP(TRIM(D2160), Catalogo_gestiones!$A:$B, 2, FALSE)</f>
        <v>S</v>
      </c>
    </row>
    <row r="2161" spans="1:5" x14ac:dyDescent="0.25">
      <c r="A2161">
        <v>8169918</v>
      </c>
      <c r="B2161">
        <v>25753095</v>
      </c>
      <c r="C2161" s="1">
        <v>42538</v>
      </c>
      <c r="D2161" t="s">
        <v>25</v>
      </c>
      <c r="E2161" t="str">
        <f>VLOOKUP(TRIM(D2161), Catalogo_gestiones!$A:$B, 2, FALSE)</f>
        <v>N</v>
      </c>
    </row>
    <row r="2162" spans="1:5" x14ac:dyDescent="0.25">
      <c r="A2162">
        <v>8169981</v>
      </c>
      <c r="B2162">
        <v>27032129</v>
      </c>
      <c r="C2162" s="1">
        <v>42538</v>
      </c>
      <c r="D2162" t="s">
        <v>26</v>
      </c>
      <c r="E2162" t="str">
        <f>VLOOKUP(TRIM(D2162), Catalogo_gestiones!$A:$B, 2, FALSE)</f>
        <v>N</v>
      </c>
    </row>
    <row r="2163" spans="1:5" x14ac:dyDescent="0.25">
      <c r="A2163">
        <v>8169981</v>
      </c>
      <c r="B2163">
        <v>27033156</v>
      </c>
      <c r="C2163" s="1">
        <v>42538</v>
      </c>
      <c r="D2163" t="s">
        <v>27</v>
      </c>
      <c r="E2163" t="str">
        <f>VLOOKUP(TRIM(D2163), Catalogo_gestiones!$A:$B, 2, FALSE)</f>
        <v>S</v>
      </c>
    </row>
    <row r="2164" spans="1:5" x14ac:dyDescent="0.25">
      <c r="A2164">
        <v>8170036</v>
      </c>
      <c r="B2164">
        <v>21447860</v>
      </c>
      <c r="C2164" s="1">
        <v>42538</v>
      </c>
      <c r="D2164" t="s">
        <v>28</v>
      </c>
      <c r="E2164" t="str">
        <f>VLOOKUP(TRIM(D2164), Catalogo_gestiones!$A:$B, 2, FALSE)</f>
        <v>N</v>
      </c>
    </row>
    <row r="2165" spans="1:5" x14ac:dyDescent="0.25">
      <c r="A2165">
        <v>8170123</v>
      </c>
      <c r="B2165">
        <v>25601009</v>
      </c>
      <c r="C2165" s="1">
        <v>42538</v>
      </c>
      <c r="D2165" t="s">
        <v>30</v>
      </c>
      <c r="E2165" t="str">
        <f>VLOOKUP(TRIM(D2165), Catalogo_gestiones!$A:$B, 2, FALSE)</f>
        <v>S</v>
      </c>
    </row>
    <row r="2166" spans="1:5" x14ac:dyDescent="0.25">
      <c r="A2166">
        <v>8170382</v>
      </c>
      <c r="B2166">
        <v>26499265</v>
      </c>
      <c r="C2166" s="1">
        <v>42534</v>
      </c>
      <c r="D2166" t="s">
        <v>24</v>
      </c>
      <c r="E2166" t="str">
        <f>VLOOKUP(TRIM(D2166), Catalogo_gestiones!$A:$B, 2, FALSE)</f>
        <v>S</v>
      </c>
    </row>
    <row r="2167" spans="1:5" x14ac:dyDescent="0.25">
      <c r="A2167">
        <v>8170382</v>
      </c>
      <c r="B2167">
        <v>28063744</v>
      </c>
      <c r="C2167" s="1">
        <v>42538</v>
      </c>
      <c r="D2167" t="s">
        <v>25</v>
      </c>
      <c r="E2167" t="str">
        <f>VLOOKUP(TRIM(D2167), Catalogo_gestiones!$A:$B, 2, FALSE)</f>
        <v>N</v>
      </c>
    </row>
    <row r="2168" spans="1:5" x14ac:dyDescent="0.25">
      <c r="A2168">
        <v>8170382</v>
      </c>
      <c r="B2168">
        <v>28065349</v>
      </c>
      <c r="C2168" s="1">
        <v>42538</v>
      </c>
      <c r="D2168" t="s">
        <v>26</v>
      </c>
      <c r="E2168" t="str">
        <f>VLOOKUP(TRIM(D2168), Catalogo_gestiones!$A:$B, 2, FALSE)</f>
        <v>N</v>
      </c>
    </row>
    <row r="2169" spans="1:5" x14ac:dyDescent="0.25">
      <c r="A2169">
        <v>8170439</v>
      </c>
      <c r="B2169">
        <v>27843990</v>
      </c>
      <c r="C2169" s="1">
        <v>42538</v>
      </c>
      <c r="D2169" t="s">
        <v>27</v>
      </c>
      <c r="E2169" t="str">
        <f>VLOOKUP(TRIM(D2169), Catalogo_gestiones!$A:$B, 2, FALSE)</f>
        <v>S</v>
      </c>
    </row>
    <row r="2170" spans="1:5" x14ac:dyDescent="0.25">
      <c r="A2170">
        <v>8170763</v>
      </c>
      <c r="B2170">
        <v>26772925</v>
      </c>
      <c r="C2170" s="1">
        <v>42533</v>
      </c>
      <c r="D2170" t="s">
        <v>28</v>
      </c>
      <c r="E2170" t="str">
        <f>VLOOKUP(TRIM(D2170), Catalogo_gestiones!$A:$B, 2, FALSE)</f>
        <v>N</v>
      </c>
    </row>
    <row r="2171" spans="1:5" x14ac:dyDescent="0.25">
      <c r="A2171">
        <v>8170763</v>
      </c>
      <c r="B2171">
        <v>27233973</v>
      </c>
      <c r="C2171" s="1">
        <v>42538</v>
      </c>
      <c r="D2171" t="s">
        <v>24</v>
      </c>
      <c r="E2171" t="str">
        <f>VLOOKUP(TRIM(D2171), Catalogo_gestiones!$A:$B, 2, FALSE)</f>
        <v>S</v>
      </c>
    </row>
    <row r="2172" spans="1:5" x14ac:dyDescent="0.25">
      <c r="A2172">
        <v>8170768</v>
      </c>
      <c r="B2172">
        <v>25300694</v>
      </c>
      <c r="C2172" s="1">
        <v>42538</v>
      </c>
      <c r="D2172" t="s">
        <v>25</v>
      </c>
      <c r="E2172" t="str">
        <f>VLOOKUP(TRIM(D2172), Catalogo_gestiones!$A:$B, 2, FALSE)</f>
        <v>N</v>
      </c>
    </row>
    <row r="2173" spans="1:5" x14ac:dyDescent="0.25">
      <c r="A2173">
        <v>8170777</v>
      </c>
      <c r="B2173">
        <v>26247384</v>
      </c>
      <c r="C2173" s="1">
        <v>42538</v>
      </c>
      <c r="D2173" t="s">
        <v>26</v>
      </c>
      <c r="E2173" t="str">
        <f>VLOOKUP(TRIM(D2173), Catalogo_gestiones!$A:$B, 2, FALSE)</f>
        <v>N</v>
      </c>
    </row>
    <row r="2174" spans="1:5" x14ac:dyDescent="0.25">
      <c r="A2174">
        <v>8170777</v>
      </c>
      <c r="B2174">
        <v>27130922</v>
      </c>
      <c r="C2174" s="1">
        <v>42538</v>
      </c>
      <c r="D2174" t="s">
        <v>27</v>
      </c>
      <c r="E2174" t="str">
        <f>VLOOKUP(TRIM(D2174), Catalogo_gestiones!$A:$B, 2, FALSE)</f>
        <v>S</v>
      </c>
    </row>
    <row r="2175" spans="1:5" x14ac:dyDescent="0.25">
      <c r="A2175">
        <v>8170803</v>
      </c>
      <c r="B2175">
        <v>25962079</v>
      </c>
      <c r="C2175" s="1">
        <v>42538</v>
      </c>
      <c r="D2175" t="s">
        <v>28</v>
      </c>
      <c r="E2175" t="str">
        <f>VLOOKUP(TRIM(D2175), Catalogo_gestiones!$A:$B, 2, FALSE)</f>
        <v>N</v>
      </c>
    </row>
    <row r="2176" spans="1:5" x14ac:dyDescent="0.25">
      <c r="A2176">
        <v>8170829</v>
      </c>
      <c r="B2176">
        <v>27287702</v>
      </c>
      <c r="C2176" s="1">
        <v>42538</v>
      </c>
      <c r="D2176" t="s">
        <v>24</v>
      </c>
      <c r="E2176" t="str">
        <f>VLOOKUP(TRIM(D2176), Catalogo_gestiones!$A:$B, 2, FALSE)</f>
        <v>S</v>
      </c>
    </row>
    <row r="2177" spans="1:5" x14ac:dyDescent="0.25">
      <c r="A2177">
        <v>8170829</v>
      </c>
      <c r="B2177">
        <v>27289838</v>
      </c>
      <c r="C2177" s="1">
        <v>42538</v>
      </c>
      <c r="D2177" t="s">
        <v>25</v>
      </c>
      <c r="E2177" t="str">
        <f>VLOOKUP(TRIM(D2177), Catalogo_gestiones!$A:$B, 2, FALSE)</f>
        <v>N</v>
      </c>
    </row>
    <row r="2178" spans="1:5" x14ac:dyDescent="0.25">
      <c r="A2178">
        <v>8170851</v>
      </c>
      <c r="B2178">
        <v>27057377</v>
      </c>
      <c r="C2178" s="1">
        <v>42538</v>
      </c>
      <c r="D2178" t="s">
        <v>26</v>
      </c>
      <c r="E2178" t="str">
        <f>VLOOKUP(TRIM(D2178), Catalogo_gestiones!$A:$B, 2, FALSE)</f>
        <v>N</v>
      </c>
    </row>
    <row r="2179" spans="1:5" x14ac:dyDescent="0.25">
      <c r="A2179">
        <v>8170902</v>
      </c>
      <c r="B2179">
        <v>4617082</v>
      </c>
      <c r="C2179" s="1">
        <v>42538</v>
      </c>
      <c r="D2179" t="s">
        <v>27</v>
      </c>
      <c r="E2179" t="str">
        <f>VLOOKUP(TRIM(D2179), Catalogo_gestiones!$A:$B, 2, FALSE)</f>
        <v>S</v>
      </c>
    </row>
    <row r="2180" spans="1:5" x14ac:dyDescent="0.25">
      <c r="A2180">
        <v>8170902</v>
      </c>
      <c r="B2180">
        <v>11334214</v>
      </c>
      <c r="C2180" s="1">
        <v>42538</v>
      </c>
      <c r="D2180" t="s">
        <v>28</v>
      </c>
      <c r="E2180" t="str">
        <f>VLOOKUP(TRIM(D2180), Catalogo_gestiones!$A:$B, 2, FALSE)</f>
        <v>N</v>
      </c>
    </row>
    <row r="2181" spans="1:5" x14ac:dyDescent="0.25">
      <c r="A2181">
        <v>8171445</v>
      </c>
      <c r="B2181">
        <v>23926424</v>
      </c>
      <c r="C2181" s="1">
        <v>42538</v>
      </c>
      <c r="D2181" t="s">
        <v>30</v>
      </c>
      <c r="E2181" t="str">
        <f>VLOOKUP(TRIM(D2181), Catalogo_gestiones!$A:$B, 2, FALSE)</f>
        <v>S</v>
      </c>
    </row>
    <row r="2182" spans="1:5" x14ac:dyDescent="0.25">
      <c r="A2182">
        <v>8171508</v>
      </c>
      <c r="B2182">
        <v>27924163</v>
      </c>
      <c r="C2182" s="1">
        <v>42538</v>
      </c>
      <c r="D2182" t="s">
        <v>24</v>
      </c>
      <c r="E2182" t="str">
        <f>VLOOKUP(TRIM(D2182), Catalogo_gestiones!$A:$B, 2, FALSE)</f>
        <v>S</v>
      </c>
    </row>
    <row r="2183" spans="1:5" x14ac:dyDescent="0.25">
      <c r="A2183">
        <v>8171519</v>
      </c>
      <c r="B2183">
        <v>24829797</v>
      </c>
      <c r="C2183" s="1">
        <v>42538</v>
      </c>
      <c r="D2183" t="s">
        <v>25</v>
      </c>
      <c r="E2183" t="str">
        <f>VLOOKUP(TRIM(D2183), Catalogo_gestiones!$A:$B, 2, FALSE)</f>
        <v>N</v>
      </c>
    </row>
    <row r="2184" spans="1:5" x14ac:dyDescent="0.25">
      <c r="A2184">
        <v>8171519</v>
      </c>
      <c r="B2184">
        <v>25310605</v>
      </c>
      <c r="C2184" s="1">
        <v>42538</v>
      </c>
      <c r="D2184" t="s">
        <v>26</v>
      </c>
      <c r="E2184" t="str">
        <f>VLOOKUP(TRIM(D2184), Catalogo_gestiones!$A:$B, 2, FALSE)</f>
        <v>N</v>
      </c>
    </row>
    <row r="2185" spans="1:5" x14ac:dyDescent="0.25">
      <c r="A2185">
        <v>8171572</v>
      </c>
      <c r="B2185">
        <v>26893789</v>
      </c>
      <c r="C2185" s="1">
        <v>42534</v>
      </c>
      <c r="D2185" t="s">
        <v>27</v>
      </c>
      <c r="E2185" t="str">
        <f>VLOOKUP(TRIM(D2185), Catalogo_gestiones!$A:$B, 2, FALSE)</f>
        <v>S</v>
      </c>
    </row>
    <row r="2186" spans="1:5" x14ac:dyDescent="0.25">
      <c r="A2186">
        <v>8171572</v>
      </c>
      <c r="B2186">
        <v>27857046</v>
      </c>
      <c r="C2186" s="1">
        <v>42534</v>
      </c>
      <c r="D2186" t="s">
        <v>28</v>
      </c>
      <c r="E2186" t="str">
        <f>VLOOKUP(TRIM(D2186), Catalogo_gestiones!$A:$B, 2, FALSE)</f>
        <v>N</v>
      </c>
    </row>
    <row r="2187" spans="1:5" x14ac:dyDescent="0.25">
      <c r="A2187">
        <v>8171572</v>
      </c>
      <c r="B2187">
        <v>27858009</v>
      </c>
      <c r="C2187" s="1">
        <v>42534</v>
      </c>
      <c r="D2187" t="s">
        <v>24</v>
      </c>
      <c r="E2187" t="str">
        <f>VLOOKUP(TRIM(D2187), Catalogo_gestiones!$A:$B, 2, FALSE)</f>
        <v>S</v>
      </c>
    </row>
    <row r="2188" spans="1:5" x14ac:dyDescent="0.25">
      <c r="A2188">
        <v>8171608</v>
      </c>
      <c r="B2188">
        <v>27717868</v>
      </c>
      <c r="C2188" s="1">
        <v>42538</v>
      </c>
      <c r="D2188" t="s">
        <v>25</v>
      </c>
      <c r="E2188" t="str">
        <f>VLOOKUP(TRIM(D2188), Catalogo_gestiones!$A:$B, 2, FALSE)</f>
        <v>N</v>
      </c>
    </row>
    <row r="2189" spans="1:5" x14ac:dyDescent="0.25">
      <c r="A2189">
        <v>8171628</v>
      </c>
      <c r="B2189">
        <v>25979102</v>
      </c>
      <c r="C2189" s="1">
        <v>42538</v>
      </c>
      <c r="D2189" t="s">
        <v>26</v>
      </c>
      <c r="E2189" t="str">
        <f>VLOOKUP(TRIM(D2189), Catalogo_gestiones!$A:$B, 2, FALSE)</f>
        <v>N</v>
      </c>
    </row>
    <row r="2190" spans="1:5" x14ac:dyDescent="0.25">
      <c r="A2190">
        <v>8171685</v>
      </c>
      <c r="B2190">
        <v>27541896</v>
      </c>
      <c r="C2190" s="1">
        <v>42538</v>
      </c>
      <c r="D2190" t="s">
        <v>27</v>
      </c>
      <c r="E2190" t="str">
        <f>VLOOKUP(TRIM(D2190), Catalogo_gestiones!$A:$B, 2, FALSE)</f>
        <v>S</v>
      </c>
    </row>
    <row r="2191" spans="1:5" x14ac:dyDescent="0.25">
      <c r="A2191">
        <v>8171798</v>
      </c>
      <c r="B2191">
        <v>24099866</v>
      </c>
      <c r="C2191" s="1">
        <v>42538</v>
      </c>
      <c r="D2191" t="s">
        <v>28</v>
      </c>
      <c r="E2191" t="str">
        <f>VLOOKUP(TRIM(D2191), Catalogo_gestiones!$A:$B, 2, FALSE)</f>
        <v>N</v>
      </c>
    </row>
    <row r="2192" spans="1:5" x14ac:dyDescent="0.25">
      <c r="A2192">
        <v>8171800</v>
      </c>
      <c r="B2192">
        <v>26378227</v>
      </c>
      <c r="C2192" s="1">
        <v>42538</v>
      </c>
      <c r="D2192" t="s">
        <v>24</v>
      </c>
      <c r="E2192" t="str">
        <f>VLOOKUP(TRIM(D2192), Catalogo_gestiones!$A:$B, 2, FALSE)</f>
        <v>S</v>
      </c>
    </row>
    <row r="2193" spans="1:5" x14ac:dyDescent="0.25">
      <c r="A2193">
        <v>8171807</v>
      </c>
      <c r="B2193">
        <v>14659275</v>
      </c>
      <c r="C2193" s="1">
        <v>42538</v>
      </c>
      <c r="D2193" t="s">
        <v>25</v>
      </c>
      <c r="E2193" t="str">
        <f>VLOOKUP(TRIM(D2193), Catalogo_gestiones!$A:$B, 2, FALSE)</f>
        <v>N</v>
      </c>
    </row>
    <row r="2194" spans="1:5" x14ac:dyDescent="0.25">
      <c r="A2194">
        <v>8171812</v>
      </c>
      <c r="B2194">
        <v>10480436</v>
      </c>
      <c r="C2194" s="1">
        <v>42538</v>
      </c>
      <c r="D2194" t="s">
        <v>26</v>
      </c>
      <c r="E2194" t="str">
        <f>VLOOKUP(TRIM(D2194), Catalogo_gestiones!$A:$B, 2, FALSE)</f>
        <v>N</v>
      </c>
    </row>
    <row r="2195" spans="1:5" x14ac:dyDescent="0.25">
      <c r="A2195">
        <v>8171817</v>
      </c>
      <c r="B2195">
        <v>21620879</v>
      </c>
      <c r="C2195" s="1">
        <v>42538</v>
      </c>
      <c r="D2195" t="s">
        <v>27</v>
      </c>
      <c r="E2195" t="str">
        <f>VLOOKUP(TRIM(D2195), Catalogo_gestiones!$A:$B, 2, FALSE)</f>
        <v>S</v>
      </c>
    </row>
    <row r="2196" spans="1:5" x14ac:dyDescent="0.25">
      <c r="A2196">
        <v>8171824</v>
      </c>
      <c r="B2196">
        <v>21483616</v>
      </c>
      <c r="C2196" s="1">
        <v>42538</v>
      </c>
      <c r="D2196" t="s">
        <v>28</v>
      </c>
      <c r="E2196" t="str">
        <f>VLOOKUP(TRIM(D2196), Catalogo_gestiones!$A:$B, 2, FALSE)</f>
        <v>N</v>
      </c>
    </row>
    <row r="2197" spans="1:5" x14ac:dyDescent="0.25">
      <c r="A2197">
        <v>8171975</v>
      </c>
      <c r="B2197">
        <v>16563072</v>
      </c>
      <c r="C2197" s="1">
        <v>42538</v>
      </c>
      <c r="D2197" t="s">
        <v>30</v>
      </c>
      <c r="E2197" t="str">
        <f>VLOOKUP(TRIM(D2197), Catalogo_gestiones!$A:$B, 2, FALSE)</f>
        <v>S</v>
      </c>
    </row>
    <row r="2198" spans="1:5" x14ac:dyDescent="0.25">
      <c r="A2198">
        <v>8171975</v>
      </c>
      <c r="B2198">
        <v>25481844</v>
      </c>
      <c r="C2198" s="1">
        <v>42538</v>
      </c>
      <c r="D2198" t="s">
        <v>24</v>
      </c>
      <c r="E2198" t="str">
        <f>VLOOKUP(TRIM(D2198), Catalogo_gestiones!$A:$B, 2, FALSE)</f>
        <v>S</v>
      </c>
    </row>
    <row r="2199" spans="1:5" x14ac:dyDescent="0.25">
      <c r="A2199">
        <v>8172057</v>
      </c>
      <c r="B2199">
        <v>26227202</v>
      </c>
      <c r="C2199" s="1">
        <v>42538</v>
      </c>
      <c r="D2199" t="s">
        <v>25</v>
      </c>
      <c r="E2199" t="str">
        <f>VLOOKUP(TRIM(D2199), Catalogo_gestiones!$A:$B, 2, FALSE)</f>
        <v>N</v>
      </c>
    </row>
    <row r="2200" spans="1:5" x14ac:dyDescent="0.25">
      <c r="A2200">
        <v>8172184</v>
      </c>
      <c r="B2200">
        <v>10919528</v>
      </c>
      <c r="C2200" s="1">
        <v>42538</v>
      </c>
      <c r="D2200" t="s">
        <v>26</v>
      </c>
      <c r="E2200" t="str">
        <f>VLOOKUP(TRIM(D2200), Catalogo_gestiones!$A:$B, 2, FALSE)</f>
        <v>N</v>
      </c>
    </row>
    <row r="2201" spans="1:5" x14ac:dyDescent="0.25">
      <c r="A2201">
        <v>8172545</v>
      </c>
      <c r="B2201">
        <v>25644851</v>
      </c>
      <c r="C2201" s="1">
        <v>42538</v>
      </c>
      <c r="D2201" t="s">
        <v>27</v>
      </c>
      <c r="E2201" t="str">
        <f>VLOOKUP(TRIM(D2201), Catalogo_gestiones!$A:$B, 2, FALSE)</f>
        <v>S</v>
      </c>
    </row>
    <row r="2202" spans="1:5" x14ac:dyDescent="0.25">
      <c r="A2202">
        <v>8172545</v>
      </c>
      <c r="B2202">
        <v>25646668</v>
      </c>
      <c r="C2202" s="1">
        <v>42538</v>
      </c>
      <c r="D2202" t="s">
        <v>28</v>
      </c>
      <c r="E2202" t="str">
        <f>VLOOKUP(TRIM(D2202), Catalogo_gestiones!$A:$B, 2, FALSE)</f>
        <v>N</v>
      </c>
    </row>
    <row r="2203" spans="1:5" x14ac:dyDescent="0.25">
      <c r="A2203">
        <v>8172545</v>
      </c>
      <c r="B2203">
        <v>26004598</v>
      </c>
      <c r="C2203" s="1">
        <v>42538</v>
      </c>
      <c r="D2203" t="s">
        <v>24</v>
      </c>
      <c r="E2203" t="str">
        <f>VLOOKUP(TRIM(D2203), Catalogo_gestiones!$A:$B, 2, FALSE)</f>
        <v>S</v>
      </c>
    </row>
    <row r="2204" spans="1:5" x14ac:dyDescent="0.25">
      <c r="A2204">
        <v>8172550</v>
      </c>
      <c r="B2204">
        <v>25090717</v>
      </c>
      <c r="C2204" s="1">
        <v>42538</v>
      </c>
      <c r="D2204" t="s">
        <v>25</v>
      </c>
      <c r="E2204" t="str">
        <f>VLOOKUP(TRIM(D2204), Catalogo_gestiones!$A:$B, 2, FALSE)</f>
        <v>N</v>
      </c>
    </row>
    <row r="2205" spans="1:5" x14ac:dyDescent="0.25">
      <c r="A2205">
        <v>8172550</v>
      </c>
      <c r="B2205">
        <v>25277134</v>
      </c>
      <c r="C2205" s="1">
        <v>42538</v>
      </c>
      <c r="D2205" t="s">
        <v>26</v>
      </c>
      <c r="E2205" t="str">
        <f>VLOOKUP(TRIM(D2205), Catalogo_gestiones!$A:$B, 2, FALSE)</f>
        <v>N</v>
      </c>
    </row>
    <row r="2206" spans="1:5" x14ac:dyDescent="0.25">
      <c r="A2206">
        <v>8172608</v>
      </c>
      <c r="B2206">
        <v>26813449</v>
      </c>
      <c r="C2206" s="1">
        <v>42538</v>
      </c>
      <c r="D2206" t="s">
        <v>27</v>
      </c>
      <c r="E2206" t="str">
        <f>VLOOKUP(TRIM(D2206), Catalogo_gestiones!$A:$B, 2, FALSE)</f>
        <v>S</v>
      </c>
    </row>
    <row r="2207" spans="1:5" x14ac:dyDescent="0.25">
      <c r="A2207">
        <v>8172822</v>
      </c>
      <c r="B2207">
        <v>24100634</v>
      </c>
      <c r="C2207" s="1">
        <v>42536</v>
      </c>
      <c r="D2207" t="s">
        <v>28</v>
      </c>
      <c r="E2207" t="str">
        <f>VLOOKUP(TRIM(D2207), Catalogo_gestiones!$A:$B, 2, FALSE)</f>
        <v>N</v>
      </c>
    </row>
    <row r="2208" spans="1:5" x14ac:dyDescent="0.25">
      <c r="A2208">
        <v>8172834</v>
      </c>
      <c r="B2208">
        <v>21754177</v>
      </c>
      <c r="C2208" s="1">
        <v>42536</v>
      </c>
      <c r="D2208" t="s">
        <v>24</v>
      </c>
      <c r="E2208" t="str">
        <f>VLOOKUP(TRIM(D2208), Catalogo_gestiones!$A:$B, 2, FALSE)</f>
        <v>S</v>
      </c>
    </row>
    <row r="2209" spans="1:5" x14ac:dyDescent="0.25">
      <c r="A2209">
        <v>8172834</v>
      </c>
      <c r="B2209">
        <v>25341571</v>
      </c>
      <c r="C2209" s="1">
        <v>42536</v>
      </c>
      <c r="D2209" t="s">
        <v>25</v>
      </c>
      <c r="E2209" t="str">
        <f>VLOOKUP(TRIM(D2209), Catalogo_gestiones!$A:$B, 2, FALSE)</f>
        <v>N</v>
      </c>
    </row>
    <row r="2210" spans="1:5" x14ac:dyDescent="0.25">
      <c r="A2210">
        <v>8172857</v>
      </c>
      <c r="B2210">
        <v>27565008</v>
      </c>
      <c r="C2210" s="1">
        <v>42536</v>
      </c>
      <c r="D2210" t="s">
        <v>26</v>
      </c>
      <c r="E2210" t="str">
        <f>VLOOKUP(TRIM(D2210), Catalogo_gestiones!$A:$B, 2, FALSE)</f>
        <v>N</v>
      </c>
    </row>
    <row r="2211" spans="1:5" x14ac:dyDescent="0.25">
      <c r="A2211">
        <v>8172884</v>
      </c>
      <c r="B2211">
        <v>21348233</v>
      </c>
      <c r="C2211" s="1">
        <v>42534</v>
      </c>
      <c r="D2211" t="s">
        <v>27</v>
      </c>
      <c r="E2211" t="str">
        <f>VLOOKUP(TRIM(D2211), Catalogo_gestiones!$A:$B, 2, FALSE)</f>
        <v>S</v>
      </c>
    </row>
    <row r="2212" spans="1:5" x14ac:dyDescent="0.25">
      <c r="A2212">
        <v>8172884</v>
      </c>
      <c r="B2212">
        <v>23312798</v>
      </c>
      <c r="C2212" s="1">
        <v>42536</v>
      </c>
      <c r="D2212" t="s">
        <v>28</v>
      </c>
      <c r="E2212" t="str">
        <f>VLOOKUP(TRIM(D2212), Catalogo_gestiones!$A:$B, 2, FALSE)</f>
        <v>N</v>
      </c>
    </row>
    <row r="2213" spans="1:5" x14ac:dyDescent="0.25">
      <c r="A2213">
        <v>8172884</v>
      </c>
      <c r="B2213">
        <v>23313640</v>
      </c>
      <c r="C2213" s="1">
        <v>42536</v>
      </c>
      <c r="D2213" t="s">
        <v>30</v>
      </c>
      <c r="E2213" t="str">
        <f>VLOOKUP(TRIM(D2213), Catalogo_gestiones!$A:$B, 2, FALSE)</f>
        <v>S</v>
      </c>
    </row>
    <row r="2214" spans="1:5" x14ac:dyDescent="0.25">
      <c r="A2214">
        <v>8172906</v>
      </c>
      <c r="B2214">
        <v>25709096</v>
      </c>
      <c r="C2214" s="1">
        <v>42536</v>
      </c>
      <c r="D2214" t="s">
        <v>24</v>
      </c>
      <c r="E2214" t="str">
        <f>VLOOKUP(TRIM(D2214), Catalogo_gestiones!$A:$B, 2, FALSE)</f>
        <v>S</v>
      </c>
    </row>
    <row r="2215" spans="1:5" x14ac:dyDescent="0.25">
      <c r="A2215">
        <v>8172916</v>
      </c>
      <c r="B2215">
        <v>28122029</v>
      </c>
      <c r="C2215" s="1">
        <v>42536</v>
      </c>
      <c r="D2215" t="s">
        <v>25</v>
      </c>
      <c r="E2215" t="str">
        <f>VLOOKUP(TRIM(D2215), Catalogo_gestiones!$A:$B, 2, FALSE)</f>
        <v>N</v>
      </c>
    </row>
    <row r="2216" spans="1:5" x14ac:dyDescent="0.25">
      <c r="A2216">
        <v>8172935</v>
      </c>
      <c r="B2216">
        <v>27864939</v>
      </c>
      <c r="C2216" s="1">
        <v>42536</v>
      </c>
      <c r="D2216" t="s">
        <v>26</v>
      </c>
      <c r="E2216" t="str">
        <f>VLOOKUP(TRIM(D2216), Catalogo_gestiones!$A:$B, 2, FALSE)</f>
        <v>N</v>
      </c>
    </row>
    <row r="2217" spans="1:5" x14ac:dyDescent="0.25">
      <c r="A2217">
        <v>8173426</v>
      </c>
      <c r="B2217">
        <v>27096953</v>
      </c>
      <c r="C2217" s="1">
        <v>42536</v>
      </c>
      <c r="D2217" t="s">
        <v>27</v>
      </c>
      <c r="E2217" t="str">
        <f>VLOOKUP(TRIM(D2217), Catalogo_gestiones!$A:$B, 2, FALSE)</f>
        <v>S</v>
      </c>
    </row>
    <row r="2218" spans="1:5" x14ac:dyDescent="0.25">
      <c r="A2218">
        <v>8173437</v>
      </c>
      <c r="B2218">
        <v>26476759</v>
      </c>
      <c r="C2218" s="1">
        <v>42534</v>
      </c>
      <c r="D2218" t="s">
        <v>28</v>
      </c>
      <c r="E2218" t="str">
        <f>VLOOKUP(TRIM(D2218), Catalogo_gestiones!$A:$B, 2, FALSE)</f>
        <v>N</v>
      </c>
    </row>
    <row r="2219" spans="1:5" x14ac:dyDescent="0.25">
      <c r="A2219">
        <v>8173437</v>
      </c>
      <c r="B2219">
        <v>26774236</v>
      </c>
      <c r="C2219" s="1">
        <v>42536</v>
      </c>
      <c r="D2219" t="s">
        <v>24</v>
      </c>
      <c r="E2219" t="str">
        <f>VLOOKUP(TRIM(D2219), Catalogo_gestiones!$A:$B, 2, FALSE)</f>
        <v>S</v>
      </c>
    </row>
    <row r="2220" spans="1:5" x14ac:dyDescent="0.25">
      <c r="A2220">
        <v>8173444</v>
      </c>
      <c r="B2220">
        <v>27690468</v>
      </c>
      <c r="C2220" s="1">
        <v>42536</v>
      </c>
      <c r="D2220" t="s">
        <v>25</v>
      </c>
      <c r="E2220" t="str">
        <f>VLOOKUP(TRIM(D2220), Catalogo_gestiones!$A:$B, 2, FALSE)</f>
        <v>N</v>
      </c>
    </row>
    <row r="2221" spans="1:5" x14ac:dyDescent="0.25">
      <c r="A2221">
        <v>8173552</v>
      </c>
      <c r="B2221">
        <v>15784792</v>
      </c>
      <c r="C2221" s="1">
        <v>42536</v>
      </c>
      <c r="D2221" t="s">
        <v>26</v>
      </c>
      <c r="E2221" t="str">
        <f>VLOOKUP(TRIM(D2221), Catalogo_gestiones!$A:$B, 2, FALSE)</f>
        <v>N</v>
      </c>
    </row>
    <row r="2222" spans="1:5" x14ac:dyDescent="0.25">
      <c r="A2222">
        <v>8173552</v>
      </c>
      <c r="B2222">
        <v>20787125</v>
      </c>
      <c r="C2222" s="1">
        <v>42536</v>
      </c>
      <c r="D2222" t="s">
        <v>27</v>
      </c>
      <c r="E2222" t="str">
        <f>VLOOKUP(TRIM(D2222), Catalogo_gestiones!$A:$B, 2, FALSE)</f>
        <v>S</v>
      </c>
    </row>
    <row r="2223" spans="1:5" x14ac:dyDescent="0.25">
      <c r="A2223">
        <v>8173554</v>
      </c>
      <c r="B2223">
        <v>26936631</v>
      </c>
      <c r="C2223" s="1">
        <v>42536</v>
      </c>
      <c r="D2223" t="s">
        <v>28</v>
      </c>
      <c r="E2223" t="str">
        <f>VLOOKUP(TRIM(D2223), Catalogo_gestiones!$A:$B, 2, FALSE)</f>
        <v>N</v>
      </c>
    </row>
    <row r="2224" spans="1:5" x14ac:dyDescent="0.25">
      <c r="A2224">
        <v>8173554</v>
      </c>
      <c r="B2224">
        <v>28584103</v>
      </c>
      <c r="C2224" s="1">
        <v>42528</v>
      </c>
      <c r="D2224" t="s">
        <v>24</v>
      </c>
      <c r="E2224" t="str">
        <f>VLOOKUP(TRIM(D2224), Catalogo_gestiones!$A:$B, 2, FALSE)</f>
        <v>S</v>
      </c>
    </row>
    <row r="2225" spans="1:5" x14ac:dyDescent="0.25">
      <c r="A2225">
        <v>8173659</v>
      </c>
      <c r="B2225">
        <v>22424854</v>
      </c>
      <c r="C2225" s="1">
        <v>42536</v>
      </c>
      <c r="D2225" t="s">
        <v>25</v>
      </c>
      <c r="E2225" t="str">
        <f>VLOOKUP(TRIM(D2225), Catalogo_gestiones!$A:$B, 2, FALSE)</f>
        <v>N</v>
      </c>
    </row>
    <row r="2226" spans="1:5" x14ac:dyDescent="0.25">
      <c r="A2226">
        <v>8173659</v>
      </c>
      <c r="B2226">
        <v>26356232</v>
      </c>
      <c r="C2226" s="1">
        <v>42536</v>
      </c>
      <c r="D2226" t="s">
        <v>26</v>
      </c>
      <c r="E2226" t="str">
        <f>VLOOKUP(TRIM(D2226), Catalogo_gestiones!$A:$B, 2, FALSE)</f>
        <v>N</v>
      </c>
    </row>
    <row r="2227" spans="1:5" x14ac:dyDescent="0.25">
      <c r="A2227">
        <v>8173751</v>
      </c>
      <c r="B2227">
        <v>23390348</v>
      </c>
      <c r="C2227" s="1">
        <v>42536</v>
      </c>
      <c r="D2227" t="s">
        <v>27</v>
      </c>
      <c r="E2227" t="str">
        <f>VLOOKUP(TRIM(D2227), Catalogo_gestiones!$A:$B, 2, FALSE)</f>
        <v>S</v>
      </c>
    </row>
    <row r="2228" spans="1:5" x14ac:dyDescent="0.25">
      <c r="A2228">
        <v>8173877</v>
      </c>
      <c r="B2228">
        <v>23856527</v>
      </c>
      <c r="C2228" s="1">
        <v>42536</v>
      </c>
      <c r="D2228" t="s">
        <v>28</v>
      </c>
      <c r="E2228" t="str">
        <f>VLOOKUP(TRIM(D2228), Catalogo_gestiones!$A:$B, 2, FALSE)</f>
        <v>N</v>
      </c>
    </row>
    <row r="2229" spans="1:5" x14ac:dyDescent="0.25">
      <c r="A2229">
        <v>8173935</v>
      </c>
      <c r="B2229">
        <v>26913436</v>
      </c>
      <c r="C2229" s="1">
        <v>42536</v>
      </c>
      <c r="D2229" t="s">
        <v>30</v>
      </c>
      <c r="E2229" t="str">
        <f>VLOOKUP(TRIM(D2229), Catalogo_gestiones!$A:$B, 2, FALSE)</f>
        <v>S</v>
      </c>
    </row>
    <row r="2230" spans="1:5" x14ac:dyDescent="0.25">
      <c r="A2230">
        <v>8173944</v>
      </c>
      <c r="B2230">
        <v>21732738</v>
      </c>
      <c r="C2230" s="1">
        <v>42536</v>
      </c>
      <c r="D2230" t="s">
        <v>24</v>
      </c>
      <c r="E2230" t="str">
        <f>VLOOKUP(TRIM(D2230), Catalogo_gestiones!$A:$B, 2, FALSE)</f>
        <v>S</v>
      </c>
    </row>
    <row r="2231" spans="1:5" x14ac:dyDescent="0.25">
      <c r="A2231">
        <v>8173948</v>
      </c>
      <c r="B2231">
        <v>12213655</v>
      </c>
      <c r="C2231" s="1">
        <v>42536</v>
      </c>
      <c r="D2231" t="s">
        <v>25</v>
      </c>
      <c r="E2231" t="str">
        <f>VLOOKUP(TRIM(D2231), Catalogo_gestiones!$A:$B, 2, FALSE)</f>
        <v>N</v>
      </c>
    </row>
    <row r="2232" spans="1:5" x14ac:dyDescent="0.25">
      <c r="A2232">
        <v>8174057</v>
      </c>
      <c r="B2232">
        <v>25232710</v>
      </c>
      <c r="C2232" s="1">
        <v>42536</v>
      </c>
      <c r="D2232" t="s">
        <v>26</v>
      </c>
      <c r="E2232" t="str">
        <f>VLOOKUP(TRIM(D2232), Catalogo_gestiones!$A:$B, 2, FALSE)</f>
        <v>N</v>
      </c>
    </row>
    <row r="2233" spans="1:5" x14ac:dyDescent="0.25">
      <c r="A2233">
        <v>8174057</v>
      </c>
      <c r="B2233">
        <v>26383422</v>
      </c>
      <c r="C2233" s="1">
        <v>42536</v>
      </c>
      <c r="D2233" t="s">
        <v>27</v>
      </c>
      <c r="E2233" t="str">
        <f>VLOOKUP(TRIM(D2233), Catalogo_gestiones!$A:$B, 2, FALSE)</f>
        <v>S</v>
      </c>
    </row>
    <row r="2234" spans="1:5" x14ac:dyDescent="0.25">
      <c r="A2234">
        <v>8174057</v>
      </c>
      <c r="B2234">
        <v>26909240</v>
      </c>
      <c r="C2234" s="1">
        <v>42536</v>
      </c>
      <c r="D2234" t="s">
        <v>28</v>
      </c>
      <c r="E2234" t="str">
        <f>VLOOKUP(TRIM(D2234), Catalogo_gestiones!$A:$B, 2, FALSE)</f>
        <v>N</v>
      </c>
    </row>
    <row r="2235" spans="1:5" x14ac:dyDescent="0.25">
      <c r="A2235">
        <v>8174057</v>
      </c>
      <c r="B2235">
        <v>28215222</v>
      </c>
      <c r="C2235" s="1">
        <v>42536</v>
      </c>
      <c r="D2235" t="s">
        <v>24</v>
      </c>
      <c r="E2235" t="str">
        <f>VLOOKUP(TRIM(D2235), Catalogo_gestiones!$A:$B, 2, FALSE)</f>
        <v>S</v>
      </c>
    </row>
    <row r="2236" spans="1:5" x14ac:dyDescent="0.25">
      <c r="A2236">
        <v>8174059</v>
      </c>
      <c r="B2236">
        <v>22099246</v>
      </c>
      <c r="C2236" s="1">
        <v>42536</v>
      </c>
      <c r="D2236" t="s">
        <v>25</v>
      </c>
      <c r="E2236" t="str">
        <f>VLOOKUP(TRIM(D2236), Catalogo_gestiones!$A:$B, 2, FALSE)</f>
        <v>N</v>
      </c>
    </row>
    <row r="2237" spans="1:5" x14ac:dyDescent="0.25">
      <c r="A2237">
        <v>8174059</v>
      </c>
      <c r="B2237">
        <v>23427410</v>
      </c>
      <c r="C2237" s="1">
        <v>42536</v>
      </c>
      <c r="D2237" t="s">
        <v>26</v>
      </c>
      <c r="E2237" t="str">
        <f>VLOOKUP(TRIM(D2237), Catalogo_gestiones!$A:$B, 2, FALSE)</f>
        <v>N</v>
      </c>
    </row>
    <row r="2238" spans="1:5" x14ac:dyDescent="0.25">
      <c r="A2238">
        <v>8174167</v>
      </c>
      <c r="B2238">
        <v>22474920</v>
      </c>
      <c r="C2238" s="1">
        <v>42536</v>
      </c>
      <c r="D2238" t="s">
        <v>27</v>
      </c>
      <c r="E2238" t="str">
        <f>VLOOKUP(TRIM(D2238), Catalogo_gestiones!$A:$B, 2, FALSE)</f>
        <v>S</v>
      </c>
    </row>
    <row r="2239" spans="1:5" x14ac:dyDescent="0.25">
      <c r="A2239">
        <v>8174228</v>
      </c>
      <c r="B2239">
        <v>25119402</v>
      </c>
      <c r="C2239" s="1">
        <v>42536</v>
      </c>
      <c r="D2239" t="s">
        <v>28</v>
      </c>
      <c r="E2239" t="str">
        <f>VLOOKUP(TRIM(D2239), Catalogo_gestiones!$A:$B, 2, FALSE)</f>
        <v>N</v>
      </c>
    </row>
    <row r="2240" spans="1:5" x14ac:dyDescent="0.25">
      <c r="A2240">
        <v>8174723</v>
      </c>
      <c r="B2240">
        <v>20516171</v>
      </c>
      <c r="C2240" s="1">
        <v>42536</v>
      </c>
      <c r="D2240" t="s">
        <v>24</v>
      </c>
      <c r="E2240" t="str">
        <f>VLOOKUP(TRIM(D2240), Catalogo_gestiones!$A:$B, 2, FALSE)</f>
        <v>S</v>
      </c>
    </row>
    <row r="2241" spans="1:5" x14ac:dyDescent="0.25">
      <c r="A2241">
        <v>8174723</v>
      </c>
      <c r="B2241">
        <v>22647176</v>
      </c>
      <c r="C2241" s="1">
        <v>42536</v>
      </c>
      <c r="D2241" t="s">
        <v>25</v>
      </c>
      <c r="E2241" t="str">
        <f>VLOOKUP(TRIM(D2241), Catalogo_gestiones!$A:$B, 2, FALSE)</f>
        <v>N</v>
      </c>
    </row>
    <row r="2242" spans="1:5" x14ac:dyDescent="0.25">
      <c r="A2242">
        <v>8174927</v>
      </c>
      <c r="B2242">
        <v>25357564</v>
      </c>
      <c r="C2242" s="1">
        <v>42536</v>
      </c>
      <c r="D2242" t="s">
        <v>26</v>
      </c>
      <c r="E2242" t="str">
        <f>VLOOKUP(TRIM(D2242), Catalogo_gestiones!$A:$B, 2, FALSE)</f>
        <v>N</v>
      </c>
    </row>
    <row r="2243" spans="1:5" x14ac:dyDescent="0.25">
      <c r="A2243">
        <v>8175003</v>
      </c>
      <c r="B2243">
        <v>11405813</v>
      </c>
      <c r="C2243" s="1">
        <v>42536</v>
      </c>
      <c r="D2243" t="s">
        <v>27</v>
      </c>
      <c r="E2243" t="str">
        <f>VLOOKUP(TRIM(D2243), Catalogo_gestiones!$A:$B, 2, FALSE)</f>
        <v>S</v>
      </c>
    </row>
    <row r="2244" spans="1:5" x14ac:dyDescent="0.25">
      <c r="A2244">
        <v>8175087</v>
      </c>
      <c r="B2244">
        <v>26656234</v>
      </c>
      <c r="C2244" s="1">
        <v>42536</v>
      </c>
      <c r="D2244" t="s">
        <v>28</v>
      </c>
      <c r="E2244" t="str">
        <f>VLOOKUP(TRIM(D2244), Catalogo_gestiones!$A:$B, 2, FALSE)</f>
        <v>N</v>
      </c>
    </row>
    <row r="2245" spans="1:5" x14ac:dyDescent="0.25">
      <c r="A2245">
        <v>8175094</v>
      </c>
      <c r="B2245">
        <v>25678340</v>
      </c>
      <c r="C2245" s="1">
        <v>42536</v>
      </c>
      <c r="D2245" t="s">
        <v>30</v>
      </c>
      <c r="E2245" t="str">
        <f>VLOOKUP(TRIM(D2245), Catalogo_gestiones!$A:$B, 2, FALSE)</f>
        <v>S</v>
      </c>
    </row>
    <row r="2246" spans="1:5" x14ac:dyDescent="0.25">
      <c r="A2246">
        <v>8175117</v>
      </c>
      <c r="B2246">
        <v>21924524</v>
      </c>
      <c r="C2246" s="1">
        <v>42536</v>
      </c>
      <c r="D2246" t="s">
        <v>24</v>
      </c>
      <c r="E2246" t="str">
        <f>VLOOKUP(TRIM(D2246), Catalogo_gestiones!$A:$B, 2, FALSE)</f>
        <v>S</v>
      </c>
    </row>
    <row r="2247" spans="1:5" x14ac:dyDescent="0.25">
      <c r="A2247">
        <v>8175117</v>
      </c>
      <c r="B2247">
        <v>24163237</v>
      </c>
      <c r="C2247" s="1">
        <v>42536</v>
      </c>
      <c r="D2247" t="s">
        <v>25</v>
      </c>
      <c r="E2247" t="str">
        <f>VLOOKUP(TRIM(D2247), Catalogo_gestiones!$A:$B, 2, FALSE)</f>
        <v>N</v>
      </c>
    </row>
    <row r="2248" spans="1:5" x14ac:dyDescent="0.25">
      <c r="A2248">
        <v>8175233</v>
      </c>
      <c r="B2248">
        <v>27048969</v>
      </c>
      <c r="C2248" s="1">
        <v>42536</v>
      </c>
      <c r="D2248" t="s">
        <v>26</v>
      </c>
      <c r="E2248" t="str">
        <f>VLOOKUP(TRIM(D2248), Catalogo_gestiones!$A:$B, 2, FALSE)</f>
        <v>N</v>
      </c>
    </row>
    <row r="2249" spans="1:5" x14ac:dyDescent="0.25">
      <c r="A2249">
        <v>8175412</v>
      </c>
      <c r="B2249">
        <v>27722229</v>
      </c>
      <c r="C2249" s="1">
        <v>42536</v>
      </c>
      <c r="D2249" t="s">
        <v>27</v>
      </c>
      <c r="E2249" t="str">
        <f>VLOOKUP(TRIM(D2249), Catalogo_gestiones!$A:$B, 2, FALSE)</f>
        <v>S</v>
      </c>
    </row>
    <row r="2250" spans="1:5" x14ac:dyDescent="0.25">
      <c r="A2250">
        <v>8175432</v>
      </c>
      <c r="B2250">
        <v>26725384</v>
      </c>
      <c r="C2250" s="1">
        <v>42536</v>
      </c>
      <c r="D2250" t="s">
        <v>28</v>
      </c>
      <c r="E2250" t="str">
        <f>VLOOKUP(TRIM(D2250), Catalogo_gestiones!$A:$B, 2, FALSE)</f>
        <v>N</v>
      </c>
    </row>
    <row r="2251" spans="1:5" x14ac:dyDescent="0.25">
      <c r="A2251">
        <v>8175434</v>
      </c>
      <c r="B2251">
        <v>21490702</v>
      </c>
      <c r="C2251" s="1">
        <v>42536</v>
      </c>
      <c r="D2251" t="s">
        <v>24</v>
      </c>
      <c r="E2251" t="str">
        <f>VLOOKUP(TRIM(D2251), Catalogo_gestiones!$A:$B, 2, FALSE)</f>
        <v>S</v>
      </c>
    </row>
    <row r="2252" spans="1:5" x14ac:dyDescent="0.25">
      <c r="A2252">
        <v>8175434</v>
      </c>
      <c r="B2252">
        <v>22984080</v>
      </c>
      <c r="C2252" s="1">
        <v>42536</v>
      </c>
      <c r="D2252" t="s">
        <v>25</v>
      </c>
      <c r="E2252" t="str">
        <f>VLOOKUP(TRIM(D2252), Catalogo_gestiones!$A:$B, 2, FALSE)</f>
        <v>N</v>
      </c>
    </row>
    <row r="2253" spans="1:5" x14ac:dyDescent="0.25">
      <c r="A2253">
        <v>8175434</v>
      </c>
      <c r="B2253">
        <v>22984353</v>
      </c>
      <c r="C2253" s="1">
        <v>42536</v>
      </c>
      <c r="D2253" t="s">
        <v>26</v>
      </c>
      <c r="E2253" t="str">
        <f>VLOOKUP(TRIM(D2253), Catalogo_gestiones!$A:$B, 2, FALSE)</f>
        <v>N</v>
      </c>
    </row>
    <row r="2254" spans="1:5" x14ac:dyDescent="0.25">
      <c r="A2254">
        <v>8175434</v>
      </c>
      <c r="B2254">
        <v>23068002</v>
      </c>
      <c r="C2254" s="1">
        <v>42536</v>
      </c>
      <c r="D2254" t="s">
        <v>27</v>
      </c>
      <c r="E2254" t="str">
        <f>VLOOKUP(TRIM(D2254), Catalogo_gestiones!$A:$B, 2, FALSE)</f>
        <v>S</v>
      </c>
    </row>
    <row r="2255" spans="1:5" x14ac:dyDescent="0.25">
      <c r="A2255">
        <v>8175434</v>
      </c>
      <c r="B2255">
        <v>23123539</v>
      </c>
      <c r="C2255" s="1">
        <v>42536</v>
      </c>
      <c r="D2255" t="s">
        <v>28</v>
      </c>
      <c r="E2255" t="str">
        <f>VLOOKUP(TRIM(D2255), Catalogo_gestiones!$A:$B, 2, FALSE)</f>
        <v>N</v>
      </c>
    </row>
    <row r="2256" spans="1:5" x14ac:dyDescent="0.25">
      <c r="A2256">
        <v>8175434</v>
      </c>
      <c r="B2256">
        <v>23827455</v>
      </c>
      <c r="C2256" s="1">
        <v>42536</v>
      </c>
      <c r="D2256" t="s">
        <v>24</v>
      </c>
      <c r="E2256" t="str">
        <f>VLOOKUP(TRIM(D2256), Catalogo_gestiones!$A:$B, 2, FALSE)</f>
        <v>S</v>
      </c>
    </row>
    <row r="2257" spans="1:5" x14ac:dyDescent="0.25">
      <c r="A2257">
        <v>8175434</v>
      </c>
      <c r="B2257">
        <v>24903975</v>
      </c>
      <c r="C2257" s="1">
        <v>42536</v>
      </c>
      <c r="D2257" t="s">
        <v>25</v>
      </c>
      <c r="E2257" t="str">
        <f>VLOOKUP(TRIM(D2257), Catalogo_gestiones!$A:$B, 2, FALSE)</f>
        <v>N</v>
      </c>
    </row>
    <row r="2258" spans="1:5" x14ac:dyDescent="0.25">
      <c r="A2258">
        <v>8175521</v>
      </c>
      <c r="B2258">
        <v>28584078</v>
      </c>
      <c r="C2258" s="1">
        <v>42529</v>
      </c>
      <c r="D2258" t="s">
        <v>26</v>
      </c>
      <c r="E2258" t="str">
        <f>VLOOKUP(TRIM(D2258), Catalogo_gestiones!$A:$B, 2, FALSE)</f>
        <v>N</v>
      </c>
    </row>
    <row r="2259" spans="1:5" x14ac:dyDescent="0.25">
      <c r="A2259">
        <v>8177174</v>
      </c>
      <c r="B2259">
        <v>16031676</v>
      </c>
      <c r="C2259" s="1">
        <v>42536</v>
      </c>
      <c r="D2259" t="s">
        <v>27</v>
      </c>
      <c r="E2259" t="str">
        <f>VLOOKUP(TRIM(D2259), Catalogo_gestiones!$A:$B, 2, FALSE)</f>
        <v>S</v>
      </c>
    </row>
    <row r="2260" spans="1:5" x14ac:dyDescent="0.25">
      <c r="A2260">
        <v>8177174</v>
      </c>
      <c r="B2260">
        <v>17210228</v>
      </c>
      <c r="C2260" s="1">
        <v>42536</v>
      </c>
      <c r="D2260" t="s">
        <v>28</v>
      </c>
      <c r="E2260" t="str">
        <f>VLOOKUP(TRIM(D2260), Catalogo_gestiones!$A:$B, 2, FALSE)</f>
        <v>N</v>
      </c>
    </row>
    <row r="2261" spans="1:5" x14ac:dyDescent="0.25">
      <c r="A2261">
        <v>8177716</v>
      </c>
      <c r="B2261">
        <v>26262210</v>
      </c>
      <c r="C2261" s="1">
        <v>42536</v>
      </c>
      <c r="D2261" t="s">
        <v>30</v>
      </c>
      <c r="E2261" t="str">
        <f>VLOOKUP(TRIM(D2261), Catalogo_gestiones!$A:$B, 2, FALSE)</f>
        <v>S</v>
      </c>
    </row>
    <row r="2262" spans="1:5" x14ac:dyDescent="0.25">
      <c r="A2262">
        <v>8177887</v>
      </c>
      <c r="B2262">
        <v>26004795</v>
      </c>
      <c r="C2262" s="1">
        <v>42536</v>
      </c>
      <c r="D2262" t="s">
        <v>24</v>
      </c>
      <c r="E2262" t="str">
        <f>VLOOKUP(TRIM(D2262), Catalogo_gestiones!$A:$B, 2, FALSE)</f>
        <v>S</v>
      </c>
    </row>
    <row r="2263" spans="1:5" x14ac:dyDescent="0.25">
      <c r="A2263">
        <v>8178293</v>
      </c>
      <c r="B2263">
        <v>19935619</v>
      </c>
      <c r="C2263" s="1">
        <v>42536</v>
      </c>
      <c r="D2263" t="s">
        <v>25</v>
      </c>
      <c r="E2263" t="str">
        <f>VLOOKUP(TRIM(D2263), Catalogo_gestiones!$A:$B, 2, FALSE)</f>
        <v>N</v>
      </c>
    </row>
    <row r="2264" spans="1:5" x14ac:dyDescent="0.25">
      <c r="A2264">
        <v>8178346</v>
      </c>
      <c r="B2264">
        <v>26154252</v>
      </c>
      <c r="C2264" s="1">
        <v>42536</v>
      </c>
      <c r="D2264" t="s">
        <v>26</v>
      </c>
      <c r="E2264" t="str">
        <f>VLOOKUP(TRIM(D2264), Catalogo_gestiones!$A:$B, 2, FALSE)</f>
        <v>N</v>
      </c>
    </row>
    <row r="2265" spans="1:5" x14ac:dyDescent="0.25">
      <c r="A2265">
        <v>8180768</v>
      </c>
      <c r="B2265">
        <v>1438298</v>
      </c>
      <c r="C2265" s="1">
        <v>42536</v>
      </c>
      <c r="D2265" t="s">
        <v>27</v>
      </c>
      <c r="E2265" t="str">
        <f>VLOOKUP(TRIM(D2265), Catalogo_gestiones!$A:$B, 2, FALSE)</f>
        <v>S</v>
      </c>
    </row>
    <row r="2266" spans="1:5" x14ac:dyDescent="0.25">
      <c r="A2266">
        <v>8181055</v>
      </c>
      <c r="B2266">
        <v>21622993</v>
      </c>
      <c r="C2266" s="1">
        <v>42536</v>
      </c>
      <c r="D2266" t="s">
        <v>28</v>
      </c>
      <c r="E2266" t="str">
        <f>VLOOKUP(TRIM(D2266), Catalogo_gestiones!$A:$B, 2, FALSE)</f>
        <v>N</v>
      </c>
    </row>
    <row r="2267" spans="1:5" x14ac:dyDescent="0.25">
      <c r="A2267">
        <v>8181055</v>
      </c>
      <c r="B2267">
        <v>21623286</v>
      </c>
      <c r="C2267" s="1">
        <v>42536</v>
      </c>
      <c r="D2267" t="s">
        <v>24</v>
      </c>
      <c r="E2267" t="str">
        <f>VLOOKUP(TRIM(D2267), Catalogo_gestiones!$A:$B, 2, FALSE)</f>
        <v>S</v>
      </c>
    </row>
    <row r="2268" spans="1:5" x14ac:dyDescent="0.25">
      <c r="A2268">
        <v>8181850</v>
      </c>
      <c r="B2268">
        <v>16943512</v>
      </c>
      <c r="C2268" s="1">
        <v>42536</v>
      </c>
      <c r="D2268" t="s">
        <v>25</v>
      </c>
      <c r="E2268" t="str">
        <f>VLOOKUP(TRIM(D2268), Catalogo_gestiones!$A:$B, 2, FALSE)</f>
        <v>N</v>
      </c>
    </row>
    <row r="2269" spans="1:5" x14ac:dyDescent="0.25">
      <c r="A2269">
        <v>8182206</v>
      </c>
      <c r="B2269">
        <v>12411571</v>
      </c>
      <c r="C2269" s="1">
        <v>42536</v>
      </c>
      <c r="D2269" t="s">
        <v>26</v>
      </c>
      <c r="E2269" t="str">
        <f>VLOOKUP(TRIM(D2269), Catalogo_gestiones!$A:$B, 2, FALSE)</f>
        <v>N</v>
      </c>
    </row>
    <row r="2270" spans="1:5" x14ac:dyDescent="0.25">
      <c r="A2270">
        <v>8182206</v>
      </c>
      <c r="B2270">
        <v>15355963</v>
      </c>
      <c r="C2270" s="1">
        <v>42536</v>
      </c>
      <c r="D2270" t="s">
        <v>27</v>
      </c>
      <c r="E2270" t="str">
        <f>VLOOKUP(TRIM(D2270), Catalogo_gestiones!$A:$B, 2, FALSE)</f>
        <v>S</v>
      </c>
    </row>
    <row r="2271" spans="1:5" x14ac:dyDescent="0.25">
      <c r="A2271">
        <v>8182206</v>
      </c>
      <c r="B2271">
        <v>15356943</v>
      </c>
      <c r="C2271" s="1">
        <v>42536</v>
      </c>
      <c r="D2271" t="s">
        <v>28</v>
      </c>
      <c r="E2271" t="str">
        <f>VLOOKUP(TRIM(D2271), Catalogo_gestiones!$A:$B, 2, FALSE)</f>
        <v>N</v>
      </c>
    </row>
    <row r="2272" spans="1:5" x14ac:dyDescent="0.25">
      <c r="A2272">
        <v>8182453</v>
      </c>
      <c r="B2272">
        <v>4284933</v>
      </c>
      <c r="C2272" s="1">
        <v>42536</v>
      </c>
      <c r="D2272" t="s">
        <v>24</v>
      </c>
      <c r="E2272" t="str">
        <f>VLOOKUP(TRIM(D2272), Catalogo_gestiones!$A:$B, 2, FALSE)</f>
        <v>S</v>
      </c>
    </row>
    <row r="2273" spans="1:5" x14ac:dyDescent="0.25">
      <c r="A2273">
        <v>8182453</v>
      </c>
      <c r="B2273">
        <v>10408712</v>
      </c>
      <c r="C2273" s="1">
        <v>42536</v>
      </c>
      <c r="D2273" t="s">
        <v>25</v>
      </c>
      <c r="E2273" t="str">
        <f>VLOOKUP(TRIM(D2273), Catalogo_gestiones!$A:$B, 2, FALSE)</f>
        <v>N</v>
      </c>
    </row>
    <row r="2274" spans="1:5" x14ac:dyDescent="0.25">
      <c r="A2274">
        <v>8182453</v>
      </c>
      <c r="B2274">
        <v>15475872</v>
      </c>
      <c r="C2274" s="1">
        <v>42536</v>
      </c>
      <c r="D2274" t="s">
        <v>26</v>
      </c>
      <c r="E2274" t="str">
        <f>VLOOKUP(TRIM(D2274), Catalogo_gestiones!$A:$B, 2, FALSE)</f>
        <v>N</v>
      </c>
    </row>
    <row r="2275" spans="1:5" x14ac:dyDescent="0.25">
      <c r="A2275">
        <v>8183550</v>
      </c>
      <c r="B2275">
        <v>25922154</v>
      </c>
      <c r="C2275" s="1">
        <v>42536</v>
      </c>
      <c r="D2275" t="s">
        <v>27</v>
      </c>
      <c r="E2275" t="str">
        <f>VLOOKUP(TRIM(D2275), Catalogo_gestiones!$A:$B, 2, FALSE)</f>
        <v>S</v>
      </c>
    </row>
    <row r="2276" spans="1:5" x14ac:dyDescent="0.25">
      <c r="A2276">
        <v>8183593</v>
      </c>
      <c r="B2276">
        <v>3487181</v>
      </c>
      <c r="C2276" s="1">
        <v>42536</v>
      </c>
      <c r="D2276" t="s">
        <v>28</v>
      </c>
      <c r="E2276" t="str">
        <f>VLOOKUP(TRIM(D2276), Catalogo_gestiones!$A:$B, 2, FALSE)</f>
        <v>N</v>
      </c>
    </row>
    <row r="2277" spans="1:5" x14ac:dyDescent="0.25">
      <c r="A2277">
        <v>8183593</v>
      </c>
      <c r="B2277">
        <v>3487537</v>
      </c>
      <c r="C2277" s="1">
        <v>42536</v>
      </c>
      <c r="D2277" t="s">
        <v>30</v>
      </c>
      <c r="E2277" t="str">
        <f>VLOOKUP(TRIM(D2277), Catalogo_gestiones!$A:$B, 2, FALSE)</f>
        <v>S</v>
      </c>
    </row>
    <row r="2278" spans="1:5" x14ac:dyDescent="0.25">
      <c r="A2278">
        <v>8183881</v>
      </c>
      <c r="B2278">
        <v>25845909</v>
      </c>
      <c r="C2278" s="1">
        <v>42536</v>
      </c>
      <c r="D2278" t="s">
        <v>24</v>
      </c>
      <c r="E2278" t="str">
        <f>VLOOKUP(TRIM(D2278), Catalogo_gestiones!$A:$B, 2, FALSE)</f>
        <v>S</v>
      </c>
    </row>
    <row r="2279" spans="1:5" x14ac:dyDescent="0.25">
      <c r="A2279">
        <v>8183881</v>
      </c>
      <c r="B2279">
        <v>25846725</v>
      </c>
      <c r="C2279" s="1">
        <v>42536</v>
      </c>
      <c r="D2279" t="s">
        <v>25</v>
      </c>
      <c r="E2279" t="str">
        <f>VLOOKUP(TRIM(D2279), Catalogo_gestiones!$A:$B, 2, FALSE)</f>
        <v>N</v>
      </c>
    </row>
    <row r="2280" spans="1:5" x14ac:dyDescent="0.25">
      <c r="A2280">
        <v>8184628</v>
      </c>
      <c r="B2280">
        <v>24982681</v>
      </c>
      <c r="C2280" s="1">
        <v>42536</v>
      </c>
      <c r="D2280" t="s">
        <v>26</v>
      </c>
      <c r="E2280" t="str">
        <f>VLOOKUP(TRIM(D2280), Catalogo_gestiones!$A:$B, 2, FALSE)</f>
        <v>N</v>
      </c>
    </row>
    <row r="2281" spans="1:5" x14ac:dyDescent="0.25">
      <c r="A2281">
        <v>8184681</v>
      </c>
      <c r="B2281">
        <v>21188298</v>
      </c>
      <c r="C2281" s="1">
        <v>42527</v>
      </c>
      <c r="D2281" t="s">
        <v>27</v>
      </c>
      <c r="E2281" t="str">
        <f>VLOOKUP(TRIM(D2281), Catalogo_gestiones!$A:$B, 2, FALSE)</f>
        <v>S</v>
      </c>
    </row>
    <row r="2282" spans="1:5" x14ac:dyDescent="0.25">
      <c r="A2282">
        <v>8184854</v>
      </c>
      <c r="B2282">
        <v>22156065</v>
      </c>
      <c r="C2282" s="1">
        <v>42536</v>
      </c>
      <c r="D2282" t="s">
        <v>28</v>
      </c>
      <c r="E2282" t="str">
        <f>VLOOKUP(TRIM(D2282), Catalogo_gestiones!$A:$B, 2, FALSE)</f>
        <v>N</v>
      </c>
    </row>
    <row r="2283" spans="1:5" x14ac:dyDescent="0.25">
      <c r="A2283">
        <v>8185898</v>
      </c>
      <c r="B2283">
        <v>26379550</v>
      </c>
      <c r="C2283" s="1">
        <v>42536</v>
      </c>
      <c r="D2283" t="s">
        <v>24</v>
      </c>
      <c r="E2283" t="str">
        <f>VLOOKUP(TRIM(D2283), Catalogo_gestiones!$A:$B, 2, FALSE)</f>
        <v>S</v>
      </c>
    </row>
    <row r="2284" spans="1:5" x14ac:dyDescent="0.25">
      <c r="A2284">
        <v>8186426</v>
      </c>
      <c r="B2284">
        <v>22931031</v>
      </c>
      <c r="C2284" s="1">
        <v>42536</v>
      </c>
      <c r="D2284" t="s">
        <v>25</v>
      </c>
      <c r="E2284" t="str">
        <f>VLOOKUP(TRIM(D2284), Catalogo_gestiones!$A:$B, 2, FALSE)</f>
        <v>N</v>
      </c>
    </row>
    <row r="2285" spans="1:5" x14ac:dyDescent="0.25">
      <c r="A2285">
        <v>8187113</v>
      </c>
      <c r="B2285">
        <v>21767160</v>
      </c>
      <c r="C2285" s="1">
        <v>42536</v>
      </c>
      <c r="D2285" t="s">
        <v>26</v>
      </c>
      <c r="E2285" t="str">
        <f>VLOOKUP(TRIM(D2285), Catalogo_gestiones!$A:$B, 2, FALSE)</f>
        <v>N</v>
      </c>
    </row>
    <row r="2286" spans="1:5" x14ac:dyDescent="0.25">
      <c r="A2286">
        <v>8187231</v>
      </c>
      <c r="B2286">
        <v>28056854</v>
      </c>
      <c r="C2286" s="1">
        <v>42527</v>
      </c>
      <c r="D2286" t="s">
        <v>27</v>
      </c>
      <c r="E2286" t="str">
        <f>VLOOKUP(TRIM(D2286), Catalogo_gestiones!$A:$B, 2, FALSE)</f>
        <v>S</v>
      </c>
    </row>
    <row r="2287" spans="1:5" x14ac:dyDescent="0.25">
      <c r="A2287">
        <v>8187553</v>
      </c>
      <c r="B2287">
        <v>27233220</v>
      </c>
      <c r="C2287" s="1">
        <v>42536</v>
      </c>
      <c r="D2287" t="s">
        <v>28</v>
      </c>
      <c r="E2287" t="str">
        <f>VLOOKUP(TRIM(D2287), Catalogo_gestiones!$A:$B, 2, FALSE)</f>
        <v>N</v>
      </c>
    </row>
    <row r="2288" spans="1:5" x14ac:dyDescent="0.25">
      <c r="A2288">
        <v>8187734</v>
      </c>
      <c r="B2288">
        <v>10938673</v>
      </c>
      <c r="C2288" s="1">
        <v>42527</v>
      </c>
      <c r="D2288" t="s">
        <v>24</v>
      </c>
      <c r="E2288" t="str">
        <f>VLOOKUP(TRIM(D2288), Catalogo_gestiones!$A:$B, 2, FALSE)</f>
        <v>S</v>
      </c>
    </row>
    <row r="2289" spans="1:5" x14ac:dyDescent="0.25">
      <c r="A2289">
        <v>8187955</v>
      </c>
      <c r="B2289">
        <v>22742458</v>
      </c>
      <c r="C2289" s="1">
        <v>42536</v>
      </c>
      <c r="D2289" t="s">
        <v>25</v>
      </c>
      <c r="E2289" t="str">
        <f>VLOOKUP(TRIM(D2289), Catalogo_gestiones!$A:$B, 2, FALSE)</f>
        <v>N</v>
      </c>
    </row>
    <row r="2290" spans="1:5" x14ac:dyDescent="0.25">
      <c r="A2290">
        <v>8188190</v>
      </c>
      <c r="B2290">
        <v>22079343</v>
      </c>
      <c r="C2290" s="1">
        <v>42528</v>
      </c>
      <c r="D2290" t="s">
        <v>26</v>
      </c>
      <c r="E2290" t="str">
        <f>VLOOKUP(TRIM(D2290), Catalogo_gestiones!$A:$B, 2, FALSE)</f>
        <v>N</v>
      </c>
    </row>
    <row r="2291" spans="1:5" x14ac:dyDescent="0.25">
      <c r="A2291">
        <v>8188190</v>
      </c>
      <c r="B2291">
        <v>23063678</v>
      </c>
      <c r="C2291" s="1">
        <v>42528</v>
      </c>
      <c r="D2291" t="s">
        <v>27</v>
      </c>
      <c r="E2291" t="str">
        <f>VLOOKUP(TRIM(D2291), Catalogo_gestiones!$A:$B, 2, FALSE)</f>
        <v>S</v>
      </c>
    </row>
    <row r="2292" spans="1:5" x14ac:dyDescent="0.25">
      <c r="A2292">
        <v>8188190</v>
      </c>
      <c r="B2292">
        <v>23064775</v>
      </c>
      <c r="C2292" s="1">
        <v>42528</v>
      </c>
      <c r="D2292" t="s">
        <v>28</v>
      </c>
      <c r="E2292" t="str">
        <f>VLOOKUP(TRIM(D2292), Catalogo_gestiones!$A:$B, 2, FALSE)</f>
        <v>N</v>
      </c>
    </row>
    <row r="2293" spans="1:5" x14ac:dyDescent="0.25">
      <c r="A2293">
        <v>8188778</v>
      </c>
      <c r="B2293">
        <v>24100840</v>
      </c>
      <c r="C2293" s="1">
        <v>42536</v>
      </c>
      <c r="D2293" t="s">
        <v>30</v>
      </c>
      <c r="E2293" t="str">
        <f>VLOOKUP(TRIM(D2293), Catalogo_gestiones!$A:$B, 2, FALSE)</f>
        <v>S</v>
      </c>
    </row>
    <row r="2294" spans="1:5" x14ac:dyDescent="0.25">
      <c r="A2294">
        <v>8188778</v>
      </c>
      <c r="B2294">
        <v>24358304</v>
      </c>
      <c r="C2294" s="1">
        <v>42536</v>
      </c>
      <c r="D2294" t="s">
        <v>24</v>
      </c>
      <c r="E2294" t="str">
        <f>VLOOKUP(TRIM(D2294), Catalogo_gestiones!$A:$B, 2, FALSE)</f>
        <v>S</v>
      </c>
    </row>
    <row r="2295" spans="1:5" x14ac:dyDescent="0.25">
      <c r="A2295">
        <v>8188778</v>
      </c>
      <c r="B2295">
        <v>24359949</v>
      </c>
      <c r="C2295" s="1">
        <v>42536</v>
      </c>
      <c r="D2295" t="s">
        <v>25</v>
      </c>
      <c r="E2295" t="str">
        <f>VLOOKUP(TRIM(D2295), Catalogo_gestiones!$A:$B, 2, FALSE)</f>
        <v>N</v>
      </c>
    </row>
    <row r="2296" spans="1:5" x14ac:dyDescent="0.25">
      <c r="A2296">
        <v>8188922</v>
      </c>
      <c r="B2296">
        <v>25276234</v>
      </c>
      <c r="C2296" s="1">
        <v>42536</v>
      </c>
      <c r="D2296" t="s">
        <v>26</v>
      </c>
      <c r="E2296" t="str">
        <f>VLOOKUP(TRIM(D2296), Catalogo_gestiones!$A:$B, 2, FALSE)</f>
        <v>N</v>
      </c>
    </row>
    <row r="2297" spans="1:5" x14ac:dyDescent="0.25">
      <c r="A2297">
        <v>8188922</v>
      </c>
      <c r="B2297">
        <v>25278013</v>
      </c>
      <c r="C2297" s="1">
        <v>42536</v>
      </c>
      <c r="D2297" t="s">
        <v>27</v>
      </c>
      <c r="E2297" t="str">
        <f>VLOOKUP(TRIM(D2297), Catalogo_gestiones!$A:$B, 2, FALSE)</f>
        <v>S</v>
      </c>
    </row>
    <row r="2298" spans="1:5" x14ac:dyDescent="0.25">
      <c r="A2298">
        <v>8188922</v>
      </c>
      <c r="B2298">
        <v>25291355</v>
      </c>
      <c r="C2298" s="1">
        <v>42536</v>
      </c>
      <c r="D2298" t="s">
        <v>28</v>
      </c>
      <c r="E2298" t="str">
        <f>VLOOKUP(TRIM(D2298), Catalogo_gestiones!$A:$B, 2, FALSE)</f>
        <v>N</v>
      </c>
    </row>
    <row r="2299" spans="1:5" x14ac:dyDescent="0.25">
      <c r="A2299">
        <v>8188922</v>
      </c>
      <c r="B2299">
        <v>26207742</v>
      </c>
      <c r="C2299" s="1">
        <v>42536</v>
      </c>
      <c r="D2299" t="s">
        <v>24</v>
      </c>
      <c r="E2299" t="str">
        <f>VLOOKUP(TRIM(D2299), Catalogo_gestiones!$A:$B, 2, FALSE)</f>
        <v>S</v>
      </c>
    </row>
    <row r="2300" spans="1:5" x14ac:dyDescent="0.25">
      <c r="A2300">
        <v>8241775</v>
      </c>
      <c r="B2300">
        <v>25340462</v>
      </c>
      <c r="C2300" s="1">
        <v>42536</v>
      </c>
      <c r="D2300" t="s">
        <v>25</v>
      </c>
      <c r="E2300" t="str">
        <f>VLOOKUP(TRIM(D2300), Catalogo_gestiones!$A:$B, 2, FALSE)</f>
        <v>N</v>
      </c>
    </row>
    <row r="2301" spans="1:5" x14ac:dyDescent="0.25">
      <c r="A2301">
        <v>8241793</v>
      </c>
      <c r="B2301">
        <v>25338590</v>
      </c>
      <c r="C2301" s="1">
        <v>42536</v>
      </c>
      <c r="D2301" t="s">
        <v>26</v>
      </c>
      <c r="E2301" t="str">
        <f>VLOOKUP(TRIM(D2301), Catalogo_gestiones!$A:$B, 2, FALSE)</f>
        <v>N</v>
      </c>
    </row>
    <row r="2302" spans="1:5" x14ac:dyDescent="0.25">
      <c r="A2302">
        <v>8241793</v>
      </c>
      <c r="B2302">
        <v>27398392</v>
      </c>
      <c r="C2302" s="1">
        <v>42536</v>
      </c>
      <c r="D2302" t="s">
        <v>27</v>
      </c>
      <c r="E2302" t="str">
        <f>VLOOKUP(TRIM(D2302), Catalogo_gestiones!$A:$B, 2, FALSE)</f>
        <v>S</v>
      </c>
    </row>
    <row r="2303" spans="1:5" x14ac:dyDescent="0.25">
      <c r="A2303">
        <v>8250710</v>
      </c>
      <c r="B2303">
        <v>27049625</v>
      </c>
      <c r="C2303" s="1">
        <v>42536</v>
      </c>
      <c r="D2303" t="s">
        <v>28</v>
      </c>
      <c r="E2303" t="str">
        <f>VLOOKUP(TRIM(D2303), Catalogo_gestiones!$A:$B, 2, FALSE)</f>
        <v>N</v>
      </c>
    </row>
    <row r="2304" spans="1:5" x14ac:dyDescent="0.25">
      <c r="A2304">
        <v>8250963</v>
      </c>
      <c r="B2304">
        <v>27064250</v>
      </c>
      <c r="C2304" s="1">
        <v>42536</v>
      </c>
      <c r="D2304" t="s">
        <v>24</v>
      </c>
      <c r="E2304" t="str">
        <f>VLOOKUP(TRIM(D2304), Catalogo_gestiones!$A:$B, 2, FALSE)</f>
        <v>S</v>
      </c>
    </row>
    <row r="2305" spans="1:5" x14ac:dyDescent="0.25">
      <c r="A2305">
        <v>8251019</v>
      </c>
      <c r="B2305">
        <v>23719460</v>
      </c>
      <c r="C2305" s="1">
        <v>42536</v>
      </c>
      <c r="D2305" t="s">
        <v>25</v>
      </c>
      <c r="E2305" t="str">
        <f>VLOOKUP(TRIM(D2305), Catalogo_gestiones!$A:$B, 2, FALSE)</f>
        <v>N</v>
      </c>
    </row>
    <row r="2306" spans="1:5" x14ac:dyDescent="0.25">
      <c r="A2306">
        <v>8251019</v>
      </c>
      <c r="B2306">
        <v>25290944</v>
      </c>
      <c r="C2306" s="1">
        <v>42536</v>
      </c>
      <c r="D2306" t="s">
        <v>26</v>
      </c>
      <c r="E2306" t="str">
        <f>VLOOKUP(TRIM(D2306), Catalogo_gestiones!$A:$B, 2, FALSE)</f>
        <v>N</v>
      </c>
    </row>
    <row r="2307" spans="1:5" x14ac:dyDescent="0.25">
      <c r="A2307">
        <v>8251177</v>
      </c>
      <c r="B2307">
        <v>21128914</v>
      </c>
      <c r="C2307" s="1">
        <v>42536</v>
      </c>
      <c r="D2307" t="s">
        <v>27</v>
      </c>
      <c r="E2307" t="str">
        <f>VLOOKUP(TRIM(D2307), Catalogo_gestiones!$A:$B, 2, FALSE)</f>
        <v>S</v>
      </c>
    </row>
    <row r="2308" spans="1:5" x14ac:dyDescent="0.25">
      <c r="A2308">
        <v>8251177</v>
      </c>
      <c r="B2308">
        <v>21131643</v>
      </c>
      <c r="C2308" s="1">
        <v>42536</v>
      </c>
      <c r="D2308" t="s">
        <v>28</v>
      </c>
      <c r="E2308" t="str">
        <f>VLOOKUP(TRIM(D2308), Catalogo_gestiones!$A:$B, 2, FALSE)</f>
        <v>N</v>
      </c>
    </row>
    <row r="2309" spans="1:5" x14ac:dyDescent="0.25">
      <c r="A2309">
        <v>8259541</v>
      </c>
      <c r="B2309">
        <v>25529977</v>
      </c>
      <c r="C2309" s="1">
        <v>42536</v>
      </c>
      <c r="D2309" t="s">
        <v>30</v>
      </c>
      <c r="E2309" t="str">
        <f>VLOOKUP(TRIM(D2309), Catalogo_gestiones!$A:$B, 2, FALSE)</f>
        <v>S</v>
      </c>
    </row>
    <row r="2310" spans="1:5" x14ac:dyDescent="0.25">
      <c r="A2310">
        <v>8259637</v>
      </c>
      <c r="B2310">
        <v>22944995</v>
      </c>
      <c r="C2310" s="1">
        <v>42536</v>
      </c>
      <c r="D2310" t="s">
        <v>24</v>
      </c>
      <c r="E2310" t="str">
        <f>VLOOKUP(TRIM(D2310), Catalogo_gestiones!$A:$B, 2, FALSE)</f>
        <v>S</v>
      </c>
    </row>
    <row r="2311" spans="1:5" x14ac:dyDescent="0.25">
      <c r="A2311">
        <v>8259892</v>
      </c>
      <c r="B2311">
        <v>27130647</v>
      </c>
      <c r="C2311" s="1">
        <v>42536</v>
      </c>
      <c r="D2311" t="s">
        <v>25</v>
      </c>
      <c r="E2311" t="str">
        <f>VLOOKUP(TRIM(D2311), Catalogo_gestiones!$A:$B, 2, FALSE)</f>
        <v>N</v>
      </c>
    </row>
    <row r="2312" spans="1:5" x14ac:dyDescent="0.25">
      <c r="A2312">
        <v>8259910</v>
      </c>
      <c r="B2312">
        <v>25711831</v>
      </c>
      <c r="C2312" s="1">
        <v>42536</v>
      </c>
      <c r="D2312" t="s">
        <v>26</v>
      </c>
      <c r="E2312" t="str">
        <f>VLOOKUP(TRIM(D2312), Catalogo_gestiones!$A:$B, 2, FALSE)</f>
        <v>N</v>
      </c>
    </row>
    <row r="2313" spans="1:5" x14ac:dyDescent="0.25">
      <c r="A2313">
        <v>8259919</v>
      </c>
      <c r="B2313">
        <v>22073982</v>
      </c>
      <c r="C2313" s="1">
        <v>42536</v>
      </c>
      <c r="D2313" t="s">
        <v>27</v>
      </c>
      <c r="E2313" t="str">
        <f>VLOOKUP(TRIM(D2313), Catalogo_gestiones!$A:$B, 2, FALSE)</f>
        <v>S</v>
      </c>
    </row>
    <row r="2314" spans="1:5" x14ac:dyDescent="0.25">
      <c r="A2314">
        <v>8260027</v>
      </c>
      <c r="B2314">
        <v>24186163</v>
      </c>
      <c r="C2314" s="1">
        <v>42536</v>
      </c>
      <c r="D2314" t="s">
        <v>28</v>
      </c>
      <c r="E2314" t="str">
        <f>VLOOKUP(TRIM(D2314), Catalogo_gestiones!$A:$B, 2, FALSE)</f>
        <v>N</v>
      </c>
    </row>
    <row r="2315" spans="1:5" x14ac:dyDescent="0.25">
      <c r="A2315">
        <v>8260069</v>
      </c>
      <c r="B2315">
        <v>25090532</v>
      </c>
      <c r="C2315" s="1">
        <v>42536</v>
      </c>
      <c r="D2315" t="s">
        <v>24</v>
      </c>
      <c r="E2315" t="str">
        <f>VLOOKUP(TRIM(D2315), Catalogo_gestiones!$A:$B, 2, FALSE)</f>
        <v>S</v>
      </c>
    </row>
    <row r="2316" spans="1:5" x14ac:dyDescent="0.25">
      <c r="A2316">
        <v>8260078</v>
      </c>
      <c r="B2316">
        <v>21721963</v>
      </c>
      <c r="C2316" s="1">
        <v>42536</v>
      </c>
      <c r="D2316" t="s">
        <v>25</v>
      </c>
      <c r="E2316" t="str">
        <f>VLOOKUP(TRIM(D2316), Catalogo_gestiones!$A:$B, 2, FALSE)</f>
        <v>N</v>
      </c>
    </row>
    <row r="2317" spans="1:5" x14ac:dyDescent="0.25">
      <c r="A2317">
        <v>8260078</v>
      </c>
      <c r="B2317">
        <v>21777819</v>
      </c>
      <c r="C2317" s="1">
        <v>42534</v>
      </c>
      <c r="D2317" t="s">
        <v>26</v>
      </c>
      <c r="E2317" t="str">
        <f>VLOOKUP(TRIM(D2317), Catalogo_gestiones!$A:$B, 2, FALSE)</f>
        <v>N</v>
      </c>
    </row>
    <row r="2318" spans="1:5" x14ac:dyDescent="0.25">
      <c r="A2318">
        <v>8260160</v>
      </c>
      <c r="B2318">
        <v>27607686</v>
      </c>
      <c r="C2318" s="1">
        <v>42536</v>
      </c>
      <c r="D2318" t="s">
        <v>27</v>
      </c>
      <c r="E2318" t="str">
        <f>VLOOKUP(TRIM(D2318), Catalogo_gestiones!$A:$B, 2, FALSE)</f>
        <v>S</v>
      </c>
    </row>
    <row r="2319" spans="1:5" x14ac:dyDescent="0.25">
      <c r="A2319">
        <v>8260578</v>
      </c>
      <c r="B2319">
        <v>27404616</v>
      </c>
      <c r="C2319" s="1">
        <v>42536</v>
      </c>
      <c r="D2319" t="s">
        <v>28</v>
      </c>
      <c r="E2319" t="str">
        <f>VLOOKUP(TRIM(D2319), Catalogo_gestiones!$A:$B, 2, FALSE)</f>
        <v>N</v>
      </c>
    </row>
    <row r="2320" spans="1:5" x14ac:dyDescent="0.25">
      <c r="A2320">
        <v>8260654</v>
      </c>
      <c r="B2320">
        <v>25058357</v>
      </c>
      <c r="C2320" s="1">
        <v>42536</v>
      </c>
      <c r="D2320" t="s">
        <v>24</v>
      </c>
      <c r="E2320" t="str">
        <f>VLOOKUP(TRIM(D2320), Catalogo_gestiones!$A:$B, 2, FALSE)</f>
        <v>S</v>
      </c>
    </row>
    <row r="2321" spans="1:5" x14ac:dyDescent="0.25">
      <c r="A2321">
        <v>8260654</v>
      </c>
      <c r="B2321">
        <v>25097727</v>
      </c>
      <c r="C2321" s="1">
        <v>42536</v>
      </c>
      <c r="D2321" t="s">
        <v>25</v>
      </c>
      <c r="E2321" t="str">
        <f>VLOOKUP(TRIM(D2321), Catalogo_gestiones!$A:$B, 2, FALSE)</f>
        <v>N</v>
      </c>
    </row>
    <row r="2322" spans="1:5" x14ac:dyDescent="0.25">
      <c r="A2322">
        <v>8260684</v>
      </c>
      <c r="B2322">
        <v>25807487</v>
      </c>
      <c r="C2322" s="1">
        <v>42536</v>
      </c>
      <c r="D2322" t="s">
        <v>26</v>
      </c>
      <c r="E2322" t="str">
        <f>VLOOKUP(TRIM(D2322), Catalogo_gestiones!$A:$B, 2, FALSE)</f>
        <v>N</v>
      </c>
    </row>
    <row r="2323" spans="1:5" x14ac:dyDescent="0.25">
      <c r="A2323">
        <v>8260684</v>
      </c>
      <c r="B2323">
        <v>26368969</v>
      </c>
      <c r="C2323" s="1">
        <v>42536</v>
      </c>
      <c r="D2323" t="s">
        <v>27</v>
      </c>
      <c r="E2323" t="str">
        <f>VLOOKUP(TRIM(D2323), Catalogo_gestiones!$A:$B, 2, FALSE)</f>
        <v>S</v>
      </c>
    </row>
    <row r="2324" spans="1:5" x14ac:dyDescent="0.25">
      <c r="A2324">
        <v>8260684</v>
      </c>
      <c r="B2324">
        <v>26369715</v>
      </c>
      <c r="C2324" s="1">
        <v>42536</v>
      </c>
      <c r="D2324" t="s">
        <v>28</v>
      </c>
      <c r="E2324" t="str">
        <f>VLOOKUP(TRIM(D2324), Catalogo_gestiones!$A:$B, 2, FALSE)</f>
        <v>N</v>
      </c>
    </row>
    <row r="2325" spans="1:5" x14ac:dyDescent="0.25">
      <c r="A2325">
        <v>8260684</v>
      </c>
      <c r="B2325">
        <v>27853647</v>
      </c>
      <c r="C2325" s="1">
        <v>42536</v>
      </c>
      <c r="D2325" t="s">
        <v>30</v>
      </c>
      <c r="E2325" t="str">
        <f>VLOOKUP(TRIM(D2325), Catalogo_gestiones!$A:$B, 2, FALSE)</f>
        <v>S</v>
      </c>
    </row>
    <row r="2326" spans="1:5" x14ac:dyDescent="0.25">
      <c r="A2326">
        <v>8260719</v>
      </c>
      <c r="B2326">
        <v>20150113</v>
      </c>
      <c r="C2326" s="1">
        <v>42536</v>
      </c>
      <c r="D2326" t="s">
        <v>24</v>
      </c>
      <c r="E2326" t="str">
        <f>VLOOKUP(TRIM(D2326), Catalogo_gestiones!$A:$B, 2, FALSE)</f>
        <v>S</v>
      </c>
    </row>
    <row r="2327" spans="1:5" x14ac:dyDescent="0.25">
      <c r="A2327">
        <v>8260923</v>
      </c>
      <c r="B2327">
        <v>23139966</v>
      </c>
      <c r="C2327" s="1">
        <v>42536</v>
      </c>
      <c r="D2327" t="s">
        <v>25</v>
      </c>
      <c r="E2327" t="str">
        <f>VLOOKUP(TRIM(D2327), Catalogo_gestiones!$A:$B, 2, FALSE)</f>
        <v>N</v>
      </c>
    </row>
    <row r="2328" spans="1:5" x14ac:dyDescent="0.25">
      <c r="A2328">
        <v>8260923</v>
      </c>
      <c r="B2328">
        <v>23216432</v>
      </c>
      <c r="C2328" s="1">
        <v>42536</v>
      </c>
      <c r="D2328" t="s">
        <v>26</v>
      </c>
      <c r="E2328" t="str">
        <f>VLOOKUP(TRIM(D2328), Catalogo_gestiones!$A:$B, 2, FALSE)</f>
        <v>N</v>
      </c>
    </row>
    <row r="2329" spans="1:5" x14ac:dyDescent="0.25">
      <c r="A2329">
        <v>8261115</v>
      </c>
      <c r="B2329">
        <v>21710750</v>
      </c>
      <c r="C2329" s="1">
        <v>42536</v>
      </c>
      <c r="D2329" t="s">
        <v>27</v>
      </c>
      <c r="E2329" t="str">
        <f>VLOOKUP(TRIM(D2329), Catalogo_gestiones!$A:$B, 2, FALSE)</f>
        <v>S</v>
      </c>
    </row>
    <row r="2330" spans="1:5" x14ac:dyDescent="0.25">
      <c r="A2330">
        <v>8261115</v>
      </c>
      <c r="B2330">
        <v>25119832</v>
      </c>
      <c r="C2330" s="1">
        <v>42536</v>
      </c>
      <c r="D2330" t="s">
        <v>28</v>
      </c>
      <c r="E2330" t="str">
        <f>VLOOKUP(TRIM(D2330), Catalogo_gestiones!$A:$B, 2, FALSE)</f>
        <v>N</v>
      </c>
    </row>
    <row r="2331" spans="1:5" x14ac:dyDescent="0.25">
      <c r="A2331">
        <v>8261154</v>
      </c>
      <c r="B2331">
        <v>14966446</v>
      </c>
      <c r="C2331" s="1">
        <v>42536</v>
      </c>
      <c r="D2331" t="s">
        <v>24</v>
      </c>
      <c r="E2331" t="str">
        <f>VLOOKUP(TRIM(D2331), Catalogo_gestiones!$A:$B, 2, FALSE)</f>
        <v>S</v>
      </c>
    </row>
    <row r="2332" spans="1:5" x14ac:dyDescent="0.25">
      <c r="A2332">
        <v>8261154</v>
      </c>
      <c r="B2332">
        <v>27689534</v>
      </c>
      <c r="C2332" s="1">
        <v>42536</v>
      </c>
      <c r="D2332" t="s">
        <v>25</v>
      </c>
      <c r="E2332" t="str">
        <f>VLOOKUP(TRIM(D2332), Catalogo_gestiones!$A:$B, 2, FALSE)</f>
        <v>N</v>
      </c>
    </row>
    <row r="2333" spans="1:5" x14ac:dyDescent="0.25">
      <c r="A2333">
        <v>8261236</v>
      </c>
      <c r="B2333">
        <v>9671809</v>
      </c>
      <c r="C2333" s="1">
        <v>42536</v>
      </c>
      <c r="D2333" t="s">
        <v>26</v>
      </c>
      <c r="E2333" t="str">
        <f>VLOOKUP(TRIM(D2333), Catalogo_gestiones!$A:$B, 2, FALSE)</f>
        <v>N</v>
      </c>
    </row>
    <row r="2334" spans="1:5" x14ac:dyDescent="0.25">
      <c r="A2334">
        <v>8261236</v>
      </c>
      <c r="B2334">
        <v>9845561</v>
      </c>
      <c r="C2334" s="1">
        <v>42536</v>
      </c>
      <c r="D2334" t="s">
        <v>27</v>
      </c>
      <c r="E2334" t="str">
        <f>VLOOKUP(TRIM(D2334), Catalogo_gestiones!$A:$B, 2, FALSE)</f>
        <v>S</v>
      </c>
    </row>
    <row r="2335" spans="1:5" x14ac:dyDescent="0.25">
      <c r="A2335">
        <v>8261363</v>
      </c>
      <c r="B2335">
        <v>26328981</v>
      </c>
      <c r="C2335" s="1">
        <v>42536</v>
      </c>
      <c r="D2335" t="s">
        <v>28</v>
      </c>
      <c r="E2335" t="str">
        <f>VLOOKUP(TRIM(D2335), Catalogo_gestiones!$A:$B, 2, FALSE)</f>
        <v>N</v>
      </c>
    </row>
    <row r="2336" spans="1:5" x14ac:dyDescent="0.25">
      <c r="A2336">
        <v>8261363</v>
      </c>
      <c r="B2336">
        <v>26330652</v>
      </c>
      <c r="C2336" s="1">
        <v>42536</v>
      </c>
      <c r="D2336" t="s">
        <v>24</v>
      </c>
      <c r="E2336" t="str">
        <f>VLOOKUP(TRIM(D2336), Catalogo_gestiones!$A:$B, 2, FALSE)</f>
        <v>S</v>
      </c>
    </row>
    <row r="2337" spans="1:5" x14ac:dyDescent="0.25">
      <c r="A2337">
        <v>8261433</v>
      </c>
      <c r="B2337">
        <v>23671002</v>
      </c>
      <c r="C2337" s="1">
        <v>42536</v>
      </c>
      <c r="D2337" t="s">
        <v>25</v>
      </c>
      <c r="E2337" t="str">
        <f>VLOOKUP(TRIM(D2337), Catalogo_gestiones!$A:$B, 2, FALSE)</f>
        <v>N</v>
      </c>
    </row>
    <row r="2338" spans="1:5" x14ac:dyDescent="0.25">
      <c r="A2338">
        <v>8261433</v>
      </c>
      <c r="B2338">
        <v>23672387</v>
      </c>
      <c r="C2338" s="1">
        <v>42536</v>
      </c>
      <c r="D2338" t="s">
        <v>26</v>
      </c>
      <c r="E2338" t="str">
        <f>VLOOKUP(TRIM(D2338), Catalogo_gestiones!$A:$B, 2, FALSE)</f>
        <v>N</v>
      </c>
    </row>
    <row r="2339" spans="1:5" x14ac:dyDescent="0.25">
      <c r="A2339">
        <v>8261433</v>
      </c>
      <c r="B2339">
        <v>25964110</v>
      </c>
      <c r="C2339" s="1">
        <v>42536</v>
      </c>
      <c r="D2339" t="s">
        <v>27</v>
      </c>
      <c r="E2339" t="str">
        <f>VLOOKUP(TRIM(D2339), Catalogo_gestiones!$A:$B, 2, FALSE)</f>
        <v>S</v>
      </c>
    </row>
    <row r="2340" spans="1:5" x14ac:dyDescent="0.25">
      <c r="A2340">
        <v>8261458</v>
      </c>
      <c r="B2340">
        <v>28570206</v>
      </c>
      <c r="C2340" s="1">
        <v>42529</v>
      </c>
      <c r="D2340" t="s">
        <v>28</v>
      </c>
      <c r="E2340" t="str">
        <f>VLOOKUP(TRIM(D2340), Catalogo_gestiones!$A:$B, 2, FALSE)</f>
        <v>N</v>
      </c>
    </row>
    <row r="2341" spans="1:5" x14ac:dyDescent="0.25">
      <c r="A2341">
        <v>8261475</v>
      </c>
      <c r="B2341">
        <v>26270252</v>
      </c>
      <c r="C2341" s="1">
        <v>42536</v>
      </c>
      <c r="D2341" t="s">
        <v>30</v>
      </c>
      <c r="E2341" t="str">
        <f>VLOOKUP(TRIM(D2341), Catalogo_gestiones!$A:$B, 2, FALSE)</f>
        <v>S</v>
      </c>
    </row>
    <row r="2342" spans="1:5" x14ac:dyDescent="0.25">
      <c r="A2342">
        <v>8261475</v>
      </c>
      <c r="B2342">
        <v>26272747</v>
      </c>
      <c r="C2342" s="1">
        <v>42536</v>
      </c>
      <c r="D2342" t="s">
        <v>24</v>
      </c>
      <c r="E2342" t="str">
        <f>VLOOKUP(TRIM(D2342), Catalogo_gestiones!$A:$B, 2, FALSE)</f>
        <v>S</v>
      </c>
    </row>
    <row r="2343" spans="1:5" x14ac:dyDescent="0.25">
      <c r="A2343">
        <v>8261570</v>
      </c>
      <c r="B2343">
        <v>25379962</v>
      </c>
      <c r="C2343" s="1">
        <v>42528</v>
      </c>
      <c r="D2343" t="s">
        <v>25</v>
      </c>
      <c r="E2343" t="str">
        <f>VLOOKUP(TRIM(D2343), Catalogo_gestiones!$A:$B, 2, FALSE)</f>
        <v>N</v>
      </c>
    </row>
    <row r="2344" spans="1:5" x14ac:dyDescent="0.25">
      <c r="A2344">
        <v>8261570</v>
      </c>
      <c r="B2344">
        <v>27224146</v>
      </c>
      <c r="C2344" s="1">
        <v>42536</v>
      </c>
      <c r="D2344" t="s">
        <v>26</v>
      </c>
      <c r="E2344" t="str">
        <f>VLOOKUP(TRIM(D2344), Catalogo_gestiones!$A:$B, 2, FALSE)</f>
        <v>N</v>
      </c>
    </row>
    <row r="2345" spans="1:5" x14ac:dyDescent="0.25">
      <c r="A2345">
        <v>8261611</v>
      </c>
      <c r="B2345">
        <v>26389240</v>
      </c>
      <c r="C2345" s="1">
        <v>42527</v>
      </c>
      <c r="D2345" t="s">
        <v>27</v>
      </c>
      <c r="E2345" t="str">
        <f>VLOOKUP(TRIM(D2345), Catalogo_gestiones!$A:$B, 2, FALSE)</f>
        <v>S</v>
      </c>
    </row>
    <row r="2346" spans="1:5" x14ac:dyDescent="0.25">
      <c r="A2346">
        <v>8261866</v>
      </c>
      <c r="B2346">
        <v>25129407</v>
      </c>
      <c r="C2346" s="1">
        <v>42536</v>
      </c>
      <c r="D2346" t="s">
        <v>28</v>
      </c>
      <c r="E2346" t="str">
        <f>VLOOKUP(TRIM(D2346), Catalogo_gestiones!$A:$B, 2, FALSE)</f>
        <v>N</v>
      </c>
    </row>
    <row r="2347" spans="1:5" x14ac:dyDescent="0.25">
      <c r="A2347">
        <v>8261875</v>
      </c>
      <c r="B2347">
        <v>25550442</v>
      </c>
      <c r="C2347" s="1">
        <v>42536</v>
      </c>
      <c r="D2347" t="s">
        <v>24</v>
      </c>
      <c r="E2347" t="str">
        <f>VLOOKUP(TRIM(D2347), Catalogo_gestiones!$A:$B, 2, FALSE)</f>
        <v>S</v>
      </c>
    </row>
    <row r="2348" spans="1:5" x14ac:dyDescent="0.25">
      <c r="A2348">
        <v>8261875</v>
      </c>
      <c r="B2348">
        <v>25550928</v>
      </c>
      <c r="C2348" s="1">
        <v>42536</v>
      </c>
      <c r="D2348" t="s">
        <v>25</v>
      </c>
      <c r="E2348" t="str">
        <f>VLOOKUP(TRIM(D2348), Catalogo_gestiones!$A:$B, 2, FALSE)</f>
        <v>N</v>
      </c>
    </row>
    <row r="2349" spans="1:5" x14ac:dyDescent="0.25">
      <c r="A2349">
        <v>8262049</v>
      </c>
      <c r="B2349">
        <v>25202484</v>
      </c>
      <c r="C2349" s="1">
        <v>42536</v>
      </c>
      <c r="D2349" t="s">
        <v>26</v>
      </c>
      <c r="E2349" t="str">
        <f>VLOOKUP(TRIM(D2349), Catalogo_gestiones!$A:$B, 2, FALSE)</f>
        <v>N</v>
      </c>
    </row>
    <row r="2350" spans="1:5" x14ac:dyDescent="0.25">
      <c r="A2350">
        <v>8262517</v>
      </c>
      <c r="B2350">
        <v>2978036</v>
      </c>
      <c r="C2350" s="1">
        <v>42536</v>
      </c>
      <c r="D2350" t="s">
        <v>27</v>
      </c>
      <c r="E2350" t="str">
        <f>VLOOKUP(TRIM(D2350), Catalogo_gestiones!$A:$B, 2, FALSE)</f>
        <v>S</v>
      </c>
    </row>
    <row r="2351" spans="1:5" x14ac:dyDescent="0.25">
      <c r="A2351">
        <v>8262593</v>
      </c>
      <c r="B2351">
        <v>27011869</v>
      </c>
      <c r="C2351" s="1">
        <v>42536</v>
      </c>
      <c r="D2351" t="s">
        <v>28</v>
      </c>
      <c r="E2351" t="str">
        <f>VLOOKUP(TRIM(D2351), Catalogo_gestiones!$A:$B, 2, FALSE)</f>
        <v>N</v>
      </c>
    </row>
    <row r="2352" spans="1:5" x14ac:dyDescent="0.25">
      <c r="A2352">
        <v>8262593</v>
      </c>
      <c r="B2352">
        <v>27012894</v>
      </c>
      <c r="C2352" s="1">
        <v>42536</v>
      </c>
      <c r="D2352" t="s">
        <v>24</v>
      </c>
      <c r="E2352" t="str">
        <f>VLOOKUP(TRIM(D2352), Catalogo_gestiones!$A:$B, 2, FALSE)</f>
        <v>S</v>
      </c>
    </row>
    <row r="2353" spans="1:5" x14ac:dyDescent="0.25">
      <c r="A2353">
        <v>8262993</v>
      </c>
      <c r="B2353">
        <v>21194113</v>
      </c>
      <c r="C2353" s="1">
        <v>42536</v>
      </c>
      <c r="D2353" t="s">
        <v>25</v>
      </c>
      <c r="E2353" t="str">
        <f>VLOOKUP(TRIM(D2353), Catalogo_gestiones!$A:$B, 2, FALSE)</f>
        <v>N</v>
      </c>
    </row>
    <row r="2354" spans="1:5" x14ac:dyDescent="0.25">
      <c r="A2354">
        <v>8263081</v>
      </c>
      <c r="B2354">
        <v>25950581</v>
      </c>
      <c r="C2354" s="1">
        <v>42536</v>
      </c>
      <c r="D2354" t="s">
        <v>26</v>
      </c>
      <c r="E2354" t="str">
        <f>VLOOKUP(TRIM(D2354), Catalogo_gestiones!$A:$B, 2, FALSE)</f>
        <v>N</v>
      </c>
    </row>
    <row r="2355" spans="1:5" x14ac:dyDescent="0.25">
      <c r="A2355">
        <v>8263349</v>
      </c>
      <c r="B2355">
        <v>21676069</v>
      </c>
      <c r="C2355" s="1">
        <v>42536</v>
      </c>
      <c r="D2355" t="s">
        <v>27</v>
      </c>
      <c r="E2355" t="str">
        <f>VLOOKUP(TRIM(D2355), Catalogo_gestiones!$A:$B, 2, FALSE)</f>
        <v>S</v>
      </c>
    </row>
    <row r="2356" spans="1:5" x14ac:dyDescent="0.25">
      <c r="A2356">
        <v>8263349</v>
      </c>
      <c r="B2356">
        <v>21676178</v>
      </c>
      <c r="C2356" s="1">
        <v>42536</v>
      </c>
      <c r="D2356" t="s">
        <v>28</v>
      </c>
      <c r="E2356" t="str">
        <f>VLOOKUP(TRIM(D2356), Catalogo_gestiones!$A:$B, 2, FALSE)</f>
        <v>N</v>
      </c>
    </row>
    <row r="2357" spans="1:5" x14ac:dyDescent="0.25">
      <c r="A2357">
        <v>8263349</v>
      </c>
      <c r="B2357">
        <v>21676329</v>
      </c>
      <c r="C2357" s="1">
        <v>42536</v>
      </c>
      <c r="D2357" t="s">
        <v>30</v>
      </c>
      <c r="E2357" t="str">
        <f>VLOOKUP(TRIM(D2357), Catalogo_gestiones!$A:$B, 2, FALSE)</f>
        <v>S</v>
      </c>
    </row>
    <row r="2358" spans="1:5" x14ac:dyDescent="0.25">
      <c r="A2358">
        <v>8263436</v>
      </c>
      <c r="B2358">
        <v>27653166</v>
      </c>
      <c r="C2358" s="1">
        <v>42536</v>
      </c>
      <c r="D2358" t="s">
        <v>24</v>
      </c>
      <c r="E2358" t="str">
        <f>VLOOKUP(TRIM(D2358), Catalogo_gestiones!$A:$B, 2, FALSE)</f>
        <v>S</v>
      </c>
    </row>
    <row r="2359" spans="1:5" x14ac:dyDescent="0.25">
      <c r="A2359">
        <v>8263516</v>
      </c>
      <c r="B2359">
        <v>15578869</v>
      </c>
      <c r="C2359" s="1">
        <v>42536</v>
      </c>
      <c r="D2359" t="s">
        <v>25</v>
      </c>
      <c r="E2359" t="str">
        <f>VLOOKUP(TRIM(D2359), Catalogo_gestiones!$A:$B, 2, FALSE)</f>
        <v>N</v>
      </c>
    </row>
    <row r="2360" spans="1:5" x14ac:dyDescent="0.25">
      <c r="A2360">
        <v>8263672</v>
      </c>
      <c r="B2360">
        <v>15202553</v>
      </c>
      <c r="C2360" s="1">
        <v>42536</v>
      </c>
      <c r="D2360" t="s">
        <v>26</v>
      </c>
      <c r="E2360" t="str">
        <f>VLOOKUP(TRIM(D2360), Catalogo_gestiones!$A:$B, 2, FALSE)</f>
        <v>N</v>
      </c>
    </row>
    <row r="2361" spans="1:5" x14ac:dyDescent="0.25">
      <c r="A2361">
        <v>8263672</v>
      </c>
      <c r="B2361">
        <v>20692962</v>
      </c>
      <c r="C2361" s="1">
        <v>42527</v>
      </c>
      <c r="D2361" t="s">
        <v>27</v>
      </c>
      <c r="E2361" t="str">
        <f>VLOOKUP(TRIM(D2361), Catalogo_gestiones!$A:$B, 2, FALSE)</f>
        <v>S</v>
      </c>
    </row>
    <row r="2362" spans="1:5" x14ac:dyDescent="0.25">
      <c r="A2362">
        <v>8263683</v>
      </c>
      <c r="B2362">
        <v>25096884</v>
      </c>
      <c r="C2362" s="1">
        <v>42536</v>
      </c>
      <c r="D2362" t="s">
        <v>28</v>
      </c>
      <c r="E2362" t="str">
        <f>VLOOKUP(TRIM(D2362), Catalogo_gestiones!$A:$B, 2, FALSE)</f>
        <v>N</v>
      </c>
    </row>
    <row r="2363" spans="1:5" x14ac:dyDescent="0.25">
      <c r="A2363">
        <v>8263683</v>
      </c>
      <c r="B2363">
        <v>25097831</v>
      </c>
      <c r="C2363" s="1">
        <v>42536</v>
      </c>
      <c r="D2363" t="s">
        <v>24</v>
      </c>
      <c r="E2363" t="str">
        <f>VLOOKUP(TRIM(D2363), Catalogo_gestiones!$A:$B, 2, FALSE)</f>
        <v>S</v>
      </c>
    </row>
    <row r="2364" spans="1:5" x14ac:dyDescent="0.25">
      <c r="A2364">
        <v>8290112</v>
      </c>
      <c r="B2364">
        <v>25098094</v>
      </c>
      <c r="C2364" s="1">
        <v>42536</v>
      </c>
      <c r="D2364" t="s">
        <v>25</v>
      </c>
      <c r="E2364" t="str">
        <f>VLOOKUP(TRIM(D2364), Catalogo_gestiones!$A:$B, 2, FALSE)</f>
        <v>N</v>
      </c>
    </row>
    <row r="2365" spans="1:5" x14ac:dyDescent="0.25">
      <c r="A2365">
        <v>8290119</v>
      </c>
      <c r="B2365">
        <v>25238974</v>
      </c>
      <c r="C2365" s="1">
        <v>42527</v>
      </c>
      <c r="D2365" t="s">
        <v>26</v>
      </c>
      <c r="E2365" t="str">
        <f>VLOOKUP(TRIM(D2365), Catalogo_gestiones!$A:$B, 2, FALSE)</f>
        <v>N</v>
      </c>
    </row>
    <row r="2366" spans="1:5" x14ac:dyDescent="0.25">
      <c r="A2366">
        <v>8290119</v>
      </c>
      <c r="B2366">
        <v>26623589</v>
      </c>
      <c r="C2366" s="1">
        <v>42527</v>
      </c>
      <c r="D2366" t="s">
        <v>27</v>
      </c>
      <c r="E2366" t="str">
        <f>VLOOKUP(TRIM(D2366), Catalogo_gestiones!$A:$B, 2, FALSE)</f>
        <v>S</v>
      </c>
    </row>
    <row r="2367" spans="1:5" x14ac:dyDescent="0.25">
      <c r="A2367">
        <v>8290119</v>
      </c>
      <c r="B2367">
        <v>27571222</v>
      </c>
      <c r="C2367" s="1">
        <v>42527</v>
      </c>
      <c r="D2367" t="s">
        <v>28</v>
      </c>
      <c r="E2367" t="str">
        <f>VLOOKUP(TRIM(D2367), Catalogo_gestiones!$A:$B, 2, FALSE)</f>
        <v>N</v>
      </c>
    </row>
    <row r="2368" spans="1:5" x14ac:dyDescent="0.25">
      <c r="A2368">
        <v>8290119</v>
      </c>
      <c r="B2368">
        <v>27817138</v>
      </c>
      <c r="C2368" s="1">
        <v>42527</v>
      </c>
      <c r="D2368" t="s">
        <v>24</v>
      </c>
      <c r="E2368" t="str">
        <f>VLOOKUP(TRIM(D2368), Catalogo_gestiones!$A:$B, 2, FALSE)</f>
        <v>S</v>
      </c>
    </row>
    <row r="2369" spans="1:5" x14ac:dyDescent="0.25">
      <c r="A2369">
        <v>8290233</v>
      </c>
      <c r="B2369">
        <v>4571968</v>
      </c>
      <c r="C2369" s="1">
        <v>42536</v>
      </c>
      <c r="D2369" t="s">
        <v>25</v>
      </c>
      <c r="E2369" t="str">
        <f>VLOOKUP(TRIM(D2369), Catalogo_gestiones!$A:$B, 2, FALSE)</f>
        <v>N</v>
      </c>
    </row>
    <row r="2370" spans="1:5" x14ac:dyDescent="0.25">
      <c r="A2370">
        <v>8290480</v>
      </c>
      <c r="B2370">
        <v>25411228</v>
      </c>
      <c r="C2370" s="1">
        <v>42536</v>
      </c>
      <c r="D2370" t="s">
        <v>26</v>
      </c>
      <c r="E2370" t="str">
        <f>VLOOKUP(TRIM(D2370), Catalogo_gestiones!$A:$B, 2, FALSE)</f>
        <v>N</v>
      </c>
    </row>
    <row r="2371" spans="1:5" x14ac:dyDescent="0.25">
      <c r="A2371">
        <v>8290480</v>
      </c>
      <c r="B2371">
        <v>28310909</v>
      </c>
      <c r="C2371" s="1">
        <v>42536</v>
      </c>
      <c r="D2371" t="s">
        <v>27</v>
      </c>
      <c r="E2371" t="str">
        <f>VLOOKUP(TRIM(D2371), Catalogo_gestiones!$A:$B, 2, FALSE)</f>
        <v>S</v>
      </c>
    </row>
    <row r="2372" spans="1:5" x14ac:dyDescent="0.25">
      <c r="A2372">
        <v>8290528</v>
      </c>
      <c r="B2372">
        <v>24781042</v>
      </c>
      <c r="C2372" s="1">
        <v>42536</v>
      </c>
      <c r="D2372" t="s">
        <v>28</v>
      </c>
      <c r="E2372" t="str">
        <f>VLOOKUP(TRIM(D2372), Catalogo_gestiones!$A:$B, 2, FALSE)</f>
        <v>N</v>
      </c>
    </row>
    <row r="2373" spans="1:5" x14ac:dyDescent="0.25">
      <c r="A2373">
        <v>8290528</v>
      </c>
      <c r="B2373">
        <v>24951190</v>
      </c>
      <c r="C2373" s="1">
        <v>42536</v>
      </c>
      <c r="D2373" t="s">
        <v>30</v>
      </c>
      <c r="E2373" t="str">
        <f>VLOOKUP(TRIM(D2373), Catalogo_gestiones!$A:$B, 2, FALSE)</f>
        <v>S</v>
      </c>
    </row>
    <row r="2374" spans="1:5" x14ac:dyDescent="0.25">
      <c r="A2374">
        <v>8290588</v>
      </c>
      <c r="B2374">
        <v>28040498</v>
      </c>
      <c r="C2374" s="1">
        <v>42536</v>
      </c>
      <c r="D2374" t="s">
        <v>24</v>
      </c>
      <c r="E2374" t="str">
        <f>VLOOKUP(TRIM(D2374), Catalogo_gestiones!$A:$B, 2, FALSE)</f>
        <v>S</v>
      </c>
    </row>
    <row r="2375" spans="1:5" x14ac:dyDescent="0.25">
      <c r="A2375">
        <v>8290811</v>
      </c>
      <c r="B2375">
        <v>21139953</v>
      </c>
      <c r="C2375" s="1">
        <v>42536</v>
      </c>
      <c r="D2375" t="s">
        <v>25</v>
      </c>
      <c r="E2375" t="str">
        <f>VLOOKUP(TRIM(D2375), Catalogo_gestiones!$A:$B, 2, FALSE)</f>
        <v>N</v>
      </c>
    </row>
    <row r="2376" spans="1:5" x14ac:dyDescent="0.25">
      <c r="A2376">
        <v>8290811</v>
      </c>
      <c r="B2376">
        <v>22295364</v>
      </c>
      <c r="C2376" s="1">
        <v>42534</v>
      </c>
      <c r="D2376" t="s">
        <v>26</v>
      </c>
      <c r="E2376" t="str">
        <f>VLOOKUP(TRIM(D2376), Catalogo_gestiones!$A:$B, 2, FALSE)</f>
        <v>N</v>
      </c>
    </row>
    <row r="2377" spans="1:5" x14ac:dyDescent="0.25">
      <c r="A2377">
        <v>8290882</v>
      </c>
      <c r="B2377">
        <v>23606029</v>
      </c>
      <c r="C2377" s="1">
        <v>42536</v>
      </c>
      <c r="D2377" t="s">
        <v>27</v>
      </c>
      <c r="E2377" t="str">
        <f>VLOOKUP(TRIM(D2377), Catalogo_gestiones!$A:$B, 2, FALSE)</f>
        <v>S</v>
      </c>
    </row>
    <row r="2378" spans="1:5" x14ac:dyDescent="0.25">
      <c r="A2378">
        <v>8290882</v>
      </c>
      <c r="B2378">
        <v>24187730</v>
      </c>
      <c r="C2378" s="1">
        <v>42536</v>
      </c>
      <c r="D2378" t="s">
        <v>28</v>
      </c>
      <c r="E2378" t="str">
        <f>VLOOKUP(TRIM(D2378), Catalogo_gestiones!$A:$B, 2, FALSE)</f>
        <v>N</v>
      </c>
    </row>
    <row r="2379" spans="1:5" x14ac:dyDescent="0.25">
      <c r="A2379">
        <v>8290902</v>
      </c>
      <c r="B2379">
        <v>23811559</v>
      </c>
      <c r="C2379" s="1">
        <v>42536</v>
      </c>
      <c r="D2379" t="s">
        <v>24</v>
      </c>
      <c r="E2379" t="str">
        <f>VLOOKUP(TRIM(D2379), Catalogo_gestiones!$A:$B, 2, FALSE)</f>
        <v>S</v>
      </c>
    </row>
    <row r="2380" spans="1:5" x14ac:dyDescent="0.25">
      <c r="A2380">
        <v>8291182</v>
      </c>
      <c r="B2380">
        <v>27917878</v>
      </c>
      <c r="C2380" s="1">
        <v>42536</v>
      </c>
      <c r="D2380" t="s">
        <v>25</v>
      </c>
      <c r="E2380" t="str">
        <f>VLOOKUP(TRIM(D2380), Catalogo_gestiones!$A:$B, 2, FALSE)</f>
        <v>N</v>
      </c>
    </row>
    <row r="2381" spans="1:5" x14ac:dyDescent="0.25">
      <c r="A2381">
        <v>8291274</v>
      </c>
      <c r="B2381">
        <v>22367717</v>
      </c>
      <c r="C2381" s="1">
        <v>42536</v>
      </c>
      <c r="D2381" t="s">
        <v>26</v>
      </c>
      <c r="E2381" t="str">
        <f>VLOOKUP(TRIM(D2381), Catalogo_gestiones!$A:$B, 2, FALSE)</f>
        <v>N</v>
      </c>
    </row>
    <row r="2382" spans="1:5" x14ac:dyDescent="0.25">
      <c r="A2382">
        <v>8291307</v>
      </c>
      <c r="B2382">
        <v>19789068</v>
      </c>
      <c r="C2382" s="1">
        <v>42536</v>
      </c>
      <c r="D2382" t="s">
        <v>27</v>
      </c>
      <c r="E2382" t="str">
        <f>VLOOKUP(TRIM(D2382), Catalogo_gestiones!$A:$B, 2, FALSE)</f>
        <v>S</v>
      </c>
    </row>
    <row r="2383" spans="1:5" x14ac:dyDescent="0.25">
      <c r="A2383">
        <v>8291401</v>
      </c>
      <c r="B2383">
        <v>26664011</v>
      </c>
      <c r="C2383" s="1">
        <v>42536</v>
      </c>
      <c r="D2383" t="s">
        <v>28</v>
      </c>
      <c r="E2383" t="str">
        <f>VLOOKUP(TRIM(D2383), Catalogo_gestiones!$A:$B, 2, FALSE)</f>
        <v>N</v>
      </c>
    </row>
    <row r="2384" spans="1:5" x14ac:dyDescent="0.25">
      <c r="A2384">
        <v>8291401</v>
      </c>
      <c r="B2384">
        <v>27049838</v>
      </c>
      <c r="C2384" s="1">
        <v>42536</v>
      </c>
      <c r="D2384" t="s">
        <v>24</v>
      </c>
      <c r="E2384" t="str">
        <f>VLOOKUP(TRIM(D2384), Catalogo_gestiones!$A:$B, 2, FALSE)</f>
        <v>S</v>
      </c>
    </row>
    <row r="2385" spans="1:5" x14ac:dyDescent="0.25">
      <c r="A2385">
        <v>8291401</v>
      </c>
      <c r="B2385">
        <v>27785613</v>
      </c>
      <c r="C2385" s="1">
        <v>42529</v>
      </c>
      <c r="D2385" t="s">
        <v>25</v>
      </c>
      <c r="E2385" t="str">
        <f>VLOOKUP(TRIM(D2385), Catalogo_gestiones!$A:$B, 2, FALSE)</f>
        <v>N</v>
      </c>
    </row>
    <row r="2386" spans="1:5" x14ac:dyDescent="0.25">
      <c r="A2386">
        <v>8291427</v>
      </c>
      <c r="B2386">
        <v>22621938</v>
      </c>
      <c r="C2386" s="1">
        <v>42536</v>
      </c>
      <c r="D2386" t="s">
        <v>26</v>
      </c>
      <c r="E2386" t="str">
        <f>VLOOKUP(TRIM(D2386), Catalogo_gestiones!$A:$B, 2, FALSE)</f>
        <v>N</v>
      </c>
    </row>
    <row r="2387" spans="1:5" x14ac:dyDescent="0.25">
      <c r="A2387">
        <v>8291467</v>
      </c>
      <c r="B2387">
        <v>27243058</v>
      </c>
      <c r="C2387" s="1">
        <v>42536</v>
      </c>
      <c r="D2387" t="s">
        <v>27</v>
      </c>
      <c r="E2387" t="str">
        <f>VLOOKUP(TRIM(D2387), Catalogo_gestiones!$A:$B, 2, FALSE)</f>
        <v>S</v>
      </c>
    </row>
    <row r="2388" spans="1:5" x14ac:dyDescent="0.25">
      <c r="A2388">
        <v>8291545</v>
      </c>
      <c r="B2388">
        <v>27047202</v>
      </c>
      <c r="C2388" s="1">
        <v>42536</v>
      </c>
      <c r="D2388" t="s">
        <v>28</v>
      </c>
      <c r="E2388" t="str">
        <f>VLOOKUP(TRIM(D2388), Catalogo_gestiones!$A:$B, 2, FALSE)</f>
        <v>N</v>
      </c>
    </row>
    <row r="2389" spans="1:5" x14ac:dyDescent="0.25">
      <c r="A2389">
        <v>8291631</v>
      </c>
      <c r="B2389">
        <v>25284857</v>
      </c>
      <c r="C2389" s="1">
        <v>42536</v>
      </c>
      <c r="D2389" t="s">
        <v>30</v>
      </c>
      <c r="E2389" t="str">
        <f>VLOOKUP(TRIM(D2389), Catalogo_gestiones!$A:$B, 2, FALSE)</f>
        <v>S</v>
      </c>
    </row>
    <row r="2390" spans="1:5" x14ac:dyDescent="0.25">
      <c r="A2390">
        <v>8291662</v>
      </c>
      <c r="B2390">
        <v>27245072</v>
      </c>
      <c r="C2390" s="1">
        <v>42536</v>
      </c>
      <c r="D2390" t="s">
        <v>24</v>
      </c>
      <c r="E2390" t="str">
        <f>VLOOKUP(TRIM(D2390), Catalogo_gestiones!$A:$B, 2, FALSE)</f>
        <v>S</v>
      </c>
    </row>
    <row r="2391" spans="1:5" x14ac:dyDescent="0.25">
      <c r="A2391">
        <v>8291666</v>
      </c>
      <c r="B2391">
        <v>25136314</v>
      </c>
      <c r="C2391" s="1">
        <v>42536</v>
      </c>
      <c r="D2391" t="s">
        <v>25</v>
      </c>
      <c r="E2391" t="str">
        <f>VLOOKUP(TRIM(D2391), Catalogo_gestiones!$A:$B, 2, FALSE)</f>
        <v>N</v>
      </c>
    </row>
    <row r="2392" spans="1:5" x14ac:dyDescent="0.25">
      <c r="A2392">
        <v>8291695</v>
      </c>
      <c r="B2392">
        <v>23721045</v>
      </c>
      <c r="C2392" s="1">
        <v>42536</v>
      </c>
      <c r="D2392" t="s">
        <v>26</v>
      </c>
      <c r="E2392" t="str">
        <f>VLOOKUP(TRIM(D2392), Catalogo_gestiones!$A:$B, 2, FALSE)</f>
        <v>N</v>
      </c>
    </row>
    <row r="2393" spans="1:5" x14ac:dyDescent="0.25">
      <c r="A2393">
        <v>8291734</v>
      </c>
      <c r="B2393">
        <v>26115306</v>
      </c>
      <c r="C2393" s="1">
        <v>42536</v>
      </c>
      <c r="D2393" t="s">
        <v>27</v>
      </c>
      <c r="E2393" t="str">
        <f>VLOOKUP(TRIM(D2393), Catalogo_gestiones!$A:$B, 2, FALSE)</f>
        <v>S</v>
      </c>
    </row>
    <row r="2394" spans="1:5" x14ac:dyDescent="0.25">
      <c r="A2394">
        <v>8291748</v>
      </c>
      <c r="B2394">
        <v>26162028</v>
      </c>
      <c r="C2394" s="1">
        <v>42536</v>
      </c>
      <c r="D2394" t="s">
        <v>28</v>
      </c>
      <c r="E2394" t="str">
        <f>VLOOKUP(TRIM(D2394), Catalogo_gestiones!$A:$B, 2, FALSE)</f>
        <v>N</v>
      </c>
    </row>
    <row r="2395" spans="1:5" x14ac:dyDescent="0.25">
      <c r="A2395">
        <v>8291785</v>
      </c>
      <c r="B2395">
        <v>22084852</v>
      </c>
      <c r="C2395" s="1">
        <v>42536</v>
      </c>
      <c r="D2395" t="s">
        <v>24</v>
      </c>
      <c r="E2395" t="str">
        <f>VLOOKUP(TRIM(D2395), Catalogo_gestiones!$A:$B, 2, FALSE)</f>
        <v>S</v>
      </c>
    </row>
    <row r="2396" spans="1:5" x14ac:dyDescent="0.25">
      <c r="A2396">
        <v>8291961</v>
      </c>
      <c r="B2396">
        <v>22494166</v>
      </c>
      <c r="C2396" s="1">
        <v>42536</v>
      </c>
      <c r="D2396" t="s">
        <v>25</v>
      </c>
      <c r="E2396" t="str">
        <f>VLOOKUP(TRIM(D2396), Catalogo_gestiones!$A:$B, 2, FALSE)</f>
        <v>N</v>
      </c>
    </row>
    <row r="2397" spans="1:5" x14ac:dyDescent="0.25">
      <c r="A2397">
        <v>8291961</v>
      </c>
      <c r="B2397">
        <v>24906889</v>
      </c>
      <c r="C2397" s="1">
        <v>42536</v>
      </c>
      <c r="D2397" t="s">
        <v>26</v>
      </c>
      <c r="E2397" t="str">
        <f>VLOOKUP(TRIM(D2397), Catalogo_gestiones!$A:$B, 2, FALSE)</f>
        <v>N</v>
      </c>
    </row>
    <row r="2398" spans="1:5" x14ac:dyDescent="0.25">
      <c r="A2398">
        <v>8292187</v>
      </c>
      <c r="B2398">
        <v>27077731</v>
      </c>
      <c r="C2398" s="1">
        <v>42536</v>
      </c>
      <c r="D2398" t="s">
        <v>27</v>
      </c>
      <c r="E2398" t="str">
        <f>VLOOKUP(TRIM(D2398), Catalogo_gestiones!$A:$B, 2, FALSE)</f>
        <v>S</v>
      </c>
    </row>
    <row r="2399" spans="1:5" x14ac:dyDescent="0.25">
      <c r="A2399">
        <v>8292187</v>
      </c>
      <c r="B2399">
        <v>27136580</v>
      </c>
      <c r="C2399" s="1">
        <v>42536</v>
      </c>
      <c r="D2399" t="s">
        <v>28</v>
      </c>
      <c r="E2399" t="str">
        <f>VLOOKUP(TRIM(D2399), Catalogo_gestiones!$A:$B, 2, FALSE)</f>
        <v>N</v>
      </c>
    </row>
    <row r="2400" spans="1:5" x14ac:dyDescent="0.25">
      <c r="A2400">
        <v>8292203</v>
      </c>
      <c r="B2400">
        <v>26723896</v>
      </c>
      <c r="C2400" s="1">
        <v>42536</v>
      </c>
      <c r="D2400" t="s">
        <v>24</v>
      </c>
      <c r="E2400" t="str">
        <f>VLOOKUP(TRIM(D2400), Catalogo_gestiones!$A:$B, 2, FALSE)</f>
        <v>S</v>
      </c>
    </row>
    <row r="2401" spans="1:5" x14ac:dyDescent="0.25">
      <c r="A2401">
        <v>8292203</v>
      </c>
      <c r="B2401">
        <v>26725887</v>
      </c>
      <c r="C2401" s="1">
        <v>42536</v>
      </c>
      <c r="D2401" t="s">
        <v>25</v>
      </c>
      <c r="E2401" t="str">
        <f>VLOOKUP(TRIM(D2401), Catalogo_gestiones!$A:$B, 2, FALSE)</f>
        <v>N</v>
      </c>
    </row>
    <row r="2402" spans="1:5" x14ac:dyDescent="0.25">
      <c r="A2402">
        <v>8292243</v>
      </c>
      <c r="B2402">
        <v>25479795</v>
      </c>
      <c r="C2402" s="1">
        <v>42536</v>
      </c>
      <c r="D2402" t="s">
        <v>26</v>
      </c>
      <c r="E2402" t="str">
        <f>VLOOKUP(TRIM(D2402), Catalogo_gestiones!$A:$B, 2, FALSE)</f>
        <v>N</v>
      </c>
    </row>
    <row r="2403" spans="1:5" x14ac:dyDescent="0.25">
      <c r="A2403">
        <v>8292285</v>
      </c>
      <c r="B2403">
        <v>21276240</v>
      </c>
      <c r="C2403" s="1">
        <v>42536</v>
      </c>
      <c r="D2403" t="s">
        <v>27</v>
      </c>
      <c r="E2403" t="str">
        <f>VLOOKUP(TRIM(D2403), Catalogo_gestiones!$A:$B, 2, FALSE)</f>
        <v>S</v>
      </c>
    </row>
    <row r="2404" spans="1:5" x14ac:dyDescent="0.25">
      <c r="A2404">
        <v>8292287</v>
      </c>
      <c r="B2404">
        <v>25270652</v>
      </c>
      <c r="C2404" s="1">
        <v>42536</v>
      </c>
      <c r="D2404" t="s">
        <v>28</v>
      </c>
      <c r="E2404" t="str">
        <f>VLOOKUP(TRIM(D2404), Catalogo_gestiones!$A:$B, 2, FALSE)</f>
        <v>N</v>
      </c>
    </row>
    <row r="2405" spans="1:5" x14ac:dyDescent="0.25">
      <c r="A2405">
        <v>8292341</v>
      </c>
      <c r="B2405">
        <v>22512363</v>
      </c>
      <c r="C2405" s="1">
        <v>42536</v>
      </c>
      <c r="D2405" t="s">
        <v>30</v>
      </c>
      <c r="E2405" t="str">
        <f>VLOOKUP(TRIM(D2405), Catalogo_gestiones!$A:$B, 2, FALSE)</f>
        <v>S</v>
      </c>
    </row>
    <row r="2406" spans="1:5" x14ac:dyDescent="0.25">
      <c r="A2406">
        <v>8292341</v>
      </c>
      <c r="B2406">
        <v>23583782</v>
      </c>
      <c r="C2406" s="1">
        <v>42536</v>
      </c>
      <c r="D2406" t="s">
        <v>24</v>
      </c>
      <c r="E2406" t="str">
        <f>VLOOKUP(TRIM(D2406), Catalogo_gestiones!$A:$B, 2, FALSE)</f>
        <v>S</v>
      </c>
    </row>
    <row r="2407" spans="1:5" x14ac:dyDescent="0.25">
      <c r="A2407">
        <v>8292460</v>
      </c>
      <c r="B2407">
        <v>26369115</v>
      </c>
      <c r="C2407" s="1">
        <v>42536</v>
      </c>
      <c r="D2407" t="s">
        <v>25</v>
      </c>
      <c r="E2407" t="str">
        <f>VLOOKUP(TRIM(D2407), Catalogo_gestiones!$A:$B, 2, FALSE)</f>
        <v>N</v>
      </c>
    </row>
    <row r="2408" spans="1:5" x14ac:dyDescent="0.25">
      <c r="A2408">
        <v>8292460</v>
      </c>
      <c r="B2408">
        <v>26370820</v>
      </c>
      <c r="C2408" s="1">
        <v>42536</v>
      </c>
      <c r="D2408" t="s">
        <v>26</v>
      </c>
      <c r="E2408" t="str">
        <f>VLOOKUP(TRIM(D2408), Catalogo_gestiones!$A:$B, 2, FALSE)</f>
        <v>N</v>
      </c>
    </row>
    <row r="2409" spans="1:5" x14ac:dyDescent="0.25">
      <c r="A2409">
        <v>8292560</v>
      </c>
      <c r="B2409">
        <v>21245444</v>
      </c>
      <c r="C2409" s="1">
        <v>42536</v>
      </c>
      <c r="D2409" t="s">
        <v>27</v>
      </c>
      <c r="E2409" t="str">
        <f>VLOOKUP(TRIM(D2409), Catalogo_gestiones!$A:$B, 2, FALSE)</f>
        <v>S</v>
      </c>
    </row>
    <row r="2410" spans="1:5" x14ac:dyDescent="0.25">
      <c r="A2410">
        <v>8292560</v>
      </c>
      <c r="B2410">
        <v>24257181</v>
      </c>
      <c r="C2410" s="1">
        <v>42536</v>
      </c>
      <c r="D2410" t="s">
        <v>28</v>
      </c>
      <c r="E2410" t="str">
        <f>VLOOKUP(TRIM(D2410), Catalogo_gestiones!$A:$B, 2, FALSE)</f>
        <v>N</v>
      </c>
    </row>
    <row r="2411" spans="1:5" x14ac:dyDescent="0.25">
      <c r="A2411">
        <v>8292688</v>
      </c>
      <c r="B2411">
        <v>21904033</v>
      </c>
      <c r="C2411" s="1">
        <v>42536</v>
      </c>
      <c r="D2411" t="s">
        <v>24</v>
      </c>
      <c r="E2411" t="str">
        <f>VLOOKUP(TRIM(D2411), Catalogo_gestiones!$A:$B, 2, FALSE)</f>
        <v>S</v>
      </c>
    </row>
    <row r="2412" spans="1:5" x14ac:dyDescent="0.25">
      <c r="A2412">
        <v>8292689</v>
      </c>
      <c r="B2412">
        <v>27077359</v>
      </c>
      <c r="C2412" s="1">
        <v>42536</v>
      </c>
      <c r="D2412" t="s">
        <v>25</v>
      </c>
      <c r="E2412" t="str">
        <f>VLOOKUP(TRIM(D2412), Catalogo_gestiones!$A:$B, 2, FALSE)</f>
        <v>N</v>
      </c>
    </row>
    <row r="2413" spans="1:5" x14ac:dyDescent="0.25">
      <c r="A2413">
        <v>8292740</v>
      </c>
      <c r="B2413">
        <v>25350877</v>
      </c>
      <c r="C2413" s="1">
        <v>42536</v>
      </c>
      <c r="D2413" t="s">
        <v>26</v>
      </c>
      <c r="E2413" t="str">
        <f>VLOOKUP(TRIM(D2413), Catalogo_gestiones!$A:$B, 2, FALSE)</f>
        <v>N</v>
      </c>
    </row>
    <row r="2414" spans="1:5" x14ac:dyDescent="0.25">
      <c r="A2414">
        <v>8292842</v>
      </c>
      <c r="B2414">
        <v>17344821</v>
      </c>
      <c r="C2414" s="1">
        <v>42536</v>
      </c>
      <c r="D2414" t="s">
        <v>27</v>
      </c>
      <c r="E2414" t="str">
        <f>VLOOKUP(TRIM(D2414), Catalogo_gestiones!$A:$B, 2, FALSE)</f>
        <v>S</v>
      </c>
    </row>
    <row r="2415" spans="1:5" x14ac:dyDescent="0.25">
      <c r="A2415">
        <v>8292855</v>
      </c>
      <c r="B2415">
        <v>16975449</v>
      </c>
      <c r="C2415" s="1">
        <v>42536</v>
      </c>
      <c r="D2415" t="s">
        <v>28</v>
      </c>
      <c r="E2415" t="str">
        <f>VLOOKUP(TRIM(D2415), Catalogo_gestiones!$A:$B, 2, FALSE)</f>
        <v>N</v>
      </c>
    </row>
    <row r="2416" spans="1:5" x14ac:dyDescent="0.25">
      <c r="A2416">
        <v>8292862</v>
      </c>
      <c r="B2416">
        <v>19916764</v>
      </c>
      <c r="C2416" s="1">
        <v>42536</v>
      </c>
      <c r="D2416" t="s">
        <v>24</v>
      </c>
      <c r="E2416" t="str">
        <f>VLOOKUP(TRIM(D2416), Catalogo_gestiones!$A:$B, 2, FALSE)</f>
        <v>S</v>
      </c>
    </row>
    <row r="2417" spans="1:5" x14ac:dyDescent="0.25">
      <c r="A2417">
        <v>8292896</v>
      </c>
      <c r="B2417">
        <v>26273017</v>
      </c>
      <c r="C2417" s="1">
        <v>42536</v>
      </c>
      <c r="D2417" t="s">
        <v>25</v>
      </c>
      <c r="E2417" t="str">
        <f>VLOOKUP(TRIM(D2417), Catalogo_gestiones!$A:$B, 2, FALSE)</f>
        <v>N</v>
      </c>
    </row>
    <row r="2418" spans="1:5" x14ac:dyDescent="0.25">
      <c r="A2418">
        <v>8292902</v>
      </c>
      <c r="B2418">
        <v>27040978</v>
      </c>
      <c r="C2418" s="1">
        <v>42536</v>
      </c>
      <c r="D2418" t="s">
        <v>26</v>
      </c>
      <c r="E2418" t="str">
        <f>VLOOKUP(TRIM(D2418), Catalogo_gestiones!$A:$B, 2, FALSE)</f>
        <v>N</v>
      </c>
    </row>
    <row r="2419" spans="1:5" x14ac:dyDescent="0.25">
      <c r="A2419">
        <v>8292978</v>
      </c>
      <c r="B2419">
        <v>26491653</v>
      </c>
      <c r="C2419" s="1">
        <v>42536</v>
      </c>
      <c r="D2419" t="s">
        <v>27</v>
      </c>
      <c r="E2419" t="str">
        <f>VLOOKUP(TRIM(D2419), Catalogo_gestiones!$A:$B, 2, FALSE)</f>
        <v>S</v>
      </c>
    </row>
    <row r="2420" spans="1:5" x14ac:dyDescent="0.25">
      <c r="A2420">
        <v>8293153</v>
      </c>
      <c r="B2420">
        <v>28586833</v>
      </c>
      <c r="C2420" s="1">
        <v>42529</v>
      </c>
      <c r="D2420" t="s">
        <v>28</v>
      </c>
      <c r="E2420" t="str">
        <f>VLOOKUP(TRIM(D2420), Catalogo_gestiones!$A:$B, 2, FALSE)</f>
        <v>N</v>
      </c>
    </row>
    <row r="2421" spans="1:5" x14ac:dyDescent="0.25">
      <c r="A2421">
        <v>8293228</v>
      </c>
      <c r="B2421">
        <v>21674961</v>
      </c>
      <c r="C2421" s="1">
        <v>42536</v>
      </c>
      <c r="D2421" t="s">
        <v>30</v>
      </c>
      <c r="E2421" t="str">
        <f>VLOOKUP(TRIM(D2421), Catalogo_gestiones!$A:$B, 2, FALSE)</f>
        <v>S</v>
      </c>
    </row>
    <row r="2422" spans="1:5" x14ac:dyDescent="0.25">
      <c r="A2422">
        <v>8293228</v>
      </c>
      <c r="B2422">
        <v>25179756</v>
      </c>
      <c r="C2422" s="1">
        <v>42536</v>
      </c>
      <c r="D2422" t="s">
        <v>24</v>
      </c>
      <c r="E2422" t="str">
        <f>VLOOKUP(TRIM(D2422), Catalogo_gestiones!$A:$B, 2, FALSE)</f>
        <v>S</v>
      </c>
    </row>
    <row r="2423" spans="1:5" x14ac:dyDescent="0.25">
      <c r="A2423">
        <v>8293228</v>
      </c>
      <c r="B2423">
        <v>27864553</v>
      </c>
      <c r="C2423" s="1">
        <v>42536</v>
      </c>
      <c r="D2423" t="s">
        <v>25</v>
      </c>
      <c r="E2423" t="str">
        <f>VLOOKUP(TRIM(D2423), Catalogo_gestiones!$A:$B, 2, FALSE)</f>
        <v>N</v>
      </c>
    </row>
    <row r="2424" spans="1:5" x14ac:dyDescent="0.25">
      <c r="A2424">
        <v>8293235</v>
      </c>
      <c r="B2424">
        <v>26262840</v>
      </c>
      <c r="C2424" s="1">
        <v>42536</v>
      </c>
      <c r="D2424" t="s">
        <v>26</v>
      </c>
      <c r="E2424" t="str">
        <f>VLOOKUP(TRIM(D2424), Catalogo_gestiones!$A:$B, 2, FALSE)</f>
        <v>N</v>
      </c>
    </row>
    <row r="2425" spans="1:5" x14ac:dyDescent="0.25">
      <c r="A2425">
        <v>8293244</v>
      </c>
      <c r="B2425">
        <v>19738680</v>
      </c>
      <c r="C2425" s="1">
        <v>42528</v>
      </c>
      <c r="D2425" t="s">
        <v>27</v>
      </c>
      <c r="E2425" t="str">
        <f>VLOOKUP(TRIM(D2425), Catalogo_gestiones!$A:$B, 2, FALSE)</f>
        <v>S</v>
      </c>
    </row>
    <row r="2426" spans="1:5" x14ac:dyDescent="0.25">
      <c r="A2426">
        <v>8293244</v>
      </c>
      <c r="B2426">
        <v>21786213</v>
      </c>
      <c r="C2426" s="1">
        <v>42536</v>
      </c>
      <c r="D2426" t="s">
        <v>28</v>
      </c>
      <c r="E2426" t="str">
        <f>VLOOKUP(TRIM(D2426), Catalogo_gestiones!$A:$B, 2, FALSE)</f>
        <v>N</v>
      </c>
    </row>
    <row r="2427" spans="1:5" x14ac:dyDescent="0.25">
      <c r="A2427">
        <v>8293299</v>
      </c>
      <c r="B2427">
        <v>27039509</v>
      </c>
      <c r="C2427" s="1">
        <v>42529</v>
      </c>
      <c r="D2427" t="s">
        <v>24</v>
      </c>
      <c r="E2427" t="str">
        <f>VLOOKUP(TRIM(D2427), Catalogo_gestiones!$A:$B, 2, FALSE)</f>
        <v>S</v>
      </c>
    </row>
    <row r="2428" spans="1:5" x14ac:dyDescent="0.25">
      <c r="A2428">
        <v>8293299</v>
      </c>
      <c r="B2428">
        <v>27969594</v>
      </c>
      <c r="C2428" s="1">
        <v>42536</v>
      </c>
      <c r="D2428" t="s">
        <v>25</v>
      </c>
      <c r="E2428" t="str">
        <f>VLOOKUP(TRIM(D2428), Catalogo_gestiones!$A:$B, 2, FALSE)</f>
        <v>N</v>
      </c>
    </row>
    <row r="2429" spans="1:5" x14ac:dyDescent="0.25">
      <c r="A2429">
        <v>8293546</v>
      </c>
      <c r="B2429">
        <v>21634560</v>
      </c>
      <c r="C2429" s="1">
        <v>42536</v>
      </c>
      <c r="D2429" t="s">
        <v>26</v>
      </c>
      <c r="E2429" t="str">
        <f>VLOOKUP(TRIM(D2429), Catalogo_gestiones!$A:$B, 2, FALSE)</f>
        <v>N</v>
      </c>
    </row>
    <row r="2430" spans="1:5" x14ac:dyDescent="0.25">
      <c r="A2430">
        <v>8293546</v>
      </c>
      <c r="B2430">
        <v>26029145</v>
      </c>
      <c r="C2430" s="1">
        <v>42534</v>
      </c>
      <c r="D2430" t="s">
        <v>27</v>
      </c>
      <c r="E2430" t="str">
        <f>VLOOKUP(TRIM(D2430), Catalogo_gestiones!$A:$B, 2, FALSE)</f>
        <v>S</v>
      </c>
    </row>
    <row r="2431" spans="1:5" x14ac:dyDescent="0.25">
      <c r="A2431">
        <v>8293564</v>
      </c>
      <c r="B2431">
        <v>26443276</v>
      </c>
      <c r="C2431" s="1">
        <v>42536</v>
      </c>
      <c r="D2431" t="s">
        <v>28</v>
      </c>
      <c r="E2431" t="str">
        <f>VLOOKUP(TRIM(D2431), Catalogo_gestiones!$A:$B, 2, FALSE)</f>
        <v>N</v>
      </c>
    </row>
    <row r="2432" spans="1:5" x14ac:dyDescent="0.25">
      <c r="A2432">
        <v>8293662</v>
      </c>
      <c r="B2432">
        <v>25834952</v>
      </c>
      <c r="C2432" s="1">
        <v>42536</v>
      </c>
      <c r="D2432" t="s">
        <v>24</v>
      </c>
      <c r="E2432" t="str">
        <f>VLOOKUP(TRIM(D2432), Catalogo_gestiones!$A:$B, 2, FALSE)</f>
        <v>S</v>
      </c>
    </row>
    <row r="2433" spans="1:5" x14ac:dyDescent="0.25">
      <c r="A2433">
        <v>8293714</v>
      </c>
      <c r="B2433">
        <v>21486272</v>
      </c>
      <c r="C2433" s="1">
        <v>42536</v>
      </c>
      <c r="D2433" t="s">
        <v>25</v>
      </c>
      <c r="E2433" t="str">
        <f>VLOOKUP(TRIM(D2433), Catalogo_gestiones!$A:$B, 2, FALSE)</f>
        <v>N</v>
      </c>
    </row>
    <row r="2434" spans="1:5" x14ac:dyDescent="0.25">
      <c r="A2434">
        <v>8293734</v>
      </c>
      <c r="B2434">
        <v>28582640</v>
      </c>
      <c r="C2434" s="1">
        <v>42529</v>
      </c>
      <c r="D2434" t="s">
        <v>26</v>
      </c>
      <c r="E2434" t="str">
        <f>VLOOKUP(TRIM(D2434), Catalogo_gestiones!$A:$B, 2, FALSE)</f>
        <v>N</v>
      </c>
    </row>
    <row r="2435" spans="1:5" x14ac:dyDescent="0.25">
      <c r="A2435">
        <v>8293781</v>
      </c>
      <c r="B2435">
        <v>25151473</v>
      </c>
      <c r="C2435" s="1">
        <v>42536</v>
      </c>
      <c r="D2435" t="s">
        <v>27</v>
      </c>
      <c r="E2435" t="str">
        <f>VLOOKUP(TRIM(D2435), Catalogo_gestiones!$A:$B, 2, FALSE)</f>
        <v>S</v>
      </c>
    </row>
    <row r="2436" spans="1:5" x14ac:dyDescent="0.25">
      <c r="A2436">
        <v>8293793</v>
      </c>
      <c r="B2436">
        <v>27730431</v>
      </c>
      <c r="C2436" s="1">
        <v>42527</v>
      </c>
      <c r="D2436" t="s">
        <v>28</v>
      </c>
      <c r="E2436" t="str">
        <f>VLOOKUP(TRIM(D2436), Catalogo_gestiones!$A:$B, 2, FALSE)</f>
        <v>N</v>
      </c>
    </row>
    <row r="2437" spans="1:5" x14ac:dyDescent="0.25">
      <c r="A2437">
        <v>8293815</v>
      </c>
      <c r="B2437">
        <v>26238609</v>
      </c>
      <c r="C2437" s="1">
        <v>42536</v>
      </c>
      <c r="D2437" t="s">
        <v>30</v>
      </c>
      <c r="E2437" t="str">
        <f>VLOOKUP(TRIM(D2437), Catalogo_gestiones!$A:$B, 2, FALSE)</f>
        <v>S</v>
      </c>
    </row>
    <row r="2438" spans="1:5" x14ac:dyDescent="0.25">
      <c r="A2438">
        <v>8293818</v>
      </c>
      <c r="B2438">
        <v>28252699</v>
      </c>
      <c r="C2438" s="1">
        <v>42536</v>
      </c>
      <c r="D2438" t="s">
        <v>24</v>
      </c>
      <c r="E2438" t="str">
        <f>VLOOKUP(TRIM(D2438), Catalogo_gestiones!$A:$B, 2, FALSE)</f>
        <v>S</v>
      </c>
    </row>
    <row r="2439" spans="1:5" x14ac:dyDescent="0.25">
      <c r="A2439">
        <v>8293949</v>
      </c>
      <c r="B2439">
        <v>26857064</v>
      </c>
      <c r="C2439" s="1">
        <v>42536</v>
      </c>
      <c r="D2439" t="s">
        <v>25</v>
      </c>
      <c r="E2439" t="str">
        <f>VLOOKUP(TRIM(D2439), Catalogo_gestiones!$A:$B, 2, FALSE)</f>
        <v>N</v>
      </c>
    </row>
    <row r="2440" spans="1:5" x14ac:dyDescent="0.25">
      <c r="A2440">
        <v>8294114</v>
      </c>
      <c r="B2440">
        <v>21353303</v>
      </c>
      <c r="C2440" s="1">
        <v>42536</v>
      </c>
      <c r="D2440" t="s">
        <v>26</v>
      </c>
      <c r="E2440" t="str">
        <f>VLOOKUP(TRIM(D2440), Catalogo_gestiones!$A:$B, 2, FALSE)</f>
        <v>N</v>
      </c>
    </row>
    <row r="2441" spans="1:5" x14ac:dyDescent="0.25">
      <c r="A2441">
        <v>8294206</v>
      </c>
      <c r="B2441">
        <v>27648242</v>
      </c>
      <c r="C2441" s="1">
        <v>42536</v>
      </c>
      <c r="D2441" t="s">
        <v>27</v>
      </c>
      <c r="E2441" t="str">
        <f>VLOOKUP(TRIM(D2441), Catalogo_gestiones!$A:$B, 2, FALSE)</f>
        <v>S</v>
      </c>
    </row>
    <row r="2442" spans="1:5" x14ac:dyDescent="0.25">
      <c r="A2442">
        <v>8294211</v>
      </c>
      <c r="B2442">
        <v>20248889</v>
      </c>
      <c r="C2442" s="1">
        <v>42536</v>
      </c>
      <c r="D2442" t="s">
        <v>28</v>
      </c>
      <c r="E2442" t="str">
        <f>VLOOKUP(TRIM(D2442), Catalogo_gestiones!$A:$B, 2, FALSE)</f>
        <v>N</v>
      </c>
    </row>
    <row r="2443" spans="1:5" x14ac:dyDescent="0.25">
      <c r="A2443">
        <v>8294211</v>
      </c>
      <c r="B2443">
        <v>20249908</v>
      </c>
      <c r="C2443" s="1">
        <v>42536</v>
      </c>
      <c r="D2443" t="s">
        <v>24</v>
      </c>
      <c r="E2443" t="str">
        <f>VLOOKUP(TRIM(D2443), Catalogo_gestiones!$A:$B, 2, FALSE)</f>
        <v>S</v>
      </c>
    </row>
    <row r="2444" spans="1:5" x14ac:dyDescent="0.25">
      <c r="A2444">
        <v>8294261</v>
      </c>
      <c r="B2444">
        <v>27755425</v>
      </c>
      <c r="C2444" s="1">
        <v>42536</v>
      </c>
      <c r="D2444" t="s">
        <v>25</v>
      </c>
      <c r="E2444" t="str">
        <f>VLOOKUP(TRIM(D2444), Catalogo_gestiones!$A:$B, 2, FALSE)</f>
        <v>N</v>
      </c>
    </row>
    <row r="2445" spans="1:5" x14ac:dyDescent="0.25">
      <c r="A2445">
        <v>8294375</v>
      </c>
      <c r="B2445">
        <v>25479266</v>
      </c>
      <c r="C2445" s="1">
        <v>42536</v>
      </c>
      <c r="D2445" t="s">
        <v>26</v>
      </c>
      <c r="E2445" t="str">
        <f>VLOOKUP(TRIM(D2445), Catalogo_gestiones!$A:$B, 2, FALSE)</f>
        <v>N</v>
      </c>
    </row>
    <row r="2446" spans="1:5" x14ac:dyDescent="0.25">
      <c r="A2446">
        <v>8294415</v>
      </c>
      <c r="B2446">
        <v>25073407</v>
      </c>
      <c r="C2446" s="1">
        <v>42536</v>
      </c>
      <c r="D2446" t="s">
        <v>27</v>
      </c>
      <c r="E2446" t="str">
        <f>VLOOKUP(TRIM(D2446), Catalogo_gestiones!$A:$B, 2, FALSE)</f>
        <v>S</v>
      </c>
    </row>
    <row r="2447" spans="1:5" x14ac:dyDescent="0.25">
      <c r="A2447">
        <v>8294415</v>
      </c>
      <c r="B2447">
        <v>25086883</v>
      </c>
      <c r="C2447" s="1">
        <v>42536</v>
      </c>
      <c r="D2447" t="s">
        <v>28</v>
      </c>
      <c r="E2447" t="str">
        <f>VLOOKUP(TRIM(D2447), Catalogo_gestiones!$A:$B, 2, FALSE)</f>
        <v>N</v>
      </c>
    </row>
    <row r="2448" spans="1:5" x14ac:dyDescent="0.25">
      <c r="A2448">
        <v>8294415</v>
      </c>
      <c r="B2448">
        <v>26921845</v>
      </c>
      <c r="C2448" s="1">
        <v>42536</v>
      </c>
      <c r="D2448" t="s">
        <v>24</v>
      </c>
      <c r="E2448" t="str">
        <f>VLOOKUP(TRIM(D2448), Catalogo_gestiones!$A:$B, 2, FALSE)</f>
        <v>S</v>
      </c>
    </row>
    <row r="2449" spans="1:5" x14ac:dyDescent="0.25">
      <c r="A2449">
        <v>8294415</v>
      </c>
      <c r="B2449">
        <v>27029677</v>
      </c>
      <c r="C2449" s="1">
        <v>42536</v>
      </c>
      <c r="D2449" t="s">
        <v>25</v>
      </c>
      <c r="E2449" t="str">
        <f>VLOOKUP(TRIM(D2449), Catalogo_gestiones!$A:$B, 2, FALSE)</f>
        <v>N</v>
      </c>
    </row>
    <row r="2450" spans="1:5" x14ac:dyDescent="0.25">
      <c r="A2450">
        <v>8294415</v>
      </c>
      <c r="B2450">
        <v>27475022</v>
      </c>
      <c r="C2450" s="1">
        <v>42536</v>
      </c>
      <c r="D2450" t="s">
        <v>26</v>
      </c>
      <c r="E2450" t="str">
        <f>VLOOKUP(TRIM(D2450), Catalogo_gestiones!$A:$B, 2, FALSE)</f>
        <v>N</v>
      </c>
    </row>
    <row r="2451" spans="1:5" x14ac:dyDescent="0.25">
      <c r="A2451">
        <v>8294415</v>
      </c>
      <c r="B2451">
        <v>27494159</v>
      </c>
      <c r="C2451" s="1">
        <v>42536</v>
      </c>
      <c r="D2451" t="s">
        <v>27</v>
      </c>
      <c r="E2451" t="str">
        <f>VLOOKUP(TRIM(D2451), Catalogo_gestiones!$A:$B, 2, FALSE)</f>
        <v>S</v>
      </c>
    </row>
    <row r="2452" spans="1:5" x14ac:dyDescent="0.25">
      <c r="A2452">
        <v>8294415</v>
      </c>
      <c r="B2452">
        <v>27650008</v>
      </c>
      <c r="C2452" s="1">
        <v>42536</v>
      </c>
      <c r="D2452" t="s">
        <v>28</v>
      </c>
      <c r="E2452" t="str">
        <f>VLOOKUP(TRIM(D2452), Catalogo_gestiones!$A:$B, 2, FALSE)</f>
        <v>N</v>
      </c>
    </row>
    <row r="2453" spans="1:5" x14ac:dyDescent="0.25">
      <c r="A2453">
        <v>8294415</v>
      </c>
      <c r="B2453">
        <v>28151154</v>
      </c>
      <c r="C2453" s="1">
        <v>42536</v>
      </c>
      <c r="D2453" t="s">
        <v>30</v>
      </c>
      <c r="E2453" t="str">
        <f>VLOOKUP(TRIM(D2453), Catalogo_gestiones!$A:$B, 2, FALSE)</f>
        <v>S</v>
      </c>
    </row>
    <row r="2454" spans="1:5" x14ac:dyDescent="0.25">
      <c r="A2454">
        <v>8294415</v>
      </c>
      <c r="B2454">
        <v>28151320</v>
      </c>
      <c r="C2454" s="1">
        <v>42536</v>
      </c>
      <c r="D2454" t="s">
        <v>24</v>
      </c>
      <c r="E2454" t="str">
        <f>VLOOKUP(TRIM(D2454), Catalogo_gestiones!$A:$B, 2, FALSE)</f>
        <v>S</v>
      </c>
    </row>
    <row r="2455" spans="1:5" x14ac:dyDescent="0.25">
      <c r="A2455">
        <v>8294415</v>
      </c>
      <c r="B2455">
        <v>28154208</v>
      </c>
      <c r="C2455" s="1">
        <v>42536</v>
      </c>
      <c r="D2455" t="s">
        <v>25</v>
      </c>
      <c r="E2455" t="str">
        <f>VLOOKUP(TRIM(D2455), Catalogo_gestiones!$A:$B, 2, FALSE)</f>
        <v>N</v>
      </c>
    </row>
    <row r="2456" spans="1:5" x14ac:dyDescent="0.25">
      <c r="A2456">
        <v>8294465</v>
      </c>
      <c r="B2456">
        <v>25276855</v>
      </c>
      <c r="C2456" s="1">
        <v>42536</v>
      </c>
      <c r="D2456" t="s">
        <v>26</v>
      </c>
      <c r="E2456" t="str">
        <f>VLOOKUP(TRIM(D2456), Catalogo_gestiones!$A:$B, 2, FALSE)</f>
        <v>N</v>
      </c>
    </row>
    <row r="2457" spans="1:5" x14ac:dyDescent="0.25">
      <c r="A2457">
        <v>8294484</v>
      </c>
      <c r="B2457">
        <v>26897548</v>
      </c>
      <c r="C2457" s="1">
        <v>42536</v>
      </c>
      <c r="D2457" t="s">
        <v>27</v>
      </c>
      <c r="E2457" t="str">
        <f>VLOOKUP(TRIM(D2457), Catalogo_gestiones!$A:$B, 2, FALSE)</f>
        <v>S</v>
      </c>
    </row>
    <row r="2458" spans="1:5" x14ac:dyDescent="0.25">
      <c r="A2458">
        <v>8307776</v>
      </c>
      <c r="B2458">
        <v>26204227</v>
      </c>
      <c r="C2458" s="1">
        <v>42536</v>
      </c>
      <c r="D2458" t="s">
        <v>28</v>
      </c>
      <c r="E2458" t="str">
        <f>VLOOKUP(TRIM(D2458), Catalogo_gestiones!$A:$B, 2, FALSE)</f>
        <v>N</v>
      </c>
    </row>
    <row r="2459" spans="1:5" x14ac:dyDescent="0.25">
      <c r="A2459">
        <v>8316522</v>
      </c>
      <c r="B2459">
        <v>22697628</v>
      </c>
      <c r="C2459" s="1">
        <v>42536</v>
      </c>
      <c r="D2459" t="s">
        <v>24</v>
      </c>
      <c r="E2459" t="str">
        <f>VLOOKUP(TRIM(D2459), Catalogo_gestiones!$A:$B, 2, FALSE)</f>
        <v>S</v>
      </c>
    </row>
    <row r="2460" spans="1:5" x14ac:dyDescent="0.25">
      <c r="A2460">
        <v>8316522</v>
      </c>
      <c r="B2460">
        <v>25377657</v>
      </c>
      <c r="C2460" s="1">
        <v>42528</v>
      </c>
      <c r="D2460" t="s">
        <v>25</v>
      </c>
      <c r="E2460" t="str">
        <f>VLOOKUP(TRIM(D2460), Catalogo_gestiones!$A:$B, 2, FALSE)</f>
        <v>N</v>
      </c>
    </row>
    <row r="2461" spans="1:5" x14ac:dyDescent="0.25">
      <c r="A2461">
        <v>8322016</v>
      </c>
      <c r="B2461">
        <v>28234540</v>
      </c>
      <c r="C2461" s="1">
        <v>42527</v>
      </c>
      <c r="D2461" t="s">
        <v>26</v>
      </c>
      <c r="E2461" t="str">
        <f>VLOOKUP(TRIM(D2461), Catalogo_gestiones!$A:$B, 2, FALSE)</f>
        <v>N</v>
      </c>
    </row>
    <row r="2462" spans="1:5" x14ac:dyDescent="0.25">
      <c r="A2462">
        <v>8322484</v>
      </c>
      <c r="B2462">
        <v>16140274</v>
      </c>
      <c r="C2462" s="1">
        <v>42536</v>
      </c>
      <c r="D2462" t="s">
        <v>27</v>
      </c>
      <c r="E2462" t="str">
        <f>VLOOKUP(TRIM(D2462), Catalogo_gestiones!$A:$B, 2, FALSE)</f>
        <v>S</v>
      </c>
    </row>
    <row r="2463" spans="1:5" x14ac:dyDescent="0.25">
      <c r="A2463">
        <v>8322484</v>
      </c>
      <c r="B2463">
        <v>21785894</v>
      </c>
      <c r="C2463" s="1">
        <v>42536</v>
      </c>
      <c r="D2463" t="s">
        <v>28</v>
      </c>
      <c r="E2463" t="str">
        <f>VLOOKUP(TRIM(D2463), Catalogo_gestiones!$A:$B, 2, FALSE)</f>
        <v>N</v>
      </c>
    </row>
    <row r="2464" spans="1:5" x14ac:dyDescent="0.25">
      <c r="A2464">
        <v>8349062</v>
      </c>
      <c r="B2464">
        <v>25859215</v>
      </c>
      <c r="C2464" s="1">
        <v>42536</v>
      </c>
      <c r="D2464" t="s">
        <v>24</v>
      </c>
      <c r="E2464" t="str">
        <f>VLOOKUP(TRIM(D2464), Catalogo_gestiones!$A:$B, 2, FALSE)</f>
        <v>S</v>
      </c>
    </row>
    <row r="2465" spans="1:5" x14ac:dyDescent="0.25">
      <c r="A2465">
        <v>8349681</v>
      </c>
      <c r="B2465">
        <v>24807405</v>
      </c>
      <c r="C2465" s="1">
        <v>42536</v>
      </c>
      <c r="D2465" t="s">
        <v>25</v>
      </c>
      <c r="E2465" t="str">
        <f>VLOOKUP(TRIM(D2465), Catalogo_gestiones!$A:$B, 2, FALSE)</f>
        <v>N</v>
      </c>
    </row>
    <row r="2466" spans="1:5" x14ac:dyDescent="0.25">
      <c r="A2466">
        <v>8350430</v>
      </c>
      <c r="B2466">
        <v>26724769</v>
      </c>
      <c r="C2466" s="1">
        <v>42536</v>
      </c>
      <c r="D2466" t="s">
        <v>26</v>
      </c>
      <c r="E2466" t="str">
        <f>VLOOKUP(TRIM(D2466), Catalogo_gestiones!$A:$B, 2, FALSE)</f>
        <v>N</v>
      </c>
    </row>
    <row r="2467" spans="1:5" x14ac:dyDescent="0.25">
      <c r="A2467">
        <v>8350430</v>
      </c>
      <c r="B2467">
        <v>26726954</v>
      </c>
      <c r="C2467" s="1">
        <v>42536</v>
      </c>
      <c r="D2467" t="s">
        <v>27</v>
      </c>
      <c r="E2467" t="str">
        <f>VLOOKUP(TRIM(D2467), Catalogo_gestiones!$A:$B, 2, FALSE)</f>
        <v>S</v>
      </c>
    </row>
    <row r="2468" spans="1:5" x14ac:dyDescent="0.25">
      <c r="A2468">
        <v>8350710</v>
      </c>
      <c r="B2468">
        <v>26378338</v>
      </c>
      <c r="C2468" s="1">
        <v>42536</v>
      </c>
      <c r="D2468" t="s">
        <v>28</v>
      </c>
      <c r="E2468" t="str">
        <f>VLOOKUP(TRIM(D2468), Catalogo_gestiones!$A:$B, 2, FALSE)</f>
        <v>N</v>
      </c>
    </row>
    <row r="2469" spans="1:5" x14ac:dyDescent="0.25">
      <c r="A2469">
        <v>8350978</v>
      </c>
      <c r="B2469">
        <v>23577494</v>
      </c>
      <c r="C2469" s="1">
        <v>42536</v>
      </c>
      <c r="D2469" t="s">
        <v>30</v>
      </c>
      <c r="E2469" t="str">
        <f>VLOOKUP(TRIM(D2469), Catalogo_gestiones!$A:$B, 2, FALSE)</f>
        <v>S</v>
      </c>
    </row>
    <row r="2470" spans="1:5" x14ac:dyDescent="0.25">
      <c r="A2470">
        <v>8351047</v>
      </c>
      <c r="B2470">
        <v>24368978</v>
      </c>
      <c r="C2470" s="1">
        <v>42536</v>
      </c>
      <c r="D2470" t="s">
        <v>24</v>
      </c>
      <c r="E2470" t="str">
        <f>VLOOKUP(TRIM(D2470), Catalogo_gestiones!$A:$B, 2, FALSE)</f>
        <v>S</v>
      </c>
    </row>
    <row r="2471" spans="1:5" x14ac:dyDescent="0.25">
      <c r="A2471">
        <v>8356945</v>
      </c>
      <c r="B2471">
        <v>23046024</v>
      </c>
      <c r="C2471" s="1">
        <v>42536</v>
      </c>
      <c r="D2471" t="s">
        <v>25</v>
      </c>
      <c r="E2471" t="str">
        <f>VLOOKUP(TRIM(D2471), Catalogo_gestiones!$A:$B, 2, FALSE)</f>
        <v>N</v>
      </c>
    </row>
    <row r="2472" spans="1:5" x14ac:dyDescent="0.25">
      <c r="A2472">
        <v>8357219</v>
      </c>
      <c r="B2472">
        <v>27217004</v>
      </c>
      <c r="C2472" s="1">
        <v>42536</v>
      </c>
      <c r="D2472" t="s">
        <v>26</v>
      </c>
      <c r="E2472" t="str">
        <f>VLOOKUP(TRIM(D2472), Catalogo_gestiones!$A:$B, 2, FALSE)</f>
        <v>N</v>
      </c>
    </row>
    <row r="2473" spans="1:5" x14ac:dyDescent="0.25">
      <c r="A2473">
        <v>8357219</v>
      </c>
      <c r="B2473">
        <v>27253545</v>
      </c>
      <c r="C2473" s="1">
        <v>42536</v>
      </c>
      <c r="D2473" t="s">
        <v>27</v>
      </c>
      <c r="E2473" t="str">
        <f>VLOOKUP(TRIM(D2473), Catalogo_gestiones!$A:$B, 2, FALSE)</f>
        <v>S</v>
      </c>
    </row>
    <row r="2474" spans="1:5" x14ac:dyDescent="0.25">
      <c r="A2474">
        <v>8357227</v>
      </c>
      <c r="B2474">
        <v>26369502</v>
      </c>
      <c r="C2474" s="1">
        <v>42536</v>
      </c>
      <c r="D2474" t="s">
        <v>28</v>
      </c>
      <c r="E2474" t="str">
        <f>VLOOKUP(TRIM(D2474), Catalogo_gestiones!$A:$B, 2, FALSE)</f>
        <v>N</v>
      </c>
    </row>
    <row r="2475" spans="1:5" x14ac:dyDescent="0.25">
      <c r="A2475">
        <v>8357241</v>
      </c>
      <c r="B2475">
        <v>21744609</v>
      </c>
      <c r="C2475" s="1">
        <v>42536</v>
      </c>
      <c r="D2475" t="s">
        <v>24</v>
      </c>
      <c r="E2475" t="str">
        <f>VLOOKUP(TRIM(D2475), Catalogo_gestiones!$A:$B, 2, FALSE)</f>
        <v>S</v>
      </c>
    </row>
    <row r="2476" spans="1:5" x14ac:dyDescent="0.25">
      <c r="A2476">
        <v>8357241</v>
      </c>
      <c r="B2476">
        <v>22658475</v>
      </c>
      <c r="C2476" s="1">
        <v>42536</v>
      </c>
      <c r="D2476" t="s">
        <v>25</v>
      </c>
      <c r="E2476" t="str">
        <f>VLOOKUP(TRIM(D2476), Catalogo_gestiones!$A:$B, 2, FALSE)</f>
        <v>N</v>
      </c>
    </row>
    <row r="2477" spans="1:5" x14ac:dyDescent="0.25">
      <c r="A2477">
        <v>8357529</v>
      </c>
      <c r="B2477">
        <v>27995102</v>
      </c>
      <c r="C2477" s="1">
        <v>42536</v>
      </c>
      <c r="D2477" t="s">
        <v>26</v>
      </c>
      <c r="E2477" t="str">
        <f>VLOOKUP(TRIM(D2477), Catalogo_gestiones!$A:$B, 2, FALSE)</f>
        <v>N</v>
      </c>
    </row>
    <row r="2478" spans="1:5" x14ac:dyDescent="0.25">
      <c r="A2478">
        <v>8360977</v>
      </c>
      <c r="B2478">
        <v>26011555</v>
      </c>
      <c r="C2478" s="1">
        <v>42536</v>
      </c>
      <c r="D2478" t="s">
        <v>27</v>
      </c>
      <c r="E2478" t="str">
        <f>VLOOKUP(TRIM(D2478), Catalogo_gestiones!$A:$B, 2, FALSE)</f>
        <v>S</v>
      </c>
    </row>
    <row r="2479" spans="1:5" x14ac:dyDescent="0.25">
      <c r="A2479">
        <v>8361878</v>
      </c>
      <c r="B2479">
        <v>1051371</v>
      </c>
      <c r="C2479" s="1">
        <v>42536</v>
      </c>
      <c r="D2479" t="s">
        <v>28</v>
      </c>
      <c r="E2479" t="str">
        <f>VLOOKUP(TRIM(D2479), Catalogo_gestiones!$A:$B, 2, FALSE)</f>
        <v>N</v>
      </c>
    </row>
    <row r="2480" spans="1:5" x14ac:dyDescent="0.25">
      <c r="A2480">
        <v>8362506</v>
      </c>
      <c r="B2480">
        <v>26696130</v>
      </c>
      <c r="C2480" s="1">
        <v>42536</v>
      </c>
      <c r="D2480" t="s">
        <v>24</v>
      </c>
      <c r="E2480" t="str">
        <f>VLOOKUP(TRIM(D2480), Catalogo_gestiones!$A:$B, 2, FALSE)</f>
        <v>S</v>
      </c>
    </row>
    <row r="2481" spans="1:5" x14ac:dyDescent="0.25">
      <c r="A2481">
        <v>8362506</v>
      </c>
      <c r="B2481">
        <v>26696578</v>
      </c>
      <c r="C2481" s="1">
        <v>42536</v>
      </c>
      <c r="D2481" t="s">
        <v>25</v>
      </c>
      <c r="E2481" t="str">
        <f>VLOOKUP(TRIM(D2481), Catalogo_gestiones!$A:$B, 2, FALSE)</f>
        <v>N</v>
      </c>
    </row>
    <row r="2482" spans="1:5" x14ac:dyDescent="0.25">
      <c r="A2482">
        <v>8363386</v>
      </c>
      <c r="B2482">
        <v>27479573</v>
      </c>
      <c r="C2482" s="1">
        <v>42536</v>
      </c>
      <c r="D2482" t="s">
        <v>26</v>
      </c>
      <c r="E2482" t="str">
        <f>VLOOKUP(TRIM(D2482), Catalogo_gestiones!$A:$B, 2, FALSE)</f>
        <v>N</v>
      </c>
    </row>
    <row r="2483" spans="1:5" x14ac:dyDescent="0.25">
      <c r="A2483">
        <v>8364034</v>
      </c>
      <c r="B2483">
        <v>2328145</v>
      </c>
      <c r="C2483" s="1">
        <v>42536</v>
      </c>
      <c r="D2483" t="s">
        <v>27</v>
      </c>
      <c r="E2483" t="str">
        <f>VLOOKUP(TRIM(D2483), Catalogo_gestiones!$A:$B, 2, FALSE)</f>
        <v>S</v>
      </c>
    </row>
    <row r="2484" spans="1:5" x14ac:dyDescent="0.25">
      <c r="A2484">
        <v>8364034</v>
      </c>
      <c r="B2484">
        <v>26406536</v>
      </c>
      <c r="C2484" s="1">
        <v>42536</v>
      </c>
      <c r="D2484" t="s">
        <v>28</v>
      </c>
      <c r="E2484" t="str">
        <f>VLOOKUP(TRIM(D2484), Catalogo_gestiones!$A:$B, 2, FALSE)</f>
        <v>N</v>
      </c>
    </row>
    <row r="2485" spans="1:5" x14ac:dyDescent="0.25">
      <c r="A2485">
        <v>8364712</v>
      </c>
      <c r="B2485">
        <v>1460358</v>
      </c>
      <c r="C2485" s="1">
        <v>42536</v>
      </c>
      <c r="D2485" t="s">
        <v>30</v>
      </c>
      <c r="E2485" t="str">
        <f>VLOOKUP(TRIM(D2485), Catalogo_gestiones!$A:$B, 2, FALSE)</f>
        <v>S</v>
      </c>
    </row>
    <row r="2486" spans="1:5" x14ac:dyDescent="0.25">
      <c r="A2486">
        <v>8365097</v>
      </c>
      <c r="B2486">
        <v>3651053</v>
      </c>
      <c r="C2486" s="1">
        <v>42536</v>
      </c>
      <c r="D2486" t="s">
        <v>24</v>
      </c>
      <c r="E2486" t="str">
        <f>VLOOKUP(TRIM(D2486), Catalogo_gestiones!$A:$B, 2, FALSE)</f>
        <v>S</v>
      </c>
    </row>
    <row r="2487" spans="1:5" x14ac:dyDescent="0.25">
      <c r="A2487">
        <v>8365309</v>
      </c>
      <c r="B2487">
        <v>26944546</v>
      </c>
      <c r="C2487" s="1">
        <v>42527</v>
      </c>
      <c r="D2487" t="s">
        <v>25</v>
      </c>
      <c r="E2487" t="str">
        <f>VLOOKUP(TRIM(D2487), Catalogo_gestiones!$A:$B, 2, FALSE)</f>
        <v>N</v>
      </c>
    </row>
    <row r="2488" spans="1:5" x14ac:dyDescent="0.25">
      <c r="A2488">
        <v>8366056</v>
      </c>
      <c r="B2488">
        <v>26064932</v>
      </c>
      <c r="C2488" s="1">
        <v>42536</v>
      </c>
      <c r="D2488" t="s">
        <v>26</v>
      </c>
      <c r="E2488" t="str">
        <f>VLOOKUP(TRIM(D2488), Catalogo_gestiones!$A:$B, 2, FALSE)</f>
        <v>N</v>
      </c>
    </row>
    <row r="2489" spans="1:5" x14ac:dyDescent="0.25">
      <c r="A2489">
        <v>8366056</v>
      </c>
      <c r="B2489">
        <v>27054787</v>
      </c>
      <c r="C2489" s="1">
        <v>42536</v>
      </c>
      <c r="D2489" t="s">
        <v>27</v>
      </c>
      <c r="E2489" t="str">
        <f>VLOOKUP(TRIM(D2489), Catalogo_gestiones!$A:$B, 2, FALSE)</f>
        <v>S</v>
      </c>
    </row>
    <row r="2490" spans="1:5" x14ac:dyDescent="0.25">
      <c r="A2490">
        <v>8366256</v>
      </c>
      <c r="B2490">
        <v>25706312</v>
      </c>
      <c r="C2490" s="1">
        <v>42533</v>
      </c>
      <c r="D2490" t="s">
        <v>28</v>
      </c>
      <c r="E2490" t="str">
        <f>VLOOKUP(TRIM(D2490), Catalogo_gestiones!$A:$B, 2, FALSE)</f>
        <v>N</v>
      </c>
    </row>
    <row r="2491" spans="1:5" x14ac:dyDescent="0.25">
      <c r="A2491">
        <v>8366454</v>
      </c>
      <c r="B2491">
        <v>11221865</v>
      </c>
      <c r="C2491" s="1">
        <v>42533</v>
      </c>
      <c r="D2491" t="s">
        <v>24</v>
      </c>
      <c r="E2491" t="str">
        <f>VLOOKUP(TRIM(D2491), Catalogo_gestiones!$A:$B, 2, FALSE)</f>
        <v>S</v>
      </c>
    </row>
    <row r="2492" spans="1:5" x14ac:dyDescent="0.25">
      <c r="A2492">
        <v>8366773</v>
      </c>
      <c r="B2492">
        <v>24385342</v>
      </c>
      <c r="C2492" s="1">
        <v>42533</v>
      </c>
      <c r="D2492" t="s">
        <v>25</v>
      </c>
      <c r="E2492" t="str">
        <f>VLOOKUP(TRIM(D2492), Catalogo_gestiones!$A:$B, 2, FALSE)</f>
        <v>N</v>
      </c>
    </row>
    <row r="2493" spans="1:5" x14ac:dyDescent="0.25">
      <c r="A2493">
        <v>8367150</v>
      </c>
      <c r="B2493">
        <v>18627540</v>
      </c>
      <c r="C2493" s="1">
        <v>42533</v>
      </c>
      <c r="D2493" t="s">
        <v>26</v>
      </c>
      <c r="E2493" t="str">
        <f>VLOOKUP(TRIM(D2493), Catalogo_gestiones!$A:$B, 2, FALSE)</f>
        <v>N</v>
      </c>
    </row>
    <row r="2494" spans="1:5" x14ac:dyDescent="0.25">
      <c r="A2494">
        <v>8367150</v>
      </c>
      <c r="B2494">
        <v>18628373</v>
      </c>
      <c r="C2494" s="1">
        <v>42533</v>
      </c>
      <c r="D2494" t="s">
        <v>27</v>
      </c>
      <c r="E2494" t="str">
        <f>VLOOKUP(TRIM(D2494), Catalogo_gestiones!$A:$B, 2, FALSE)</f>
        <v>S</v>
      </c>
    </row>
    <row r="2495" spans="1:5" x14ac:dyDescent="0.25">
      <c r="A2495">
        <v>8367187</v>
      </c>
      <c r="B2495">
        <v>24358512</v>
      </c>
      <c r="C2495" s="1">
        <v>42533</v>
      </c>
      <c r="D2495" t="s">
        <v>28</v>
      </c>
      <c r="E2495" t="str">
        <f>VLOOKUP(TRIM(D2495), Catalogo_gestiones!$A:$B, 2, FALSE)</f>
        <v>N</v>
      </c>
    </row>
    <row r="2496" spans="1:5" x14ac:dyDescent="0.25">
      <c r="A2496">
        <v>8367911</v>
      </c>
      <c r="B2496">
        <v>26796195</v>
      </c>
      <c r="C2496" s="1">
        <v>42533</v>
      </c>
      <c r="D2496" t="s">
        <v>24</v>
      </c>
      <c r="E2496" t="str">
        <f>VLOOKUP(TRIM(D2496), Catalogo_gestiones!$A:$B, 2, FALSE)</f>
        <v>S</v>
      </c>
    </row>
    <row r="2497" spans="1:5" x14ac:dyDescent="0.25">
      <c r="A2497">
        <v>8368470</v>
      </c>
      <c r="B2497">
        <v>25990958</v>
      </c>
      <c r="C2497" s="1">
        <v>42533</v>
      </c>
      <c r="D2497" t="s">
        <v>25</v>
      </c>
      <c r="E2497" t="str">
        <f>VLOOKUP(TRIM(D2497), Catalogo_gestiones!$A:$B, 2, FALSE)</f>
        <v>N</v>
      </c>
    </row>
    <row r="2498" spans="1:5" x14ac:dyDescent="0.25">
      <c r="A2498">
        <v>8368568</v>
      </c>
      <c r="B2498">
        <v>20786848</v>
      </c>
      <c r="C2498" s="1">
        <v>42527</v>
      </c>
      <c r="D2498" t="s">
        <v>26</v>
      </c>
      <c r="E2498" t="str">
        <f>VLOOKUP(TRIM(D2498), Catalogo_gestiones!$A:$B, 2, FALSE)</f>
        <v>N</v>
      </c>
    </row>
    <row r="2499" spans="1:5" x14ac:dyDescent="0.25">
      <c r="A2499">
        <v>8368568</v>
      </c>
      <c r="B2499">
        <v>23353967</v>
      </c>
      <c r="C2499" s="1">
        <v>42527</v>
      </c>
      <c r="D2499" t="s">
        <v>27</v>
      </c>
      <c r="E2499" t="str">
        <f>VLOOKUP(TRIM(D2499), Catalogo_gestiones!$A:$B, 2, FALSE)</f>
        <v>S</v>
      </c>
    </row>
    <row r="2500" spans="1:5" x14ac:dyDescent="0.25">
      <c r="A2500">
        <v>8368826</v>
      </c>
      <c r="B2500">
        <v>11200552</v>
      </c>
      <c r="C2500" s="1">
        <v>42533</v>
      </c>
      <c r="D2500" t="s">
        <v>28</v>
      </c>
      <c r="E2500" t="str">
        <f>VLOOKUP(TRIM(D2500), Catalogo_gestiones!$A:$B, 2, FALSE)</f>
        <v>N</v>
      </c>
    </row>
    <row r="2501" spans="1:5" x14ac:dyDescent="0.25">
      <c r="A2501">
        <v>8368917</v>
      </c>
      <c r="B2501">
        <v>15643416</v>
      </c>
      <c r="C2501" s="1">
        <v>42533</v>
      </c>
      <c r="D2501" t="s">
        <v>30</v>
      </c>
      <c r="E2501" t="str">
        <f>VLOOKUP(TRIM(D2501), Catalogo_gestiones!$A:$B, 2, FALSE)</f>
        <v>S</v>
      </c>
    </row>
    <row r="2502" spans="1:5" x14ac:dyDescent="0.25">
      <c r="A2502">
        <v>8368917</v>
      </c>
      <c r="B2502">
        <v>15644864</v>
      </c>
      <c r="C2502" s="1">
        <v>42533</v>
      </c>
      <c r="D2502" t="s">
        <v>24</v>
      </c>
      <c r="E2502" t="str">
        <f>VLOOKUP(TRIM(D2502), Catalogo_gestiones!$A:$B, 2, FALSE)</f>
        <v>S</v>
      </c>
    </row>
    <row r="2503" spans="1:5" x14ac:dyDescent="0.25">
      <c r="A2503">
        <v>8368961</v>
      </c>
      <c r="B2503">
        <v>23801774</v>
      </c>
      <c r="C2503" s="1">
        <v>42533</v>
      </c>
      <c r="D2503" t="s">
        <v>25</v>
      </c>
      <c r="E2503" t="str">
        <f>VLOOKUP(TRIM(D2503), Catalogo_gestiones!$A:$B, 2, FALSE)</f>
        <v>N</v>
      </c>
    </row>
    <row r="2504" spans="1:5" x14ac:dyDescent="0.25">
      <c r="A2504">
        <v>8369021</v>
      </c>
      <c r="B2504">
        <v>24967953</v>
      </c>
      <c r="C2504" s="1">
        <v>42529</v>
      </c>
      <c r="D2504" t="s">
        <v>26</v>
      </c>
      <c r="E2504" t="str">
        <f>VLOOKUP(TRIM(D2504), Catalogo_gestiones!$A:$B, 2, FALSE)</f>
        <v>N</v>
      </c>
    </row>
    <row r="2505" spans="1:5" x14ac:dyDescent="0.25">
      <c r="A2505">
        <v>8369548</v>
      </c>
      <c r="B2505">
        <v>21722911</v>
      </c>
      <c r="C2505" s="1">
        <v>42533</v>
      </c>
      <c r="D2505" t="s">
        <v>27</v>
      </c>
      <c r="E2505" t="str">
        <f>VLOOKUP(TRIM(D2505), Catalogo_gestiones!$A:$B, 2, FALSE)</f>
        <v>S</v>
      </c>
    </row>
    <row r="2506" spans="1:5" x14ac:dyDescent="0.25">
      <c r="A2506">
        <v>8369921</v>
      </c>
      <c r="B2506">
        <v>18804236</v>
      </c>
      <c r="C2506" s="1">
        <v>42533</v>
      </c>
      <c r="D2506" t="s">
        <v>28</v>
      </c>
      <c r="E2506" t="str">
        <f>VLOOKUP(TRIM(D2506), Catalogo_gestiones!$A:$B, 2, FALSE)</f>
        <v>N</v>
      </c>
    </row>
    <row r="2507" spans="1:5" x14ac:dyDescent="0.25">
      <c r="A2507">
        <v>8370142</v>
      </c>
      <c r="B2507">
        <v>19935967</v>
      </c>
      <c r="C2507" s="1">
        <v>42533</v>
      </c>
      <c r="D2507" t="s">
        <v>24</v>
      </c>
      <c r="E2507" t="str">
        <f>VLOOKUP(TRIM(D2507), Catalogo_gestiones!$A:$B, 2, FALSE)</f>
        <v>S</v>
      </c>
    </row>
    <row r="2508" spans="1:5" x14ac:dyDescent="0.25">
      <c r="A2508">
        <v>8370142</v>
      </c>
      <c r="B2508">
        <v>19937520</v>
      </c>
      <c r="C2508" s="1">
        <v>42533</v>
      </c>
      <c r="D2508" t="s">
        <v>25</v>
      </c>
      <c r="E2508" t="str">
        <f>VLOOKUP(TRIM(D2508), Catalogo_gestiones!$A:$B, 2, FALSE)</f>
        <v>N</v>
      </c>
    </row>
    <row r="2509" spans="1:5" x14ac:dyDescent="0.25">
      <c r="A2509">
        <v>8370436</v>
      </c>
      <c r="B2509">
        <v>25911475</v>
      </c>
      <c r="C2509" s="1">
        <v>42533</v>
      </c>
      <c r="D2509" t="s">
        <v>26</v>
      </c>
      <c r="E2509" t="str">
        <f>VLOOKUP(TRIM(D2509), Catalogo_gestiones!$A:$B, 2, FALSE)</f>
        <v>N</v>
      </c>
    </row>
    <row r="2510" spans="1:5" x14ac:dyDescent="0.25">
      <c r="A2510">
        <v>8370964</v>
      </c>
      <c r="B2510">
        <v>14853592</v>
      </c>
      <c r="C2510" s="1">
        <v>42533</v>
      </c>
      <c r="D2510" t="s">
        <v>27</v>
      </c>
      <c r="E2510" t="str">
        <f>VLOOKUP(TRIM(D2510), Catalogo_gestiones!$A:$B, 2, FALSE)</f>
        <v>S</v>
      </c>
    </row>
    <row r="2511" spans="1:5" x14ac:dyDescent="0.25">
      <c r="A2511">
        <v>8371020</v>
      </c>
      <c r="B2511">
        <v>26228993</v>
      </c>
      <c r="C2511" s="1">
        <v>42533</v>
      </c>
      <c r="D2511" t="s">
        <v>28</v>
      </c>
      <c r="E2511" t="str">
        <f>VLOOKUP(TRIM(D2511), Catalogo_gestiones!$A:$B, 2, FALSE)</f>
        <v>N</v>
      </c>
    </row>
    <row r="2512" spans="1:5" x14ac:dyDescent="0.25">
      <c r="A2512">
        <v>8371143</v>
      </c>
      <c r="B2512">
        <v>2778342</v>
      </c>
      <c r="C2512" s="1">
        <v>42528</v>
      </c>
      <c r="D2512" t="s">
        <v>24</v>
      </c>
      <c r="E2512" t="str">
        <f>VLOOKUP(TRIM(D2512), Catalogo_gestiones!$A:$B, 2, FALSE)</f>
        <v>S</v>
      </c>
    </row>
    <row r="2513" spans="1:5" x14ac:dyDescent="0.25">
      <c r="A2513">
        <v>8371143</v>
      </c>
      <c r="B2513">
        <v>4910388</v>
      </c>
      <c r="C2513" s="1">
        <v>42528</v>
      </c>
      <c r="D2513" t="s">
        <v>25</v>
      </c>
      <c r="E2513" t="str">
        <f>VLOOKUP(TRIM(D2513), Catalogo_gestiones!$A:$B, 2, FALSE)</f>
        <v>N</v>
      </c>
    </row>
    <row r="2514" spans="1:5" x14ac:dyDescent="0.25">
      <c r="A2514">
        <v>8371487</v>
      </c>
      <c r="B2514">
        <v>14446684</v>
      </c>
      <c r="C2514" s="1">
        <v>42527</v>
      </c>
      <c r="D2514" t="s">
        <v>26</v>
      </c>
      <c r="E2514" t="str">
        <f>VLOOKUP(TRIM(D2514), Catalogo_gestiones!$A:$B, 2, FALSE)</f>
        <v>N</v>
      </c>
    </row>
    <row r="2515" spans="1:5" x14ac:dyDescent="0.25">
      <c r="A2515">
        <v>8372113</v>
      </c>
      <c r="B2515">
        <v>12527109</v>
      </c>
      <c r="C2515" s="1">
        <v>42533</v>
      </c>
      <c r="D2515" t="s">
        <v>27</v>
      </c>
      <c r="E2515" t="str">
        <f>VLOOKUP(TRIM(D2515), Catalogo_gestiones!$A:$B, 2, FALSE)</f>
        <v>S</v>
      </c>
    </row>
    <row r="2516" spans="1:5" x14ac:dyDescent="0.25">
      <c r="A2516">
        <v>8372113</v>
      </c>
      <c r="B2516">
        <v>20852636</v>
      </c>
      <c r="C2516" s="1">
        <v>42533</v>
      </c>
      <c r="D2516" t="s">
        <v>28</v>
      </c>
      <c r="E2516" t="str">
        <f>VLOOKUP(TRIM(D2516), Catalogo_gestiones!$A:$B, 2, FALSE)</f>
        <v>N</v>
      </c>
    </row>
    <row r="2517" spans="1:5" x14ac:dyDescent="0.25">
      <c r="A2517">
        <v>8372113</v>
      </c>
      <c r="B2517">
        <v>21187094</v>
      </c>
      <c r="C2517" s="1">
        <v>42533</v>
      </c>
      <c r="D2517" t="s">
        <v>30</v>
      </c>
      <c r="E2517" t="str">
        <f>VLOOKUP(TRIM(D2517), Catalogo_gestiones!$A:$B, 2, FALSE)</f>
        <v>S</v>
      </c>
    </row>
    <row r="2518" spans="1:5" x14ac:dyDescent="0.25">
      <c r="A2518">
        <v>8372113</v>
      </c>
      <c r="B2518">
        <v>23287162</v>
      </c>
      <c r="C2518" s="1">
        <v>42533</v>
      </c>
      <c r="D2518" t="s">
        <v>24</v>
      </c>
      <c r="E2518" t="str">
        <f>VLOOKUP(TRIM(D2518), Catalogo_gestiones!$A:$B, 2, FALSE)</f>
        <v>S</v>
      </c>
    </row>
    <row r="2519" spans="1:5" x14ac:dyDescent="0.25">
      <c r="A2519">
        <v>8372256</v>
      </c>
      <c r="B2519">
        <v>24368698</v>
      </c>
      <c r="C2519" s="1">
        <v>42533</v>
      </c>
      <c r="D2519" t="s">
        <v>25</v>
      </c>
      <c r="E2519" t="str">
        <f>VLOOKUP(TRIM(D2519), Catalogo_gestiones!$A:$B, 2, FALSE)</f>
        <v>N</v>
      </c>
    </row>
    <row r="2520" spans="1:5" x14ac:dyDescent="0.25">
      <c r="A2520">
        <v>8372294</v>
      </c>
      <c r="B2520">
        <v>26217632</v>
      </c>
      <c r="C2520" s="1">
        <v>42533</v>
      </c>
      <c r="D2520" t="s">
        <v>26</v>
      </c>
      <c r="E2520" t="str">
        <f>VLOOKUP(TRIM(D2520), Catalogo_gestiones!$A:$B, 2, FALSE)</f>
        <v>N</v>
      </c>
    </row>
    <row r="2521" spans="1:5" x14ac:dyDescent="0.25">
      <c r="A2521">
        <v>8372484</v>
      </c>
      <c r="B2521">
        <v>19916641</v>
      </c>
      <c r="C2521" s="1">
        <v>42533</v>
      </c>
      <c r="D2521" t="s">
        <v>27</v>
      </c>
      <c r="E2521" t="str">
        <f>VLOOKUP(TRIM(D2521), Catalogo_gestiones!$A:$B, 2, FALSE)</f>
        <v>S</v>
      </c>
    </row>
    <row r="2522" spans="1:5" x14ac:dyDescent="0.25">
      <c r="A2522">
        <v>8372759</v>
      </c>
      <c r="B2522">
        <v>11400568</v>
      </c>
      <c r="C2522" s="1">
        <v>42533</v>
      </c>
      <c r="D2522" t="s">
        <v>28</v>
      </c>
      <c r="E2522" t="str">
        <f>VLOOKUP(TRIM(D2522), Catalogo_gestiones!$A:$B, 2, FALSE)</f>
        <v>N</v>
      </c>
    </row>
    <row r="2523" spans="1:5" x14ac:dyDescent="0.25">
      <c r="A2523">
        <v>8372819</v>
      </c>
      <c r="B2523">
        <v>23753030</v>
      </c>
      <c r="C2523" s="1">
        <v>42533</v>
      </c>
      <c r="D2523" t="s">
        <v>24</v>
      </c>
      <c r="E2523" t="str">
        <f>VLOOKUP(TRIM(D2523), Catalogo_gestiones!$A:$B, 2, FALSE)</f>
        <v>S</v>
      </c>
    </row>
    <row r="2524" spans="1:5" x14ac:dyDescent="0.25">
      <c r="A2524">
        <v>8372852</v>
      </c>
      <c r="B2524">
        <v>23768795</v>
      </c>
      <c r="C2524" s="1">
        <v>42533</v>
      </c>
      <c r="D2524" t="s">
        <v>25</v>
      </c>
      <c r="E2524" t="str">
        <f>VLOOKUP(TRIM(D2524), Catalogo_gestiones!$A:$B, 2, FALSE)</f>
        <v>N</v>
      </c>
    </row>
    <row r="2525" spans="1:5" x14ac:dyDescent="0.25">
      <c r="A2525">
        <v>8372876</v>
      </c>
      <c r="B2525">
        <v>27056383</v>
      </c>
      <c r="C2525" s="1">
        <v>42533</v>
      </c>
      <c r="D2525" t="s">
        <v>26</v>
      </c>
      <c r="E2525" t="str">
        <f>VLOOKUP(TRIM(D2525), Catalogo_gestiones!$A:$B, 2, FALSE)</f>
        <v>N</v>
      </c>
    </row>
    <row r="2526" spans="1:5" x14ac:dyDescent="0.25">
      <c r="A2526">
        <v>8373109</v>
      </c>
      <c r="B2526">
        <v>25110940</v>
      </c>
      <c r="C2526" s="1">
        <v>42533</v>
      </c>
      <c r="D2526" t="s">
        <v>27</v>
      </c>
      <c r="E2526" t="str">
        <f>VLOOKUP(TRIM(D2526), Catalogo_gestiones!$A:$B, 2, FALSE)</f>
        <v>S</v>
      </c>
    </row>
    <row r="2527" spans="1:5" x14ac:dyDescent="0.25">
      <c r="A2527">
        <v>8373110</v>
      </c>
      <c r="B2527">
        <v>20837646</v>
      </c>
      <c r="C2527" s="1">
        <v>42533</v>
      </c>
      <c r="D2527" t="s">
        <v>28</v>
      </c>
      <c r="E2527" t="str">
        <f>VLOOKUP(TRIM(D2527), Catalogo_gestiones!$A:$B, 2, FALSE)</f>
        <v>N</v>
      </c>
    </row>
    <row r="2528" spans="1:5" x14ac:dyDescent="0.25">
      <c r="A2528">
        <v>8373305</v>
      </c>
      <c r="B2528">
        <v>21807022</v>
      </c>
      <c r="C2528" s="1">
        <v>42533</v>
      </c>
      <c r="D2528" t="s">
        <v>24</v>
      </c>
      <c r="E2528" t="str">
        <f>VLOOKUP(TRIM(D2528), Catalogo_gestiones!$A:$B, 2, FALSE)</f>
        <v>S</v>
      </c>
    </row>
    <row r="2529" spans="1:5" x14ac:dyDescent="0.25">
      <c r="A2529">
        <v>8373318</v>
      </c>
      <c r="B2529">
        <v>23637560</v>
      </c>
      <c r="C2529" s="1">
        <v>42533</v>
      </c>
      <c r="D2529" t="s">
        <v>25</v>
      </c>
      <c r="E2529" t="str">
        <f>VLOOKUP(TRIM(D2529), Catalogo_gestiones!$A:$B, 2, FALSE)</f>
        <v>N</v>
      </c>
    </row>
    <row r="2530" spans="1:5" x14ac:dyDescent="0.25">
      <c r="A2530">
        <v>8373458</v>
      </c>
      <c r="B2530">
        <v>26405269</v>
      </c>
      <c r="C2530" s="1">
        <v>42533</v>
      </c>
      <c r="D2530" t="s">
        <v>26</v>
      </c>
      <c r="E2530" t="str">
        <f>VLOOKUP(TRIM(D2530), Catalogo_gestiones!$A:$B, 2, FALSE)</f>
        <v>N</v>
      </c>
    </row>
    <row r="2531" spans="1:5" x14ac:dyDescent="0.25">
      <c r="A2531">
        <v>8373519</v>
      </c>
      <c r="B2531">
        <v>26396786</v>
      </c>
      <c r="C2531" s="1">
        <v>42533</v>
      </c>
      <c r="D2531" t="s">
        <v>27</v>
      </c>
      <c r="E2531" t="str">
        <f>VLOOKUP(TRIM(D2531), Catalogo_gestiones!$A:$B, 2, FALSE)</f>
        <v>S</v>
      </c>
    </row>
    <row r="2532" spans="1:5" x14ac:dyDescent="0.25">
      <c r="A2532">
        <v>8373802</v>
      </c>
      <c r="B2532">
        <v>15812251</v>
      </c>
      <c r="C2532" s="1">
        <v>42533</v>
      </c>
      <c r="D2532" t="s">
        <v>28</v>
      </c>
      <c r="E2532" t="str">
        <f>VLOOKUP(TRIM(D2532), Catalogo_gestiones!$A:$B, 2, FALSE)</f>
        <v>N</v>
      </c>
    </row>
    <row r="2533" spans="1:5" x14ac:dyDescent="0.25">
      <c r="A2533">
        <v>8373802</v>
      </c>
      <c r="B2533">
        <v>17302927</v>
      </c>
      <c r="C2533" s="1">
        <v>42533</v>
      </c>
      <c r="D2533" t="s">
        <v>30</v>
      </c>
      <c r="E2533" t="str">
        <f>VLOOKUP(TRIM(D2533), Catalogo_gestiones!$A:$B, 2, FALSE)</f>
        <v>S</v>
      </c>
    </row>
    <row r="2534" spans="1:5" x14ac:dyDescent="0.25">
      <c r="A2534">
        <v>8373802</v>
      </c>
      <c r="B2534">
        <v>25509330</v>
      </c>
      <c r="C2534" s="1">
        <v>42533</v>
      </c>
      <c r="D2534" t="s">
        <v>24</v>
      </c>
      <c r="E2534" t="str">
        <f>VLOOKUP(TRIM(D2534), Catalogo_gestiones!$A:$B, 2, FALSE)</f>
        <v>S</v>
      </c>
    </row>
    <row r="2535" spans="1:5" x14ac:dyDescent="0.25">
      <c r="A2535">
        <v>8373802</v>
      </c>
      <c r="B2535">
        <v>27399471</v>
      </c>
      <c r="C2535" s="1">
        <v>42533</v>
      </c>
      <c r="D2535" t="s">
        <v>25</v>
      </c>
      <c r="E2535" t="str">
        <f>VLOOKUP(TRIM(D2535), Catalogo_gestiones!$A:$B, 2, FALSE)</f>
        <v>N</v>
      </c>
    </row>
    <row r="2536" spans="1:5" x14ac:dyDescent="0.25">
      <c r="A2536">
        <v>8373802</v>
      </c>
      <c r="B2536">
        <v>27745139</v>
      </c>
      <c r="C2536" s="1">
        <v>42533</v>
      </c>
      <c r="D2536" t="s">
        <v>26</v>
      </c>
      <c r="E2536" t="str">
        <f>VLOOKUP(TRIM(D2536), Catalogo_gestiones!$A:$B, 2, FALSE)</f>
        <v>N</v>
      </c>
    </row>
    <row r="2537" spans="1:5" x14ac:dyDescent="0.25">
      <c r="A2537">
        <v>8373803</v>
      </c>
      <c r="B2537">
        <v>16656839</v>
      </c>
      <c r="C2537" s="1">
        <v>42533</v>
      </c>
      <c r="D2537" t="s">
        <v>27</v>
      </c>
      <c r="E2537" t="str">
        <f>VLOOKUP(TRIM(D2537), Catalogo_gestiones!$A:$B, 2, FALSE)</f>
        <v>S</v>
      </c>
    </row>
    <row r="2538" spans="1:5" x14ac:dyDescent="0.25">
      <c r="A2538">
        <v>8373803</v>
      </c>
      <c r="B2538">
        <v>24836538</v>
      </c>
      <c r="C2538" s="1">
        <v>42533</v>
      </c>
      <c r="D2538" t="s">
        <v>28</v>
      </c>
      <c r="E2538" t="str">
        <f>VLOOKUP(TRIM(D2538), Catalogo_gestiones!$A:$B, 2, FALSE)</f>
        <v>N</v>
      </c>
    </row>
    <row r="2539" spans="1:5" x14ac:dyDescent="0.25">
      <c r="A2539">
        <v>8373922</v>
      </c>
      <c r="B2539">
        <v>15451183</v>
      </c>
      <c r="C2539" s="1">
        <v>42533</v>
      </c>
      <c r="D2539" t="s">
        <v>24</v>
      </c>
      <c r="E2539" t="str">
        <f>VLOOKUP(TRIM(D2539), Catalogo_gestiones!$A:$B, 2, FALSE)</f>
        <v>S</v>
      </c>
    </row>
    <row r="2540" spans="1:5" x14ac:dyDescent="0.25">
      <c r="A2540">
        <v>8373922</v>
      </c>
      <c r="B2540">
        <v>15452026</v>
      </c>
      <c r="C2540" s="1">
        <v>42533</v>
      </c>
      <c r="D2540" t="s">
        <v>25</v>
      </c>
      <c r="E2540" t="str">
        <f>VLOOKUP(TRIM(D2540), Catalogo_gestiones!$A:$B, 2, FALSE)</f>
        <v>N</v>
      </c>
    </row>
    <row r="2541" spans="1:5" x14ac:dyDescent="0.25">
      <c r="A2541">
        <v>8374077</v>
      </c>
      <c r="B2541">
        <v>27041563</v>
      </c>
      <c r="C2541" s="1">
        <v>42533</v>
      </c>
      <c r="D2541" t="s">
        <v>26</v>
      </c>
      <c r="E2541" t="str">
        <f>VLOOKUP(TRIM(D2541), Catalogo_gestiones!$A:$B, 2, FALSE)</f>
        <v>N</v>
      </c>
    </row>
    <row r="2542" spans="1:5" x14ac:dyDescent="0.25">
      <c r="A2542">
        <v>8374957</v>
      </c>
      <c r="B2542">
        <v>26344716</v>
      </c>
      <c r="C2542" s="1">
        <v>42533</v>
      </c>
      <c r="D2542" t="s">
        <v>27</v>
      </c>
      <c r="E2542" t="str">
        <f>VLOOKUP(TRIM(D2542), Catalogo_gestiones!$A:$B, 2, FALSE)</f>
        <v>S</v>
      </c>
    </row>
    <row r="2543" spans="1:5" x14ac:dyDescent="0.25">
      <c r="A2543">
        <v>8374964</v>
      </c>
      <c r="B2543">
        <v>27287287</v>
      </c>
      <c r="C2543" s="1">
        <v>42533</v>
      </c>
      <c r="D2543" t="s">
        <v>28</v>
      </c>
      <c r="E2543" t="str">
        <f>VLOOKUP(TRIM(D2543), Catalogo_gestiones!$A:$B, 2, FALSE)</f>
        <v>N</v>
      </c>
    </row>
    <row r="2544" spans="1:5" x14ac:dyDescent="0.25">
      <c r="A2544">
        <v>8375157</v>
      </c>
      <c r="B2544">
        <v>10604639</v>
      </c>
      <c r="C2544" s="1">
        <v>42533</v>
      </c>
      <c r="D2544" t="s">
        <v>24</v>
      </c>
      <c r="E2544" t="str">
        <f>VLOOKUP(TRIM(D2544), Catalogo_gestiones!$A:$B, 2, FALSE)</f>
        <v>S</v>
      </c>
    </row>
    <row r="2545" spans="1:5" x14ac:dyDescent="0.25">
      <c r="A2545">
        <v>8375295</v>
      </c>
      <c r="B2545">
        <v>23137609</v>
      </c>
      <c r="C2545" s="1">
        <v>42533</v>
      </c>
      <c r="D2545" t="s">
        <v>25</v>
      </c>
      <c r="E2545" t="str">
        <f>VLOOKUP(TRIM(D2545), Catalogo_gestiones!$A:$B, 2, FALSE)</f>
        <v>N</v>
      </c>
    </row>
    <row r="2546" spans="1:5" x14ac:dyDescent="0.25">
      <c r="A2546">
        <v>8375295</v>
      </c>
      <c r="B2546">
        <v>23161693</v>
      </c>
      <c r="C2546" s="1">
        <v>42533</v>
      </c>
      <c r="D2546" t="s">
        <v>26</v>
      </c>
      <c r="E2546" t="str">
        <f>VLOOKUP(TRIM(D2546), Catalogo_gestiones!$A:$B, 2, FALSE)</f>
        <v>N</v>
      </c>
    </row>
    <row r="2547" spans="1:5" x14ac:dyDescent="0.25">
      <c r="A2547">
        <v>8375343</v>
      </c>
      <c r="B2547">
        <v>22513953</v>
      </c>
      <c r="C2547" s="1">
        <v>42533</v>
      </c>
      <c r="D2547" t="s">
        <v>27</v>
      </c>
      <c r="E2547" t="str">
        <f>VLOOKUP(TRIM(D2547), Catalogo_gestiones!$A:$B, 2, FALSE)</f>
        <v>S</v>
      </c>
    </row>
    <row r="2548" spans="1:5" x14ac:dyDescent="0.25">
      <c r="A2548">
        <v>8375436</v>
      </c>
      <c r="B2548">
        <v>25340832</v>
      </c>
      <c r="C2548" s="1">
        <v>42527</v>
      </c>
      <c r="D2548" t="s">
        <v>28</v>
      </c>
      <c r="E2548" t="str">
        <f>VLOOKUP(TRIM(D2548), Catalogo_gestiones!$A:$B, 2, FALSE)</f>
        <v>N</v>
      </c>
    </row>
    <row r="2549" spans="1:5" x14ac:dyDescent="0.25">
      <c r="A2549">
        <v>8375436</v>
      </c>
      <c r="B2549">
        <v>28584174</v>
      </c>
      <c r="C2549" s="1">
        <v>42528</v>
      </c>
      <c r="D2549" t="s">
        <v>30</v>
      </c>
      <c r="E2549" t="str">
        <f>VLOOKUP(TRIM(D2549), Catalogo_gestiones!$A:$B, 2, FALSE)</f>
        <v>S</v>
      </c>
    </row>
    <row r="2550" spans="1:5" x14ac:dyDescent="0.25">
      <c r="A2550">
        <v>8375486</v>
      </c>
      <c r="B2550">
        <v>15746667</v>
      </c>
      <c r="C2550" s="1">
        <v>42533</v>
      </c>
      <c r="D2550" t="s">
        <v>24</v>
      </c>
      <c r="E2550" t="str">
        <f>VLOOKUP(TRIM(D2550), Catalogo_gestiones!$A:$B, 2, FALSE)</f>
        <v>S</v>
      </c>
    </row>
    <row r="2551" spans="1:5" x14ac:dyDescent="0.25">
      <c r="A2551">
        <v>8375778</v>
      </c>
      <c r="B2551">
        <v>16122004</v>
      </c>
      <c r="C2551" s="1">
        <v>42533</v>
      </c>
      <c r="D2551" t="s">
        <v>25</v>
      </c>
      <c r="E2551" t="str">
        <f>VLOOKUP(TRIM(D2551), Catalogo_gestiones!$A:$B, 2, FALSE)</f>
        <v>N</v>
      </c>
    </row>
    <row r="2552" spans="1:5" x14ac:dyDescent="0.25">
      <c r="A2552">
        <v>8375887</v>
      </c>
      <c r="B2552">
        <v>21569268</v>
      </c>
      <c r="C2552" s="1">
        <v>42533</v>
      </c>
      <c r="D2552" t="s">
        <v>26</v>
      </c>
      <c r="E2552" t="str">
        <f>VLOOKUP(TRIM(D2552), Catalogo_gestiones!$A:$B, 2, FALSE)</f>
        <v>N</v>
      </c>
    </row>
    <row r="2553" spans="1:5" x14ac:dyDescent="0.25">
      <c r="A2553">
        <v>8375899</v>
      </c>
      <c r="B2553">
        <v>25529213</v>
      </c>
      <c r="C2553" s="1">
        <v>42533</v>
      </c>
      <c r="D2553" t="s">
        <v>27</v>
      </c>
      <c r="E2553" t="str">
        <f>VLOOKUP(TRIM(D2553), Catalogo_gestiones!$A:$B, 2, FALSE)</f>
        <v>S</v>
      </c>
    </row>
    <row r="2554" spans="1:5" x14ac:dyDescent="0.25">
      <c r="A2554">
        <v>8376101</v>
      </c>
      <c r="B2554">
        <v>26856140</v>
      </c>
      <c r="C2554" s="1">
        <v>42533</v>
      </c>
      <c r="D2554" t="s">
        <v>28</v>
      </c>
      <c r="E2554" t="str">
        <f>VLOOKUP(TRIM(D2554), Catalogo_gestiones!$A:$B, 2, FALSE)</f>
        <v>N</v>
      </c>
    </row>
    <row r="2555" spans="1:5" x14ac:dyDescent="0.25">
      <c r="A2555">
        <v>8376429</v>
      </c>
      <c r="B2555">
        <v>2931482</v>
      </c>
      <c r="C2555" s="1">
        <v>42533</v>
      </c>
      <c r="D2555" t="s">
        <v>24</v>
      </c>
      <c r="E2555" t="str">
        <f>VLOOKUP(TRIM(D2555), Catalogo_gestiones!$A:$B, 2, FALSE)</f>
        <v>S</v>
      </c>
    </row>
    <row r="2556" spans="1:5" x14ac:dyDescent="0.25">
      <c r="A2556">
        <v>8376429</v>
      </c>
      <c r="B2556">
        <v>11036696</v>
      </c>
      <c r="C2556" s="1">
        <v>42533</v>
      </c>
      <c r="D2556" t="s">
        <v>25</v>
      </c>
      <c r="E2556" t="str">
        <f>VLOOKUP(TRIM(D2556), Catalogo_gestiones!$A:$B, 2, FALSE)</f>
        <v>N</v>
      </c>
    </row>
    <row r="2557" spans="1:5" x14ac:dyDescent="0.25">
      <c r="A2557">
        <v>8376469</v>
      </c>
      <c r="B2557">
        <v>27404462</v>
      </c>
      <c r="C2557" s="1">
        <v>42533</v>
      </c>
      <c r="D2557" t="s">
        <v>26</v>
      </c>
      <c r="E2557" t="str">
        <f>VLOOKUP(TRIM(D2557), Catalogo_gestiones!$A:$B, 2, FALSE)</f>
        <v>N</v>
      </c>
    </row>
    <row r="2558" spans="1:5" x14ac:dyDescent="0.25">
      <c r="A2558">
        <v>8376705</v>
      </c>
      <c r="B2558">
        <v>26836468</v>
      </c>
      <c r="C2558" s="1">
        <v>42533</v>
      </c>
      <c r="D2558" t="s">
        <v>27</v>
      </c>
      <c r="E2558" t="str">
        <f>VLOOKUP(TRIM(D2558), Catalogo_gestiones!$A:$B, 2, FALSE)</f>
        <v>S</v>
      </c>
    </row>
    <row r="2559" spans="1:5" x14ac:dyDescent="0.25">
      <c r="A2559">
        <v>8376794</v>
      </c>
      <c r="B2559">
        <v>23391044</v>
      </c>
      <c r="C2559" s="1">
        <v>42533</v>
      </c>
      <c r="D2559" t="s">
        <v>28</v>
      </c>
      <c r="E2559" t="str">
        <f>VLOOKUP(TRIM(D2559), Catalogo_gestiones!$A:$B, 2, FALSE)</f>
        <v>N</v>
      </c>
    </row>
    <row r="2560" spans="1:5" x14ac:dyDescent="0.25">
      <c r="A2560">
        <v>8376794</v>
      </c>
      <c r="B2560">
        <v>23391228</v>
      </c>
      <c r="C2560" s="1">
        <v>42533</v>
      </c>
      <c r="D2560" t="s">
        <v>24</v>
      </c>
      <c r="E2560" t="str">
        <f>VLOOKUP(TRIM(D2560), Catalogo_gestiones!$A:$B, 2, FALSE)</f>
        <v>S</v>
      </c>
    </row>
    <row r="2561" spans="1:5" x14ac:dyDescent="0.25">
      <c r="A2561">
        <v>8376794</v>
      </c>
      <c r="B2561">
        <v>23812937</v>
      </c>
      <c r="C2561" s="1">
        <v>42533</v>
      </c>
      <c r="D2561" t="s">
        <v>25</v>
      </c>
      <c r="E2561" t="str">
        <f>VLOOKUP(TRIM(D2561), Catalogo_gestiones!$A:$B, 2, FALSE)</f>
        <v>N</v>
      </c>
    </row>
    <row r="2562" spans="1:5" x14ac:dyDescent="0.25">
      <c r="A2562">
        <v>8376891</v>
      </c>
      <c r="B2562">
        <v>19336726</v>
      </c>
      <c r="C2562" s="1">
        <v>42533</v>
      </c>
      <c r="D2562" t="s">
        <v>26</v>
      </c>
      <c r="E2562" t="str">
        <f>VLOOKUP(TRIM(D2562), Catalogo_gestiones!$A:$B, 2, FALSE)</f>
        <v>N</v>
      </c>
    </row>
    <row r="2563" spans="1:5" x14ac:dyDescent="0.25">
      <c r="A2563">
        <v>8377130</v>
      </c>
      <c r="B2563">
        <v>26512445</v>
      </c>
      <c r="C2563" s="1">
        <v>42533</v>
      </c>
      <c r="D2563" t="s">
        <v>27</v>
      </c>
      <c r="E2563" t="str">
        <f>VLOOKUP(TRIM(D2563), Catalogo_gestiones!$A:$B, 2, FALSE)</f>
        <v>S</v>
      </c>
    </row>
    <row r="2564" spans="1:5" x14ac:dyDescent="0.25">
      <c r="A2564">
        <v>8377227</v>
      </c>
      <c r="B2564">
        <v>24816925</v>
      </c>
      <c r="C2564" s="1">
        <v>42533</v>
      </c>
      <c r="D2564" t="s">
        <v>28</v>
      </c>
      <c r="E2564" t="str">
        <f>VLOOKUP(TRIM(D2564), Catalogo_gestiones!$A:$B, 2, FALSE)</f>
        <v>N</v>
      </c>
    </row>
    <row r="2565" spans="1:5" x14ac:dyDescent="0.25">
      <c r="A2565">
        <v>8377292</v>
      </c>
      <c r="B2565">
        <v>26246020</v>
      </c>
      <c r="C2565" s="1">
        <v>42529</v>
      </c>
      <c r="D2565" t="s">
        <v>30</v>
      </c>
      <c r="E2565" t="str">
        <f>VLOOKUP(TRIM(D2565), Catalogo_gestiones!$A:$B, 2, FALSE)</f>
        <v>S</v>
      </c>
    </row>
    <row r="2566" spans="1:5" x14ac:dyDescent="0.25">
      <c r="A2566">
        <v>8377553</v>
      </c>
      <c r="B2566">
        <v>25413634</v>
      </c>
      <c r="C2566" s="1">
        <v>42533</v>
      </c>
      <c r="D2566" t="s">
        <v>24</v>
      </c>
      <c r="E2566" t="str">
        <f>VLOOKUP(TRIM(D2566), Catalogo_gestiones!$A:$B, 2, FALSE)</f>
        <v>S</v>
      </c>
    </row>
    <row r="2567" spans="1:5" x14ac:dyDescent="0.25">
      <c r="A2567">
        <v>8377553</v>
      </c>
      <c r="B2567">
        <v>26862382</v>
      </c>
      <c r="C2567" s="1">
        <v>42533</v>
      </c>
      <c r="D2567" t="s">
        <v>25</v>
      </c>
      <c r="E2567" t="str">
        <f>VLOOKUP(TRIM(D2567), Catalogo_gestiones!$A:$B, 2, FALSE)</f>
        <v>N</v>
      </c>
    </row>
    <row r="2568" spans="1:5" x14ac:dyDescent="0.25">
      <c r="A2568">
        <v>8377729</v>
      </c>
      <c r="B2568">
        <v>21626178</v>
      </c>
      <c r="C2568" s="1">
        <v>42533</v>
      </c>
      <c r="D2568" t="s">
        <v>26</v>
      </c>
      <c r="E2568" t="str">
        <f>VLOOKUP(TRIM(D2568), Catalogo_gestiones!$A:$B, 2, FALSE)</f>
        <v>N</v>
      </c>
    </row>
    <row r="2569" spans="1:5" x14ac:dyDescent="0.25">
      <c r="A2569">
        <v>8377815</v>
      </c>
      <c r="B2569">
        <v>23968455</v>
      </c>
      <c r="C2569" s="1">
        <v>42533</v>
      </c>
      <c r="D2569" t="s">
        <v>27</v>
      </c>
      <c r="E2569" t="str">
        <f>VLOOKUP(TRIM(D2569), Catalogo_gestiones!$A:$B, 2, FALSE)</f>
        <v>S</v>
      </c>
    </row>
    <row r="2570" spans="1:5" x14ac:dyDescent="0.25">
      <c r="A2570">
        <v>8377851</v>
      </c>
      <c r="B2570">
        <v>23919595</v>
      </c>
      <c r="C2570" s="1">
        <v>42533</v>
      </c>
      <c r="D2570" t="s">
        <v>28</v>
      </c>
      <c r="E2570" t="str">
        <f>VLOOKUP(TRIM(D2570), Catalogo_gestiones!$A:$B, 2, FALSE)</f>
        <v>N</v>
      </c>
    </row>
    <row r="2571" spans="1:5" x14ac:dyDescent="0.25">
      <c r="A2571">
        <v>8377968</v>
      </c>
      <c r="B2571">
        <v>27872972</v>
      </c>
      <c r="C2571" s="1">
        <v>42533</v>
      </c>
      <c r="D2571" t="s">
        <v>24</v>
      </c>
      <c r="E2571" t="str">
        <f>VLOOKUP(TRIM(D2571), Catalogo_gestiones!$A:$B, 2, FALSE)</f>
        <v>S</v>
      </c>
    </row>
    <row r="2572" spans="1:5" x14ac:dyDescent="0.25">
      <c r="A2572">
        <v>8378091</v>
      </c>
      <c r="B2572">
        <v>26261467</v>
      </c>
      <c r="C2572" s="1">
        <v>42533</v>
      </c>
      <c r="D2572" t="s">
        <v>25</v>
      </c>
      <c r="E2572" t="str">
        <f>VLOOKUP(TRIM(D2572), Catalogo_gestiones!$A:$B, 2, FALSE)</f>
        <v>N</v>
      </c>
    </row>
    <row r="2573" spans="1:5" x14ac:dyDescent="0.25">
      <c r="A2573">
        <v>8378283</v>
      </c>
      <c r="B2573">
        <v>25804857</v>
      </c>
      <c r="C2573" s="1">
        <v>42533</v>
      </c>
      <c r="D2573" t="s">
        <v>26</v>
      </c>
      <c r="E2573" t="str">
        <f>VLOOKUP(TRIM(D2573), Catalogo_gestiones!$A:$B, 2, FALSE)</f>
        <v>N</v>
      </c>
    </row>
    <row r="2574" spans="1:5" x14ac:dyDescent="0.25">
      <c r="A2574">
        <v>8378400</v>
      </c>
      <c r="B2574">
        <v>26843926</v>
      </c>
      <c r="C2574" s="1">
        <v>42533</v>
      </c>
      <c r="D2574" t="s">
        <v>27</v>
      </c>
      <c r="E2574" t="str">
        <f>VLOOKUP(TRIM(D2574), Catalogo_gestiones!$A:$B, 2, FALSE)</f>
        <v>S</v>
      </c>
    </row>
    <row r="2575" spans="1:5" x14ac:dyDescent="0.25">
      <c r="A2575">
        <v>8378400</v>
      </c>
      <c r="B2575">
        <v>26843927</v>
      </c>
      <c r="C2575" s="1">
        <v>42533</v>
      </c>
      <c r="D2575" t="s">
        <v>28</v>
      </c>
      <c r="E2575" t="str">
        <f>VLOOKUP(TRIM(D2575), Catalogo_gestiones!$A:$B, 2, FALSE)</f>
        <v>N</v>
      </c>
    </row>
    <row r="2576" spans="1:5" x14ac:dyDescent="0.25">
      <c r="A2576">
        <v>8378538</v>
      </c>
      <c r="B2576">
        <v>26023462</v>
      </c>
      <c r="C2576" s="1">
        <v>42533</v>
      </c>
      <c r="D2576" t="s">
        <v>24</v>
      </c>
      <c r="E2576" t="str">
        <f>VLOOKUP(TRIM(D2576), Catalogo_gestiones!$A:$B, 2, FALSE)</f>
        <v>S</v>
      </c>
    </row>
    <row r="2577" spans="1:5" x14ac:dyDescent="0.25">
      <c r="A2577">
        <v>8378787</v>
      </c>
      <c r="B2577">
        <v>25360109</v>
      </c>
      <c r="C2577" s="1">
        <v>42533</v>
      </c>
      <c r="D2577" t="s">
        <v>25</v>
      </c>
      <c r="E2577" t="str">
        <f>VLOOKUP(TRIM(D2577), Catalogo_gestiones!$A:$B, 2, FALSE)</f>
        <v>N</v>
      </c>
    </row>
    <row r="2578" spans="1:5" x14ac:dyDescent="0.25">
      <c r="A2578">
        <v>8378787</v>
      </c>
      <c r="B2578">
        <v>28167829</v>
      </c>
      <c r="C2578" s="1">
        <v>42533</v>
      </c>
      <c r="D2578" t="s">
        <v>26</v>
      </c>
      <c r="E2578" t="str">
        <f>VLOOKUP(TRIM(D2578), Catalogo_gestiones!$A:$B, 2, FALSE)</f>
        <v>N</v>
      </c>
    </row>
    <row r="2579" spans="1:5" x14ac:dyDescent="0.25">
      <c r="A2579">
        <v>8378871</v>
      </c>
      <c r="B2579">
        <v>21194808</v>
      </c>
      <c r="C2579" s="1">
        <v>42533</v>
      </c>
      <c r="D2579" t="s">
        <v>27</v>
      </c>
      <c r="E2579" t="str">
        <f>VLOOKUP(TRIM(D2579), Catalogo_gestiones!$A:$B, 2, FALSE)</f>
        <v>S</v>
      </c>
    </row>
    <row r="2580" spans="1:5" x14ac:dyDescent="0.25">
      <c r="A2580">
        <v>8379217</v>
      </c>
      <c r="B2580">
        <v>25899951</v>
      </c>
      <c r="C2580" s="1">
        <v>42533</v>
      </c>
      <c r="D2580" t="s">
        <v>28</v>
      </c>
      <c r="E2580" t="str">
        <f>VLOOKUP(TRIM(D2580), Catalogo_gestiones!$A:$B, 2, FALSE)</f>
        <v>N</v>
      </c>
    </row>
    <row r="2581" spans="1:5" x14ac:dyDescent="0.25">
      <c r="A2581">
        <v>8379217</v>
      </c>
      <c r="B2581">
        <v>25904477</v>
      </c>
      <c r="C2581" s="1">
        <v>42533</v>
      </c>
      <c r="D2581" t="s">
        <v>30</v>
      </c>
      <c r="E2581" t="str">
        <f>VLOOKUP(TRIM(D2581), Catalogo_gestiones!$A:$B, 2, FALSE)</f>
        <v>S</v>
      </c>
    </row>
    <row r="2582" spans="1:5" x14ac:dyDescent="0.25">
      <c r="A2582">
        <v>8379238</v>
      </c>
      <c r="B2582">
        <v>27262178</v>
      </c>
      <c r="C2582" s="1">
        <v>42533</v>
      </c>
      <c r="D2582" t="s">
        <v>24</v>
      </c>
      <c r="E2582" t="str">
        <f>VLOOKUP(TRIM(D2582), Catalogo_gestiones!$A:$B, 2, FALSE)</f>
        <v>S</v>
      </c>
    </row>
    <row r="2583" spans="1:5" x14ac:dyDescent="0.25">
      <c r="A2583">
        <v>8379989</v>
      </c>
      <c r="B2583">
        <v>25836165</v>
      </c>
      <c r="C2583" s="1">
        <v>42533</v>
      </c>
      <c r="D2583" t="s">
        <v>25</v>
      </c>
      <c r="E2583" t="str">
        <f>VLOOKUP(TRIM(D2583), Catalogo_gestiones!$A:$B, 2, FALSE)</f>
        <v>N</v>
      </c>
    </row>
    <row r="2584" spans="1:5" x14ac:dyDescent="0.25">
      <c r="A2584">
        <v>8379989</v>
      </c>
      <c r="B2584">
        <v>25855320</v>
      </c>
      <c r="C2584" s="1">
        <v>42533</v>
      </c>
      <c r="D2584" t="s">
        <v>26</v>
      </c>
      <c r="E2584" t="str">
        <f>VLOOKUP(TRIM(D2584), Catalogo_gestiones!$A:$B, 2, FALSE)</f>
        <v>N</v>
      </c>
    </row>
    <row r="2585" spans="1:5" x14ac:dyDescent="0.25">
      <c r="A2585">
        <v>8380002</v>
      </c>
      <c r="B2585">
        <v>26293617</v>
      </c>
      <c r="C2585" s="1">
        <v>42533</v>
      </c>
      <c r="D2585" t="s">
        <v>27</v>
      </c>
      <c r="E2585" t="str">
        <f>VLOOKUP(TRIM(D2585), Catalogo_gestiones!$A:$B, 2, FALSE)</f>
        <v>S</v>
      </c>
    </row>
    <row r="2586" spans="1:5" x14ac:dyDescent="0.25">
      <c r="A2586">
        <v>8380063</v>
      </c>
      <c r="B2586">
        <v>20479677</v>
      </c>
      <c r="C2586" s="1">
        <v>42533</v>
      </c>
      <c r="D2586" t="s">
        <v>28</v>
      </c>
      <c r="E2586" t="str">
        <f>VLOOKUP(TRIM(D2586), Catalogo_gestiones!$A:$B, 2, FALSE)</f>
        <v>N</v>
      </c>
    </row>
    <row r="2587" spans="1:5" x14ac:dyDescent="0.25">
      <c r="A2587">
        <v>8380316</v>
      </c>
      <c r="B2587">
        <v>26082987</v>
      </c>
      <c r="C2587" s="1">
        <v>42533</v>
      </c>
      <c r="D2587" t="s">
        <v>24</v>
      </c>
      <c r="E2587" t="str">
        <f>VLOOKUP(TRIM(D2587), Catalogo_gestiones!$A:$B, 2, FALSE)</f>
        <v>S</v>
      </c>
    </row>
    <row r="2588" spans="1:5" x14ac:dyDescent="0.25">
      <c r="A2588">
        <v>8380316</v>
      </c>
      <c r="B2588">
        <v>27691424</v>
      </c>
      <c r="C2588" s="1">
        <v>42533</v>
      </c>
      <c r="D2588" t="s">
        <v>25</v>
      </c>
      <c r="E2588" t="str">
        <f>VLOOKUP(TRIM(D2588), Catalogo_gestiones!$A:$B, 2, FALSE)</f>
        <v>N</v>
      </c>
    </row>
    <row r="2589" spans="1:5" x14ac:dyDescent="0.25">
      <c r="A2589">
        <v>8380574</v>
      </c>
      <c r="B2589">
        <v>25284380</v>
      </c>
      <c r="C2589" s="1">
        <v>42533</v>
      </c>
      <c r="D2589" t="s">
        <v>26</v>
      </c>
      <c r="E2589" t="str">
        <f>VLOOKUP(TRIM(D2589), Catalogo_gestiones!$A:$B, 2, FALSE)</f>
        <v>N</v>
      </c>
    </row>
    <row r="2590" spans="1:5" x14ac:dyDescent="0.25">
      <c r="A2590">
        <v>8380574</v>
      </c>
      <c r="B2590">
        <v>26028156</v>
      </c>
      <c r="C2590" s="1">
        <v>42533</v>
      </c>
      <c r="D2590" t="s">
        <v>27</v>
      </c>
      <c r="E2590" t="str">
        <f>VLOOKUP(TRIM(D2590), Catalogo_gestiones!$A:$B, 2, FALSE)</f>
        <v>S</v>
      </c>
    </row>
    <row r="2591" spans="1:5" x14ac:dyDescent="0.25">
      <c r="A2591">
        <v>8380574</v>
      </c>
      <c r="B2591">
        <v>26216119</v>
      </c>
      <c r="C2591" s="1">
        <v>42533</v>
      </c>
      <c r="D2591" t="s">
        <v>28</v>
      </c>
      <c r="E2591" t="str">
        <f>VLOOKUP(TRIM(D2591), Catalogo_gestiones!$A:$B, 2, FALSE)</f>
        <v>N</v>
      </c>
    </row>
    <row r="2592" spans="1:5" x14ac:dyDescent="0.25">
      <c r="A2592">
        <v>8380574</v>
      </c>
      <c r="B2592">
        <v>26787345</v>
      </c>
      <c r="C2592" s="1">
        <v>42533</v>
      </c>
      <c r="D2592" t="s">
        <v>24</v>
      </c>
      <c r="E2592" t="str">
        <f>VLOOKUP(TRIM(D2592), Catalogo_gestiones!$A:$B, 2, FALSE)</f>
        <v>S</v>
      </c>
    </row>
    <row r="2593" spans="1:5" x14ac:dyDescent="0.25">
      <c r="A2593">
        <v>8380574</v>
      </c>
      <c r="B2593">
        <v>26880957</v>
      </c>
      <c r="C2593" s="1">
        <v>42533</v>
      </c>
      <c r="D2593" t="s">
        <v>25</v>
      </c>
      <c r="E2593" t="str">
        <f>VLOOKUP(TRIM(D2593), Catalogo_gestiones!$A:$B, 2, FALSE)</f>
        <v>N</v>
      </c>
    </row>
    <row r="2594" spans="1:5" x14ac:dyDescent="0.25">
      <c r="A2594">
        <v>8380657</v>
      </c>
      <c r="B2594">
        <v>20821058</v>
      </c>
      <c r="C2594" s="1">
        <v>42533</v>
      </c>
      <c r="D2594" t="s">
        <v>26</v>
      </c>
      <c r="E2594" t="str">
        <f>VLOOKUP(TRIM(D2594), Catalogo_gestiones!$A:$B, 2, FALSE)</f>
        <v>N</v>
      </c>
    </row>
    <row r="2595" spans="1:5" x14ac:dyDescent="0.25">
      <c r="A2595">
        <v>8380807</v>
      </c>
      <c r="B2595">
        <v>2687964</v>
      </c>
      <c r="C2595" s="1">
        <v>42533</v>
      </c>
      <c r="D2595" t="s">
        <v>27</v>
      </c>
      <c r="E2595" t="str">
        <f>VLOOKUP(TRIM(D2595), Catalogo_gestiones!$A:$B, 2, FALSE)</f>
        <v>S</v>
      </c>
    </row>
    <row r="2596" spans="1:5" x14ac:dyDescent="0.25">
      <c r="A2596">
        <v>8380807</v>
      </c>
      <c r="B2596">
        <v>26376544</v>
      </c>
      <c r="C2596" s="1">
        <v>42533</v>
      </c>
      <c r="D2596" t="s">
        <v>28</v>
      </c>
      <c r="E2596" t="str">
        <f>VLOOKUP(TRIM(D2596), Catalogo_gestiones!$A:$B, 2, FALSE)</f>
        <v>N</v>
      </c>
    </row>
    <row r="2597" spans="1:5" x14ac:dyDescent="0.25">
      <c r="A2597">
        <v>8381332</v>
      </c>
      <c r="B2597">
        <v>20591909</v>
      </c>
      <c r="C2597" s="1">
        <v>42533</v>
      </c>
      <c r="D2597" t="s">
        <v>30</v>
      </c>
      <c r="E2597" t="str">
        <f>VLOOKUP(TRIM(D2597), Catalogo_gestiones!$A:$B, 2, FALSE)</f>
        <v>S</v>
      </c>
    </row>
    <row r="2598" spans="1:5" x14ac:dyDescent="0.25">
      <c r="A2598">
        <v>8381336</v>
      </c>
      <c r="B2598">
        <v>25292675</v>
      </c>
      <c r="C2598" s="1">
        <v>42533</v>
      </c>
      <c r="D2598" t="s">
        <v>24</v>
      </c>
      <c r="E2598" t="str">
        <f>VLOOKUP(TRIM(D2598), Catalogo_gestiones!$A:$B, 2, FALSE)</f>
        <v>S</v>
      </c>
    </row>
    <row r="2599" spans="1:5" x14ac:dyDescent="0.25">
      <c r="A2599">
        <v>8381346</v>
      </c>
      <c r="B2599">
        <v>26705594</v>
      </c>
      <c r="C2599" s="1">
        <v>42533</v>
      </c>
      <c r="D2599" t="s">
        <v>25</v>
      </c>
      <c r="E2599" t="str">
        <f>VLOOKUP(TRIM(D2599), Catalogo_gestiones!$A:$B, 2, FALSE)</f>
        <v>N</v>
      </c>
    </row>
    <row r="2600" spans="1:5" x14ac:dyDescent="0.25">
      <c r="A2600">
        <v>8381346</v>
      </c>
      <c r="B2600">
        <v>26706135</v>
      </c>
      <c r="C2600" s="1">
        <v>42533</v>
      </c>
      <c r="D2600" t="s">
        <v>26</v>
      </c>
      <c r="E2600" t="str">
        <f>VLOOKUP(TRIM(D2600), Catalogo_gestiones!$A:$B, 2, FALSE)</f>
        <v>N</v>
      </c>
    </row>
    <row r="2601" spans="1:5" x14ac:dyDescent="0.25">
      <c r="A2601">
        <v>8381369</v>
      </c>
      <c r="B2601">
        <v>18458736</v>
      </c>
      <c r="C2601" s="1">
        <v>42534</v>
      </c>
      <c r="D2601" t="s">
        <v>27</v>
      </c>
      <c r="E2601" t="str">
        <f>VLOOKUP(TRIM(D2601), Catalogo_gestiones!$A:$B, 2, FALSE)</f>
        <v>S</v>
      </c>
    </row>
    <row r="2602" spans="1:5" x14ac:dyDescent="0.25">
      <c r="A2602">
        <v>8381369</v>
      </c>
      <c r="B2602">
        <v>18847819</v>
      </c>
      <c r="C2602" s="1">
        <v>42534</v>
      </c>
      <c r="D2602" t="s">
        <v>28</v>
      </c>
      <c r="E2602" t="str">
        <f>VLOOKUP(TRIM(D2602), Catalogo_gestiones!$A:$B, 2, FALSE)</f>
        <v>N</v>
      </c>
    </row>
    <row r="2603" spans="1:5" x14ac:dyDescent="0.25">
      <c r="A2603">
        <v>8381369</v>
      </c>
      <c r="B2603">
        <v>25138580</v>
      </c>
      <c r="C2603" s="1">
        <v>42534</v>
      </c>
      <c r="D2603" t="s">
        <v>24</v>
      </c>
      <c r="E2603" t="str">
        <f>VLOOKUP(TRIM(D2603), Catalogo_gestiones!$A:$B, 2, FALSE)</f>
        <v>S</v>
      </c>
    </row>
    <row r="2604" spans="1:5" x14ac:dyDescent="0.25">
      <c r="A2604">
        <v>8381369</v>
      </c>
      <c r="B2604">
        <v>25452876</v>
      </c>
      <c r="C2604" s="1">
        <v>42534</v>
      </c>
      <c r="D2604" t="s">
        <v>25</v>
      </c>
      <c r="E2604" t="str">
        <f>VLOOKUP(TRIM(D2604), Catalogo_gestiones!$A:$B, 2, FALSE)</f>
        <v>N</v>
      </c>
    </row>
    <row r="2605" spans="1:5" x14ac:dyDescent="0.25">
      <c r="A2605">
        <v>8381369</v>
      </c>
      <c r="B2605">
        <v>25783645</v>
      </c>
      <c r="C2605" s="1">
        <v>42534</v>
      </c>
      <c r="D2605" t="s">
        <v>26</v>
      </c>
      <c r="E2605" t="str">
        <f>VLOOKUP(TRIM(D2605), Catalogo_gestiones!$A:$B, 2, FALSE)</f>
        <v>N</v>
      </c>
    </row>
    <row r="2606" spans="1:5" x14ac:dyDescent="0.25">
      <c r="A2606">
        <v>8381369</v>
      </c>
      <c r="B2606">
        <v>26266777</v>
      </c>
      <c r="C2606" s="1">
        <v>42534</v>
      </c>
      <c r="D2606" t="s">
        <v>27</v>
      </c>
      <c r="E2606" t="str">
        <f>VLOOKUP(TRIM(D2606), Catalogo_gestiones!$A:$B, 2, FALSE)</f>
        <v>S</v>
      </c>
    </row>
    <row r="2607" spans="1:5" x14ac:dyDescent="0.25">
      <c r="A2607">
        <v>8381475</v>
      </c>
      <c r="B2607">
        <v>14190251</v>
      </c>
      <c r="C2607" s="1">
        <v>42529</v>
      </c>
      <c r="D2607" t="s">
        <v>28</v>
      </c>
      <c r="E2607" t="str">
        <f>VLOOKUP(TRIM(D2607), Catalogo_gestiones!$A:$B, 2, FALSE)</f>
        <v>N</v>
      </c>
    </row>
    <row r="2608" spans="1:5" x14ac:dyDescent="0.25">
      <c r="A2608">
        <v>8381475</v>
      </c>
      <c r="B2608">
        <v>16298674</v>
      </c>
      <c r="C2608" s="1">
        <v>42533</v>
      </c>
      <c r="D2608" t="s">
        <v>24</v>
      </c>
      <c r="E2608" t="str">
        <f>VLOOKUP(TRIM(D2608), Catalogo_gestiones!$A:$B, 2, FALSE)</f>
        <v>S</v>
      </c>
    </row>
    <row r="2609" spans="1:5" x14ac:dyDescent="0.25">
      <c r="A2609">
        <v>8381475</v>
      </c>
      <c r="B2609">
        <v>16300086</v>
      </c>
      <c r="C2609" s="1">
        <v>42533</v>
      </c>
      <c r="D2609" t="s">
        <v>25</v>
      </c>
      <c r="E2609" t="str">
        <f>VLOOKUP(TRIM(D2609), Catalogo_gestiones!$A:$B, 2, FALSE)</f>
        <v>N</v>
      </c>
    </row>
    <row r="2610" spans="1:5" x14ac:dyDescent="0.25">
      <c r="A2610">
        <v>8381475</v>
      </c>
      <c r="B2610">
        <v>28582935</v>
      </c>
      <c r="C2610" s="1">
        <v>42528</v>
      </c>
      <c r="D2610" t="s">
        <v>26</v>
      </c>
      <c r="E2610" t="str">
        <f>VLOOKUP(TRIM(D2610), Catalogo_gestiones!$A:$B, 2, FALSE)</f>
        <v>N</v>
      </c>
    </row>
    <row r="2611" spans="1:5" x14ac:dyDescent="0.25">
      <c r="A2611">
        <v>8381515</v>
      </c>
      <c r="B2611">
        <v>14729284</v>
      </c>
      <c r="C2611" s="1">
        <v>42533</v>
      </c>
      <c r="D2611" t="s">
        <v>27</v>
      </c>
      <c r="E2611" t="str">
        <f>VLOOKUP(TRIM(D2611), Catalogo_gestiones!$A:$B, 2, FALSE)</f>
        <v>S</v>
      </c>
    </row>
    <row r="2612" spans="1:5" x14ac:dyDescent="0.25">
      <c r="A2612">
        <v>8381515</v>
      </c>
      <c r="B2612">
        <v>14731171</v>
      </c>
      <c r="C2612" s="1">
        <v>42533</v>
      </c>
      <c r="D2612" t="s">
        <v>28</v>
      </c>
      <c r="E2612" t="str">
        <f>VLOOKUP(TRIM(D2612), Catalogo_gestiones!$A:$B, 2, FALSE)</f>
        <v>N</v>
      </c>
    </row>
    <row r="2613" spans="1:5" x14ac:dyDescent="0.25">
      <c r="A2613">
        <v>8381524</v>
      </c>
      <c r="B2613">
        <v>19335684</v>
      </c>
      <c r="C2613" s="1">
        <v>42533</v>
      </c>
      <c r="D2613" t="s">
        <v>30</v>
      </c>
      <c r="E2613" t="str">
        <f>VLOOKUP(TRIM(D2613), Catalogo_gestiones!$A:$B, 2, FALSE)</f>
        <v>S</v>
      </c>
    </row>
    <row r="2614" spans="1:5" x14ac:dyDescent="0.25">
      <c r="A2614">
        <v>8381568</v>
      </c>
      <c r="B2614">
        <v>16242367</v>
      </c>
      <c r="C2614" s="1">
        <v>42533</v>
      </c>
      <c r="D2614" t="s">
        <v>24</v>
      </c>
      <c r="E2614" t="str">
        <f>VLOOKUP(TRIM(D2614), Catalogo_gestiones!$A:$B, 2, FALSE)</f>
        <v>S</v>
      </c>
    </row>
    <row r="2615" spans="1:5" x14ac:dyDescent="0.25">
      <c r="A2615">
        <v>8381568</v>
      </c>
      <c r="B2615">
        <v>23075902</v>
      </c>
      <c r="C2615" s="1">
        <v>42533</v>
      </c>
      <c r="D2615" t="s">
        <v>25</v>
      </c>
      <c r="E2615" t="str">
        <f>VLOOKUP(TRIM(D2615), Catalogo_gestiones!$A:$B, 2, FALSE)</f>
        <v>N</v>
      </c>
    </row>
    <row r="2616" spans="1:5" x14ac:dyDescent="0.25">
      <c r="A2616">
        <v>8381568</v>
      </c>
      <c r="B2616">
        <v>24024759</v>
      </c>
      <c r="C2616" s="1">
        <v>42533</v>
      </c>
      <c r="D2616" t="s">
        <v>26</v>
      </c>
      <c r="E2616" t="str">
        <f>VLOOKUP(TRIM(D2616), Catalogo_gestiones!$A:$B, 2, FALSE)</f>
        <v>N</v>
      </c>
    </row>
    <row r="2617" spans="1:5" x14ac:dyDescent="0.25">
      <c r="A2617">
        <v>8381582</v>
      </c>
      <c r="B2617">
        <v>1600919</v>
      </c>
      <c r="C2617" s="1">
        <v>42533</v>
      </c>
      <c r="D2617" t="s">
        <v>27</v>
      </c>
      <c r="E2617" t="str">
        <f>VLOOKUP(TRIM(D2617), Catalogo_gestiones!$A:$B, 2, FALSE)</f>
        <v>S</v>
      </c>
    </row>
    <row r="2618" spans="1:5" x14ac:dyDescent="0.25">
      <c r="A2618">
        <v>8382938</v>
      </c>
      <c r="B2618">
        <v>25819135</v>
      </c>
      <c r="C2618" s="1">
        <v>42533</v>
      </c>
      <c r="D2618" t="s">
        <v>28</v>
      </c>
      <c r="E2618" t="str">
        <f>VLOOKUP(TRIM(D2618), Catalogo_gestiones!$A:$B, 2, FALSE)</f>
        <v>N</v>
      </c>
    </row>
    <row r="2619" spans="1:5" x14ac:dyDescent="0.25">
      <c r="A2619">
        <v>8383104</v>
      </c>
      <c r="B2619">
        <v>26888580</v>
      </c>
      <c r="C2619" s="1">
        <v>42527</v>
      </c>
      <c r="D2619" t="s">
        <v>24</v>
      </c>
      <c r="E2619" t="str">
        <f>VLOOKUP(TRIM(D2619), Catalogo_gestiones!$A:$B, 2, FALSE)</f>
        <v>S</v>
      </c>
    </row>
    <row r="2620" spans="1:5" x14ac:dyDescent="0.25">
      <c r="A2620">
        <v>8383131</v>
      </c>
      <c r="B2620">
        <v>28586777</v>
      </c>
      <c r="C2620" s="1">
        <v>42529</v>
      </c>
      <c r="D2620" t="s">
        <v>25</v>
      </c>
      <c r="E2620" t="str">
        <f>VLOOKUP(TRIM(D2620), Catalogo_gestiones!$A:$B, 2, FALSE)</f>
        <v>N</v>
      </c>
    </row>
    <row r="2621" spans="1:5" x14ac:dyDescent="0.25">
      <c r="A2621">
        <v>8383281</v>
      </c>
      <c r="B2621">
        <v>27039709</v>
      </c>
      <c r="C2621" s="1">
        <v>42533</v>
      </c>
      <c r="D2621" t="s">
        <v>26</v>
      </c>
      <c r="E2621" t="str">
        <f>VLOOKUP(TRIM(D2621), Catalogo_gestiones!$A:$B, 2, FALSE)</f>
        <v>N</v>
      </c>
    </row>
    <row r="2622" spans="1:5" x14ac:dyDescent="0.25">
      <c r="A2622">
        <v>8383527</v>
      </c>
      <c r="B2622">
        <v>25219269</v>
      </c>
      <c r="C2622" s="1">
        <v>42533</v>
      </c>
      <c r="D2622" t="s">
        <v>27</v>
      </c>
      <c r="E2622" t="str">
        <f>VLOOKUP(TRIM(D2622), Catalogo_gestiones!$A:$B, 2, FALSE)</f>
        <v>S</v>
      </c>
    </row>
    <row r="2623" spans="1:5" x14ac:dyDescent="0.25">
      <c r="A2623">
        <v>8383527</v>
      </c>
      <c r="B2623">
        <v>25848524</v>
      </c>
      <c r="C2623" s="1">
        <v>42533</v>
      </c>
      <c r="D2623" t="s">
        <v>28</v>
      </c>
      <c r="E2623" t="str">
        <f>VLOOKUP(TRIM(D2623), Catalogo_gestiones!$A:$B, 2, FALSE)</f>
        <v>N</v>
      </c>
    </row>
    <row r="2624" spans="1:5" x14ac:dyDescent="0.25">
      <c r="A2624">
        <v>8383627</v>
      </c>
      <c r="B2624">
        <v>23902937</v>
      </c>
      <c r="C2624" s="1">
        <v>42533</v>
      </c>
      <c r="D2624" t="s">
        <v>24</v>
      </c>
      <c r="E2624" t="str">
        <f>VLOOKUP(TRIM(D2624), Catalogo_gestiones!$A:$B, 2, FALSE)</f>
        <v>S</v>
      </c>
    </row>
    <row r="2625" spans="1:5" x14ac:dyDescent="0.25">
      <c r="A2625">
        <v>8383673</v>
      </c>
      <c r="B2625">
        <v>28556606</v>
      </c>
      <c r="C2625" s="1">
        <v>42529</v>
      </c>
      <c r="D2625" t="s">
        <v>25</v>
      </c>
      <c r="E2625" t="str">
        <f>VLOOKUP(TRIM(D2625), Catalogo_gestiones!$A:$B, 2, FALSE)</f>
        <v>N</v>
      </c>
    </row>
    <row r="2626" spans="1:5" x14ac:dyDescent="0.25">
      <c r="A2626">
        <v>8383674</v>
      </c>
      <c r="B2626">
        <v>12272527</v>
      </c>
      <c r="C2626" s="1">
        <v>42533</v>
      </c>
      <c r="D2626" t="s">
        <v>26</v>
      </c>
      <c r="E2626" t="str">
        <f>VLOOKUP(TRIM(D2626), Catalogo_gestiones!$A:$B, 2, FALSE)</f>
        <v>N</v>
      </c>
    </row>
    <row r="2627" spans="1:5" x14ac:dyDescent="0.25">
      <c r="A2627">
        <v>8383790</v>
      </c>
      <c r="B2627">
        <v>20615340</v>
      </c>
      <c r="C2627" s="1">
        <v>42533</v>
      </c>
      <c r="D2627" t="s">
        <v>27</v>
      </c>
      <c r="E2627" t="str">
        <f>VLOOKUP(TRIM(D2627), Catalogo_gestiones!$A:$B, 2, FALSE)</f>
        <v>S</v>
      </c>
    </row>
    <row r="2628" spans="1:5" x14ac:dyDescent="0.25">
      <c r="A2628">
        <v>8383790</v>
      </c>
      <c r="B2628">
        <v>23064001</v>
      </c>
      <c r="C2628" s="1">
        <v>42533</v>
      </c>
      <c r="D2628" t="s">
        <v>28</v>
      </c>
      <c r="E2628" t="str">
        <f>VLOOKUP(TRIM(D2628), Catalogo_gestiones!$A:$B, 2, FALSE)</f>
        <v>N</v>
      </c>
    </row>
    <row r="2629" spans="1:5" x14ac:dyDescent="0.25">
      <c r="A2629">
        <v>8386841</v>
      </c>
      <c r="B2629">
        <v>27903220</v>
      </c>
      <c r="C2629" s="1">
        <v>42533</v>
      </c>
      <c r="D2629" t="s">
        <v>30</v>
      </c>
      <c r="E2629" t="str">
        <f>VLOOKUP(TRIM(D2629), Catalogo_gestiones!$A:$B, 2, FALSE)</f>
        <v>S</v>
      </c>
    </row>
    <row r="2630" spans="1:5" x14ac:dyDescent="0.25">
      <c r="A2630">
        <v>8386894</v>
      </c>
      <c r="B2630">
        <v>28557300</v>
      </c>
      <c r="C2630" s="1">
        <v>42529</v>
      </c>
      <c r="D2630" t="s">
        <v>24</v>
      </c>
      <c r="E2630" t="str">
        <f>VLOOKUP(TRIM(D2630), Catalogo_gestiones!$A:$B, 2, FALSE)</f>
        <v>S</v>
      </c>
    </row>
    <row r="2631" spans="1:5" x14ac:dyDescent="0.25">
      <c r="A2631">
        <v>8430809</v>
      </c>
      <c r="B2631">
        <v>28586844</v>
      </c>
      <c r="C2631" s="1">
        <v>42529</v>
      </c>
      <c r="D2631" t="s">
        <v>25</v>
      </c>
      <c r="E2631" t="str">
        <f>VLOOKUP(TRIM(D2631), Catalogo_gestiones!$A:$B, 2, FALSE)</f>
        <v>N</v>
      </c>
    </row>
    <row r="2632" spans="1:5" x14ac:dyDescent="0.25">
      <c r="A2632">
        <v>8430812</v>
      </c>
      <c r="B2632">
        <v>28586366</v>
      </c>
      <c r="C2632" s="1">
        <v>42529</v>
      </c>
      <c r="D2632" t="s">
        <v>26</v>
      </c>
      <c r="E2632" t="str">
        <f>VLOOKUP(TRIM(D2632), Catalogo_gestiones!$A:$B, 2, FALSE)</f>
        <v>N</v>
      </c>
    </row>
    <row r="2633" spans="1:5" x14ac:dyDescent="0.25">
      <c r="A2633">
        <v>8440122</v>
      </c>
      <c r="B2633">
        <v>22624325</v>
      </c>
      <c r="C2633" s="1">
        <v>42533</v>
      </c>
      <c r="D2633" t="s">
        <v>27</v>
      </c>
      <c r="E2633" t="str">
        <f>VLOOKUP(TRIM(D2633), Catalogo_gestiones!$A:$B, 2, FALSE)</f>
        <v>S</v>
      </c>
    </row>
    <row r="2634" spans="1:5" x14ac:dyDescent="0.25">
      <c r="A2634">
        <v>8443989</v>
      </c>
      <c r="B2634">
        <v>28249575</v>
      </c>
      <c r="C2634" s="1">
        <v>42533</v>
      </c>
      <c r="D2634" t="s">
        <v>28</v>
      </c>
      <c r="E2634" t="str">
        <f>VLOOKUP(TRIM(D2634), Catalogo_gestiones!$A:$B, 2, FALSE)</f>
        <v>N</v>
      </c>
    </row>
    <row r="2635" spans="1:5" x14ac:dyDescent="0.25">
      <c r="A2635">
        <v>8444004</v>
      </c>
      <c r="B2635">
        <v>2718004</v>
      </c>
      <c r="C2635" s="1">
        <v>42529</v>
      </c>
      <c r="D2635" t="s">
        <v>24</v>
      </c>
      <c r="E2635" t="str">
        <f>VLOOKUP(TRIM(D2635), Catalogo_gestiones!$A:$B, 2, FALSE)</f>
        <v>S</v>
      </c>
    </row>
    <row r="2636" spans="1:5" x14ac:dyDescent="0.25">
      <c r="A2636">
        <v>8457400</v>
      </c>
      <c r="B2636">
        <v>21487456</v>
      </c>
      <c r="C2636" s="1">
        <v>42533</v>
      </c>
      <c r="D2636" t="s">
        <v>25</v>
      </c>
      <c r="E2636" t="str">
        <f>VLOOKUP(TRIM(D2636), Catalogo_gestiones!$A:$B, 2, FALSE)</f>
        <v>N</v>
      </c>
    </row>
    <row r="2637" spans="1:5" x14ac:dyDescent="0.25">
      <c r="A2637">
        <v>8457400</v>
      </c>
      <c r="B2637">
        <v>26021997</v>
      </c>
      <c r="C2637" s="1">
        <v>42533</v>
      </c>
      <c r="D2637" t="s">
        <v>26</v>
      </c>
      <c r="E2637" t="str">
        <f>VLOOKUP(TRIM(D2637), Catalogo_gestiones!$A:$B, 2, FALSE)</f>
        <v>N</v>
      </c>
    </row>
    <row r="2638" spans="1:5" x14ac:dyDescent="0.25">
      <c r="A2638">
        <v>8457400</v>
      </c>
      <c r="B2638">
        <v>26021998</v>
      </c>
      <c r="C2638" s="1">
        <v>42533</v>
      </c>
      <c r="D2638" t="s">
        <v>27</v>
      </c>
      <c r="E2638" t="str">
        <f>VLOOKUP(TRIM(D2638), Catalogo_gestiones!$A:$B, 2, FALSE)</f>
        <v>S</v>
      </c>
    </row>
    <row r="2639" spans="1:5" x14ac:dyDescent="0.25">
      <c r="A2639">
        <v>8457400</v>
      </c>
      <c r="B2639">
        <v>26023265</v>
      </c>
      <c r="C2639" s="1">
        <v>42533</v>
      </c>
      <c r="D2639" t="s">
        <v>28</v>
      </c>
      <c r="E2639" t="str">
        <f>VLOOKUP(TRIM(D2639), Catalogo_gestiones!$A:$B, 2, FALSE)</f>
        <v>N</v>
      </c>
    </row>
    <row r="2640" spans="1:5" x14ac:dyDescent="0.25">
      <c r="A2640">
        <v>8465959</v>
      </c>
      <c r="B2640">
        <v>14265420</v>
      </c>
      <c r="C2640" s="1">
        <v>42533</v>
      </c>
      <c r="D2640" t="s">
        <v>24</v>
      </c>
      <c r="E2640" t="str">
        <f>VLOOKUP(TRIM(D2640), Catalogo_gestiones!$A:$B, 2, FALSE)</f>
        <v>S</v>
      </c>
    </row>
    <row r="2641" spans="1:5" x14ac:dyDescent="0.25">
      <c r="A2641">
        <v>8465959</v>
      </c>
      <c r="B2641">
        <v>21268933</v>
      </c>
      <c r="C2641" s="1">
        <v>42533</v>
      </c>
      <c r="D2641" t="s">
        <v>25</v>
      </c>
      <c r="E2641" t="str">
        <f>VLOOKUP(TRIM(D2641), Catalogo_gestiones!$A:$B, 2, FALSE)</f>
        <v>N</v>
      </c>
    </row>
    <row r="2642" spans="1:5" x14ac:dyDescent="0.25">
      <c r="A2642">
        <v>8465980</v>
      </c>
      <c r="B2642">
        <v>23671050</v>
      </c>
      <c r="C2642" s="1">
        <v>42533</v>
      </c>
      <c r="D2642" t="s">
        <v>26</v>
      </c>
      <c r="E2642" t="str">
        <f>VLOOKUP(TRIM(D2642), Catalogo_gestiones!$A:$B, 2, FALSE)</f>
        <v>N</v>
      </c>
    </row>
    <row r="2643" spans="1:5" x14ac:dyDescent="0.25">
      <c r="A2643">
        <v>8466023</v>
      </c>
      <c r="B2643">
        <v>23657184</v>
      </c>
      <c r="C2643" s="1">
        <v>42533</v>
      </c>
      <c r="D2643" t="s">
        <v>27</v>
      </c>
      <c r="E2643" t="str">
        <f>VLOOKUP(TRIM(D2643), Catalogo_gestiones!$A:$B, 2, FALSE)</f>
        <v>S</v>
      </c>
    </row>
    <row r="2644" spans="1:5" x14ac:dyDescent="0.25">
      <c r="A2644">
        <v>8466023</v>
      </c>
      <c r="B2644">
        <v>23657673</v>
      </c>
      <c r="C2644" s="1">
        <v>42533</v>
      </c>
      <c r="D2644" t="s">
        <v>28</v>
      </c>
      <c r="E2644" t="str">
        <f>VLOOKUP(TRIM(D2644), Catalogo_gestiones!$A:$B, 2, FALSE)</f>
        <v>N</v>
      </c>
    </row>
    <row r="2645" spans="1:5" x14ac:dyDescent="0.25">
      <c r="A2645">
        <v>8466043</v>
      </c>
      <c r="B2645">
        <v>20875844</v>
      </c>
      <c r="C2645" s="1">
        <v>42533</v>
      </c>
      <c r="D2645" t="s">
        <v>30</v>
      </c>
      <c r="E2645" t="str">
        <f>VLOOKUP(TRIM(D2645), Catalogo_gestiones!$A:$B, 2, FALSE)</f>
        <v>S</v>
      </c>
    </row>
    <row r="2646" spans="1:5" x14ac:dyDescent="0.25">
      <c r="A2646">
        <v>8466043</v>
      </c>
      <c r="B2646">
        <v>22082240</v>
      </c>
      <c r="C2646" s="1">
        <v>42533</v>
      </c>
      <c r="D2646" t="s">
        <v>24</v>
      </c>
      <c r="E2646" t="str">
        <f>VLOOKUP(TRIM(D2646), Catalogo_gestiones!$A:$B, 2, FALSE)</f>
        <v>S</v>
      </c>
    </row>
    <row r="2647" spans="1:5" x14ac:dyDescent="0.25">
      <c r="A2647">
        <v>8466043</v>
      </c>
      <c r="B2647">
        <v>23974043</v>
      </c>
      <c r="C2647" s="1">
        <v>42533</v>
      </c>
      <c r="D2647" t="s">
        <v>25</v>
      </c>
      <c r="E2647" t="str">
        <f>VLOOKUP(TRIM(D2647), Catalogo_gestiones!$A:$B, 2, FALSE)</f>
        <v>N</v>
      </c>
    </row>
    <row r="2648" spans="1:5" x14ac:dyDescent="0.25">
      <c r="A2648">
        <v>8466043</v>
      </c>
      <c r="B2648">
        <v>24033068</v>
      </c>
      <c r="C2648" s="1">
        <v>42533</v>
      </c>
      <c r="D2648" t="s">
        <v>26</v>
      </c>
      <c r="E2648" t="str">
        <f>VLOOKUP(TRIM(D2648), Catalogo_gestiones!$A:$B, 2, FALSE)</f>
        <v>N</v>
      </c>
    </row>
    <row r="2649" spans="1:5" x14ac:dyDescent="0.25">
      <c r="A2649">
        <v>8466082</v>
      </c>
      <c r="B2649">
        <v>21029378</v>
      </c>
      <c r="C2649" s="1">
        <v>42527</v>
      </c>
      <c r="D2649" t="s">
        <v>27</v>
      </c>
      <c r="E2649" t="str">
        <f>VLOOKUP(TRIM(D2649), Catalogo_gestiones!$A:$B, 2, FALSE)</f>
        <v>S</v>
      </c>
    </row>
    <row r="2650" spans="1:5" x14ac:dyDescent="0.25">
      <c r="A2650">
        <v>8470835</v>
      </c>
      <c r="B2650">
        <v>27193657</v>
      </c>
      <c r="C2650" s="1">
        <v>42533</v>
      </c>
      <c r="D2650" t="s">
        <v>28</v>
      </c>
      <c r="E2650" t="str">
        <f>VLOOKUP(TRIM(D2650), Catalogo_gestiones!$A:$B, 2, FALSE)</f>
        <v>N</v>
      </c>
    </row>
    <row r="2651" spans="1:5" x14ac:dyDescent="0.25">
      <c r="A2651">
        <v>8470894</v>
      </c>
      <c r="B2651">
        <v>24320598</v>
      </c>
      <c r="C2651" s="1">
        <v>42527</v>
      </c>
      <c r="D2651" t="s">
        <v>24</v>
      </c>
      <c r="E2651" t="str">
        <f>VLOOKUP(TRIM(D2651), Catalogo_gestiones!$A:$B, 2, FALSE)</f>
        <v>S</v>
      </c>
    </row>
    <row r="2652" spans="1:5" x14ac:dyDescent="0.25">
      <c r="A2652">
        <v>8471172</v>
      </c>
      <c r="B2652">
        <v>18354113</v>
      </c>
      <c r="C2652" s="1">
        <v>42533</v>
      </c>
      <c r="D2652" t="s">
        <v>25</v>
      </c>
      <c r="E2652" t="str">
        <f>VLOOKUP(TRIM(D2652), Catalogo_gestiones!$A:$B, 2, FALSE)</f>
        <v>N</v>
      </c>
    </row>
    <row r="2653" spans="1:5" x14ac:dyDescent="0.25">
      <c r="A2653">
        <v>8471455</v>
      </c>
      <c r="B2653">
        <v>22923812</v>
      </c>
      <c r="C2653" s="1">
        <v>42533</v>
      </c>
      <c r="D2653" t="s">
        <v>26</v>
      </c>
      <c r="E2653" t="str">
        <f>VLOOKUP(TRIM(D2653), Catalogo_gestiones!$A:$B, 2, FALSE)</f>
        <v>N</v>
      </c>
    </row>
    <row r="2654" spans="1:5" x14ac:dyDescent="0.25">
      <c r="A2654">
        <v>8483919</v>
      </c>
      <c r="B2654">
        <v>26346244</v>
      </c>
      <c r="C2654" s="1">
        <v>42527</v>
      </c>
      <c r="D2654" t="s">
        <v>27</v>
      </c>
      <c r="E2654" t="str">
        <f>VLOOKUP(TRIM(D2654), Catalogo_gestiones!$A:$B, 2, FALSE)</f>
        <v>S</v>
      </c>
    </row>
    <row r="2655" spans="1:5" x14ac:dyDescent="0.25">
      <c r="A2655">
        <v>8484108</v>
      </c>
      <c r="B2655">
        <v>24010205</v>
      </c>
      <c r="C2655" s="1">
        <v>42533</v>
      </c>
      <c r="D2655" t="s">
        <v>28</v>
      </c>
      <c r="E2655" t="str">
        <f>VLOOKUP(TRIM(D2655), Catalogo_gestiones!$A:$B, 2, FALSE)</f>
        <v>N</v>
      </c>
    </row>
    <row r="2656" spans="1:5" x14ac:dyDescent="0.25">
      <c r="A2656">
        <v>8485525</v>
      </c>
      <c r="B2656">
        <v>1469200</v>
      </c>
      <c r="C2656" s="1">
        <v>42533</v>
      </c>
      <c r="D2656" t="s">
        <v>24</v>
      </c>
      <c r="E2656" t="str">
        <f>VLOOKUP(TRIM(D2656), Catalogo_gestiones!$A:$B, 2, FALSE)</f>
        <v>S</v>
      </c>
    </row>
    <row r="2657" spans="1:5" x14ac:dyDescent="0.25">
      <c r="A2657">
        <v>8485525</v>
      </c>
      <c r="B2657">
        <v>2407079</v>
      </c>
      <c r="C2657" s="1">
        <v>42533</v>
      </c>
      <c r="D2657" t="s">
        <v>25</v>
      </c>
      <c r="E2657" t="str">
        <f>VLOOKUP(TRIM(D2657), Catalogo_gestiones!$A:$B, 2, FALSE)</f>
        <v>N</v>
      </c>
    </row>
    <row r="2658" spans="1:5" x14ac:dyDescent="0.25">
      <c r="A2658">
        <v>8485525</v>
      </c>
      <c r="B2658">
        <v>23930618</v>
      </c>
      <c r="C2658" s="1">
        <v>42533</v>
      </c>
      <c r="D2658" t="s">
        <v>26</v>
      </c>
      <c r="E2658" t="str">
        <f>VLOOKUP(TRIM(D2658), Catalogo_gestiones!$A:$B, 2, FALSE)</f>
        <v>N</v>
      </c>
    </row>
    <row r="2659" spans="1:5" x14ac:dyDescent="0.25">
      <c r="A2659">
        <v>8485525</v>
      </c>
      <c r="B2659">
        <v>24887918</v>
      </c>
      <c r="C2659" s="1">
        <v>42533</v>
      </c>
      <c r="D2659" t="s">
        <v>27</v>
      </c>
      <c r="E2659" t="str">
        <f>VLOOKUP(TRIM(D2659), Catalogo_gestiones!$A:$B, 2, FALSE)</f>
        <v>S</v>
      </c>
    </row>
    <row r="2660" spans="1:5" x14ac:dyDescent="0.25">
      <c r="A2660">
        <v>8485525</v>
      </c>
      <c r="B2660">
        <v>24947872</v>
      </c>
      <c r="C2660" s="1">
        <v>42533</v>
      </c>
      <c r="D2660" t="s">
        <v>28</v>
      </c>
      <c r="E2660" t="str">
        <f>VLOOKUP(TRIM(D2660), Catalogo_gestiones!$A:$B, 2, FALSE)</f>
        <v>N</v>
      </c>
    </row>
    <row r="2661" spans="1:5" x14ac:dyDescent="0.25">
      <c r="A2661">
        <v>8485525</v>
      </c>
      <c r="B2661">
        <v>26183633</v>
      </c>
      <c r="C2661" s="1">
        <v>42533</v>
      </c>
      <c r="D2661" t="s">
        <v>30</v>
      </c>
      <c r="E2661" t="str">
        <f>VLOOKUP(TRIM(D2661), Catalogo_gestiones!$A:$B, 2, FALSE)</f>
        <v>S</v>
      </c>
    </row>
    <row r="2662" spans="1:5" x14ac:dyDescent="0.25">
      <c r="A2662">
        <v>8485525</v>
      </c>
      <c r="B2662">
        <v>26547564</v>
      </c>
      <c r="C2662" s="1">
        <v>42533</v>
      </c>
      <c r="D2662" t="s">
        <v>24</v>
      </c>
      <c r="E2662" t="str">
        <f>VLOOKUP(TRIM(D2662), Catalogo_gestiones!$A:$B, 2, FALSE)</f>
        <v>S</v>
      </c>
    </row>
    <row r="2663" spans="1:5" x14ac:dyDescent="0.25">
      <c r="A2663">
        <v>8485525</v>
      </c>
      <c r="B2663">
        <v>26839896</v>
      </c>
      <c r="C2663" s="1">
        <v>42533</v>
      </c>
      <c r="D2663" t="s">
        <v>25</v>
      </c>
      <c r="E2663" t="str">
        <f>VLOOKUP(TRIM(D2663), Catalogo_gestiones!$A:$B, 2, FALSE)</f>
        <v>N</v>
      </c>
    </row>
    <row r="2664" spans="1:5" x14ac:dyDescent="0.25">
      <c r="A2664">
        <v>8485611</v>
      </c>
      <c r="B2664">
        <v>19639856</v>
      </c>
      <c r="C2664" s="1">
        <v>42533</v>
      </c>
      <c r="D2664" t="s">
        <v>26</v>
      </c>
      <c r="E2664" t="str">
        <f>VLOOKUP(TRIM(D2664), Catalogo_gestiones!$A:$B, 2, FALSE)</f>
        <v>N</v>
      </c>
    </row>
    <row r="2665" spans="1:5" x14ac:dyDescent="0.25">
      <c r="A2665">
        <v>8486068</v>
      </c>
      <c r="B2665">
        <v>25445221</v>
      </c>
      <c r="C2665" s="1">
        <v>42533</v>
      </c>
      <c r="D2665" t="s">
        <v>27</v>
      </c>
      <c r="E2665" t="str">
        <f>VLOOKUP(TRIM(D2665), Catalogo_gestiones!$A:$B, 2, FALSE)</f>
        <v>S</v>
      </c>
    </row>
    <row r="2666" spans="1:5" x14ac:dyDescent="0.25">
      <c r="A2666">
        <v>8486068</v>
      </c>
      <c r="B2666">
        <v>27085828</v>
      </c>
      <c r="C2666" s="1">
        <v>42533</v>
      </c>
      <c r="D2666" t="s">
        <v>28</v>
      </c>
      <c r="E2666" t="str">
        <f>VLOOKUP(TRIM(D2666), Catalogo_gestiones!$A:$B, 2, FALSE)</f>
        <v>N</v>
      </c>
    </row>
    <row r="2667" spans="1:5" x14ac:dyDescent="0.25">
      <c r="A2667">
        <v>8486233</v>
      </c>
      <c r="B2667">
        <v>26369161</v>
      </c>
      <c r="C2667" s="1">
        <v>42533</v>
      </c>
      <c r="D2667" t="s">
        <v>24</v>
      </c>
      <c r="E2667" t="str">
        <f>VLOOKUP(TRIM(D2667), Catalogo_gestiones!$A:$B, 2, FALSE)</f>
        <v>S</v>
      </c>
    </row>
    <row r="2668" spans="1:5" x14ac:dyDescent="0.25">
      <c r="A2668">
        <v>8486527</v>
      </c>
      <c r="B2668">
        <v>23843578</v>
      </c>
      <c r="C2668" s="1">
        <v>42533</v>
      </c>
      <c r="D2668" t="s">
        <v>25</v>
      </c>
      <c r="E2668" t="str">
        <f>VLOOKUP(TRIM(D2668), Catalogo_gestiones!$A:$B, 2, FALSE)</f>
        <v>N</v>
      </c>
    </row>
    <row r="2669" spans="1:5" x14ac:dyDescent="0.25">
      <c r="A2669">
        <v>8486527</v>
      </c>
      <c r="B2669">
        <v>23868894</v>
      </c>
      <c r="C2669" s="1">
        <v>42533</v>
      </c>
      <c r="D2669" t="s">
        <v>26</v>
      </c>
      <c r="E2669" t="str">
        <f>VLOOKUP(TRIM(D2669), Catalogo_gestiones!$A:$B, 2, FALSE)</f>
        <v>N</v>
      </c>
    </row>
    <row r="2670" spans="1:5" x14ac:dyDescent="0.25">
      <c r="A2670">
        <v>8486527</v>
      </c>
      <c r="B2670">
        <v>24371347</v>
      </c>
      <c r="C2670" s="1">
        <v>42533</v>
      </c>
      <c r="D2670" t="s">
        <v>27</v>
      </c>
      <c r="E2670" t="str">
        <f>VLOOKUP(TRIM(D2670), Catalogo_gestiones!$A:$B, 2, FALSE)</f>
        <v>S</v>
      </c>
    </row>
    <row r="2671" spans="1:5" x14ac:dyDescent="0.25">
      <c r="A2671">
        <v>8486686</v>
      </c>
      <c r="B2671">
        <v>16157140</v>
      </c>
      <c r="C2671" s="1">
        <v>42533</v>
      </c>
      <c r="D2671" t="s">
        <v>28</v>
      </c>
      <c r="E2671" t="str">
        <f>VLOOKUP(TRIM(D2671), Catalogo_gestiones!$A:$B, 2, FALSE)</f>
        <v>N</v>
      </c>
    </row>
    <row r="2672" spans="1:5" x14ac:dyDescent="0.25">
      <c r="A2672">
        <v>8486807</v>
      </c>
      <c r="B2672">
        <v>27598664</v>
      </c>
      <c r="C2672" s="1">
        <v>42533</v>
      </c>
      <c r="D2672" t="s">
        <v>24</v>
      </c>
      <c r="E2672" t="str">
        <f>VLOOKUP(TRIM(D2672), Catalogo_gestiones!$A:$B, 2, FALSE)</f>
        <v>S</v>
      </c>
    </row>
    <row r="2673" spans="1:5" x14ac:dyDescent="0.25">
      <c r="A2673">
        <v>8487330</v>
      </c>
      <c r="B2673">
        <v>22547293</v>
      </c>
      <c r="C2673" s="1">
        <v>42533</v>
      </c>
      <c r="D2673" t="s">
        <v>25</v>
      </c>
      <c r="E2673" t="str">
        <f>VLOOKUP(TRIM(D2673), Catalogo_gestiones!$A:$B, 2, FALSE)</f>
        <v>N</v>
      </c>
    </row>
    <row r="2674" spans="1:5" x14ac:dyDescent="0.25">
      <c r="A2674">
        <v>8487332</v>
      </c>
      <c r="B2674">
        <v>4441692</v>
      </c>
      <c r="C2674" s="1">
        <v>42533</v>
      </c>
      <c r="D2674" t="s">
        <v>26</v>
      </c>
      <c r="E2674" t="str">
        <f>VLOOKUP(TRIM(D2674), Catalogo_gestiones!$A:$B, 2, FALSE)</f>
        <v>N</v>
      </c>
    </row>
    <row r="2675" spans="1:5" x14ac:dyDescent="0.25">
      <c r="A2675">
        <v>8487332</v>
      </c>
      <c r="B2675">
        <v>21577757</v>
      </c>
      <c r="C2675" s="1">
        <v>42534</v>
      </c>
      <c r="D2675" t="s">
        <v>27</v>
      </c>
      <c r="E2675" t="str">
        <f>VLOOKUP(TRIM(D2675), Catalogo_gestiones!$A:$B, 2, FALSE)</f>
        <v>S</v>
      </c>
    </row>
    <row r="2676" spans="1:5" x14ac:dyDescent="0.25">
      <c r="A2676">
        <v>8487669</v>
      </c>
      <c r="B2676">
        <v>24385491</v>
      </c>
      <c r="C2676" s="1">
        <v>42533</v>
      </c>
      <c r="D2676" t="s">
        <v>28</v>
      </c>
      <c r="E2676" t="str">
        <f>VLOOKUP(TRIM(D2676), Catalogo_gestiones!$A:$B, 2, FALSE)</f>
        <v>N</v>
      </c>
    </row>
    <row r="2677" spans="1:5" x14ac:dyDescent="0.25">
      <c r="A2677">
        <v>8487742</v>
      </c>
      <c r="B2677">
        <v>22273203</v>
      </c>
      <c r="C2677" s="1">
        <v>42533</v>
      </c>
      <c r="D2677" t="s">
        <v>30</v>
      </c>
      <c r="E2677" t="str">
        <f>VLOOKUP(TRIM(D2677), Catalogo_gestiones!$A:$B, 2, FALSE)</f>
        <v>S</v>
      </c>
    </row>
    <row r="2678" spans="1:5" x14ac:dyDescent="0.25">
      <c r="A2678">
        <v>8487795</v>
      </c>
      <c r="B2678">
        <v>25989548</v>
      </c>
      <c r="C2678" s="1">
        <v>42533</v>
      </c>
      <c r="D2678" t="s">
        <v>24</v>
      </c>
      <c r="E2678" t="str">
        <f>VLOOKUP(TRIM(D2678), Catalogo_gestiones!$A:$B, 2, FALSE)</f>
        <v>S</v>
      </c>
    </row>
    <row r="2679" spans="1:5" x14ac:dyDescent="0.25">
      <c r="A2679">
        <v>8488069</v>
      </c>
      <c r="B2679">
        <v>26845371</v>
      </c>
      <c r="C2679" s="1">
        <v>42533</v>
      </c>
      <c r="D2679" t="s">
        <v>25</v>
      </c>
      <c r="E2679" t="str">
        <f>VLOOKUP(TRIM(D2679), Catalogo_gestiones!$A:$B, 2, FALSE)</f>
        <v>N</v>
      </c>
    </row>
    <row r="2680" spans="1:5" x14ac:dyDescent="0.25">
      <c r="A2680">
        <v>8488114</v>
      </c>
      <c r="B2680">
        <v>25928078</v>
      </c>
      <c r="C2680" s="1">
        <v>42533</v>
      </c>
      <c r="D2680" t="s">
        <v>26</v>
      </c>
      <c r="E2680" t="str">
        <f>VLOOKUP(TRIM(D2680), Catalogo_gestiones!$A:$B, 2, FALSE)</f>
        <v>N</v>
      </c>
    </row>
    <row r="2681" spans="1:5" x14ac:dyDescent="0.25">
      <c r="A2681">
        <v>8488114</v>
      </c>
      <c r="B2681">
        <v>25929542</v>
      </c>
      <c r="C2681" s="1">
        <v>42533</v>
      </c>
      <c r="D2681" t="s">
        <v>27</v>
      </c>
      <c r="E2681" t="str">
        <f>VLOOKUP(TRIM(D2681), Catalogo_gestiones!$A:$B, 2, FALSE)</f>
        <v>S</v>
      </c>
    </row>
    <row r="2682" spans="1:5" x14ac:dyDescent="0.25">
      <c r="A2682">
        <v>8488151</v>
      </c>
      <c r="B2682">
        <v>27177262</v>
      </c>
      <c r="C2682" s="1">
        <v>42533</v>
      </c>
      <c r="D2682" t="s">
        <v>28</v>
      </c>
      <c r="E2682" t="str">
        <f>VLOOKUP(TRIM(D2682), Catalogo_gestiones!$A:$B, 2, FALSE)</f>
        <v>N</v>
      </c>
    </row>
    <row r="2683" spans="1:5" x14ac:dyDescent="0.25">
      <c r="A2683">
        <v>8488441</v>
      </c>
      <c r="B2683">
        <v>19581466</v>
      </c>
      <c r="C2683" s="1">
        <v>42533</v>
      </c>
      <c r="D2683" t="s">
        <v>24</v>
      </c>
      <c r="E2683" t="str">
        <f>VLOOKUP(TRIM(D2683), Catalogo_gestiones!$A:$B, 2, FALSE)</f>
        <v>S</v>
      </c>
    </row>
    <row r="2684" spans="1:5" x14ac:dyDescent="0.25">
      <c r="A2684">
        <v>8488549</v>
      </c>
      <c r="B2684">
        <v>21549880</v>
      </c>
      <c r="C2684" s="1">
        <v>42534</v>
      </c>
      <c r="D2684" t="s">
        <v>25</v>
      </c>
      <c r="E2684" t="str">
        <f>VLOOKUP(TRIM(D2684), Catalogo_gestiones!$A:$B, 2, FALSE)</f>
        <v>N</v>
      </c>
    </row>
    <row r="2685" spans="1:5" x14ac:dyDescent="0.25">
      <c r="A2685">
        <v>8488549</v>
      </c>
      <c r="B2685">
        <v>26419172</v>
      </c>
      <c r="C2685" s="1">
        <v>42534</v>
      </c>
      <c r="D2685" t="s">
        <v>26</v>
      </c>
      <c r="E2685" t="str">
        <f>VLOOKUP(TRIM(D2685), Catalogo_gestiones!$A:$B, 2, FALSE)</f>
        <v>N</v>
      </c>
    </row>
    <row r="2686" spans="1:5" x14ac:dyDescent="0.25">
      <c r="A2686">
        <v>8488607</v>
      </c>
      <c r="B2686">
        <v>15630098</v>
      </c>
      <c r="C2686" s="1">
        <v>42533</v>
      </c>
      <c r="D2686" t="s">
        <v>27</v>
      </c>
      <c r="E2686" t="str">
        <f>VLOOKUP(TRIM(D2686), Catalogo_gestiones!$A:$B, 2, FALSE)</f>
        <v>S</v>
      </c>
    </row>
    <row r="2687" spans="1:5" x14ac:dyDescent="0.25">
      <c r="A2687">
        <v>8488607</v>
      </c>
      <c r="B2687">
        <v>16298760</v>
      </c>
      <c r="C2687" s="1">
        <v>42533</v>
      </c>
      <c r="D2687" t="s">
        <v>28</v>
      </c>
      <c r="E2687" t="str">
        <f>VLOOKUP(TRIM(D2687), Catalogo_gestiones!$A:$B, 2, FALSE)</f>
        <v>N</v>
      </c>
    </row>
    <row r="2688" spans="1:5" x14ac:dyDescent="0.25">
      <c r="A2688">
        <v>8488607</v>
      </c>
      <c r="B2688">
        <v>25367323</v>
      </c>
      <c r="C2688" s="1">
        <v>42533</v>
      </c>
      <c r="D2688" t="s">
        <v>24</v>
      </c>
      <c r="E2688" t="str">
        <f>VLOOKUP(TRIM(D2688), Catalogo_gestiones!$A:$B, 2, FALSE)</f>
        <v>S</v>
      </c>
    </row>
    <row r="2689" spans="1:5" x14ac:dyDescent="0.25">
      <c r="A2689">
        <v>8488668</v>
      </c>
      <c r="B2689">
        <v>25472034</v>
      </c>
      <c r="C2689" s="1">
        <v>42533</v>
      </c>
      <c r="D2689" t="s">
        <v>25</v>
      </c>
      <c r="E2689" t="str">
        <f>VLOOKUP(TRIM(D2689), Catalogo_gestiones!$A:$B, 2, FALSE)</f>
        <v>N</v>
      </c>
    </row>
    <row r="2690" spans="1:5" x14ac:dyDescent="0.25">
      <c r="A2690">
        <v>8488668</v>
      </c>
      <c r="B2690">
        <v>25483738</v>
      </c>
      <c r="C2690" s="1">
        <v>42533</v>
      </c>
      <c r="D2690" t="s">
        <v>26</v>
      </c>
      <c r="E2690" t="str">
        <f>VLOOKUP(TRIM(D2690), Catalogo_gestiones!$A:$B, 2, FALSE)</f>
        <v>N</v>
      </c>
    </row>
    <row r="2691" spans="1:5" x14ac:dyDescent="0.25">
      <c r="A2691">
        <v>8488982</v>
      </c>
      <c r="B2691">
        <v>24163017</v>
      </c>
      <c r="C2691" s="1">
        <v>42533</v>
      </c>
      <c r="D2691" t="s">
        <v>27</v>
      </c>
      <c r="E2691" t="str">
        <f>VLOOKUP(TRIM(D2691), Catalogo_gestiones!$A:$B, 2, FALSE)</f>
        <v>S</v>
      </c>
    </row>
    <row r="2692" spans="1:5" x14ac:dyDescent="0.25">
      <c r="A2692">
        <v>8489163</v>
      </c>
      <c r="B2692">
        <v>25275656</v>
      </c>
      <c r="C2692" s="1">
        <v>42533</v>
      </c>
      <c r="D2692" t="s">
        <v>28</v>
      </c>
      <c r="E2692" t="str">
        <f>VLOOKUP(TRIM(D2692), Catalogo_gestiones!$A:$B, 2, FALSE)</f>
        <v>N</v>
      </c>
    </row>
    <row r="2693" spans="1:5" x14ac:dyDescent="0.25">
      <c r="A2693">
        <v>8489318</v>
      </c>
      <c r="B2693">
        <v>25471498</v>
      </c>
      <c r="C2693" s="1">
        <v>42533</v>
      </c>
      <c r="D2693" t="s">
        <v>30</v>
      </c>
      <c r="E2693" t="str">
        <f>VLOOKUP(TRIM(D2693), Catalogo_gestiones!$A:$B, 2, FALSE)</f>
        <v>S</v>
      </c>
    </row>
    <row r="2694" spans="1:5" x14ac:dyDescent="0.25">
      <c r="A2694">
        <v>8489458</v>
      </c>
      <c r="B2694">
        <v>25194912</v>
      </c>
      <c r="C2694" s="1">
        <v>42533</v>
      </c>
      <c r="D2694" t="s">
        <v>24</v>
      </c>
      <c r="E2694" t="str">
        <f>VLOOKUP(TRIM(D2694), Catalogo_gestiones!$A:$B, 2, FALSE)</f>
        <v>S</v>
      </c>
    </row>
    <row r="2695" spans="1:5" x14ac:dyDescent="0.25">
      <c r="A2695">
        <v>8489458</v>
      </c>
      <c r="B2695">
        <v>26251506</v>
      </c>
      <c r="C2695" s="1">
        <v>42533</v>
      </c>
      <c r="D2695" t="s">
        <v>25</v>
      </c>
      <c r="E2695" t="str">
        <f>VLOOKUP(TRIM(D2695), Catalogo_gestiones!$A:$B, 2, FALSE)</f>
        <v>N</v>
      </c>
    </row>
    <row r="2696" spans="1:5" x14ac:dyDescent="0.25">
      <c r="A2696">
        <v>8489663</v>
      </c>
      <c r="B2696">
        <v>25490054</v>
      </c>
      <c r="C2696" s="1">
        <v>42533</v>
      </c>
      <c r="D2696" t="s">
        <v>26</v>
      </c>
      <c r="E2696" t="str">
        <f>VLOOKUP(TRIM(D2696), Catalogo_gestiones!$A:$B, 2, FALSE)</f>
        <v>N</v>
      </c>
    </row>
    <row r="2697" spans="1:5" x14ac:dyDescent="0.25">
      <c r="A2697">
        <v>8489663</v>
      </c>
      <c r="B2697">
        <v>27844618</v>
      </c>
      <c r="C2697" s="1">
        <v>42533</v>
      </c>
      <c r="D2697" t="s">
        <v>27</v>
      </c>
      <c r="E2697" t="str">
        <f>VLOOKUP(TRIM(D2697), Catalogo_gestiones!$A:$B, 2, FALSE)</f>
        <v>S</v>
      </c>
    </row>
    <row r="2698" spans="1:5" x14ac:dyDescent="0.25">
      <c r="A2698">
        <v>8489760</v>
      </c>
      <c r="B2698">
        <v>14047669</v>
      </c>
      <c r="C2698" s="1">
        <v>42533</v>
      </c>
      <c r="D2698" t="s">
        <v>28</v>
      </c>
      <c r="E2698" t="str">
        <f>VLOOKUP(TRIM(D2698), Catalogo_gestiones!$A:$B, 2, FALSE)</f>
        <v>N</v>
      </c>
    </row>
    <row r="2699" spans="1:5" x14ac:dyDescent="0.25">
      <c r="A2699">
        <v>8489760</v>
      </c>
      <c r="B2699">
        <v>15290708</v>
      </c>
      <c r="C2699" s="1">
        <v>42533</v>
      </c>
      <c r="D2699" t="s">
        <v>24</v>
      </c>
      <c r="E2699" t="str">
        <f>VLOOKUP(TRIM(D2699), Catalogo_gestiones!$A:$B, 2, FALSE)</f>
        <v>S</v>
      </c>
    </row>
    <row r="2700" spans="1:5" x14ac:dyDescent="0.25">
      <c r="A2700">
        <v>8489781</v>
      </c>
      <c r="B2700">
        <v>21416984</v>
      </c>
      <c r="C2700" s="1">
        <v>42533</v>
      </c>
      <c r="D2700" t="s">
        <v>25</v>
      </c>
      <c r="E2700" t="str">
        <f>VLOOKUP(TRIM(D2700), Catalogo_gestiones!$A:$B, 2, FALSE)</f>
        <v>N</v>
      </c>
    </row>
    <row r="2701" spans="1:5" x14ac:dyDescent="0.25">
      <c r="A2701">
        <v>8489786</v>
      </c>
      <c r="B2701">
        <v>26575860</v>
      </c>
      <c r="C2701" s="1">
        <v>42533</v>
      </c>
      <c r="D2701" t="s">
        <v>26</v>
      </c>
      <c r="E2701" t="str">
        <f>VLOOKUP(TRIM(D2701), Catalogo_gestiones!$A:$B, 2, FALSE)</f>
        <v>N</v>
      </c>
    </row>
    <row r="2702" spans="1:5" x14ac:dyDescent="0.25">
      <c r="A2702">
        <v>8489792</v>
      </c>
      <c r="B2702">
        <v>20199251</v>
      </c>
      <c r="C2702" s="1">
        <v>42533</v>
      </c>
      <c r="D2702" t="s">
        <v>27</v>
      </c>
      <c r="E2702" t="str">
        <f>VLOOKUP(TRIM(D2702), Catalogo_gestiones!$A:$B, 2, FALSE)</f>
        <v>S</v>
      </c>
    </row>
    <row r="2703" spans="1:5" x14ac:dyDescent="0.25">
      <c r="A2703">
        <v>8489792</v>
      </c>
      <c r="B2703">
        <v>20199357</v>
      </c>
      <c r="C2703" s="1">
        <v>42533</v>
      </c>
      <c r="D2703" t="s">
        <v>28</v>
      </c>
      <c r="E2703" t="str">
        <f>VLOOKUP(TRIM(D2703), Catalogo_gestiones!$A:$B, 2, FALSE)</f>
        <v>N</v>
      </c>
    </row>
    <row r="2704" spans="1:5" x14ac:dyDescent="0.25">
      <c r="A2704">
        <v>8489814</v>
      </c>
      <c r="B2704">
        <v>27893831</v>
      </c>
      <c r="C2704" s="1">
        <v>42527</v>
      </c>
      <c r="D2704" t="s">
        <v>24</v>
      </c>
      <c r="E2704" t="str">
        <f>VLOOKUP(TRIM(D2704), Catalogo_gestiones!$A:$B, 2, FALSE)</f>
        <v>S</v>
      </c>
    </row>
    <row r="2705" spans="1:5" x14ac:dyDescent="0.25">
      <c r="A2705">
        <v>8489859</v>
      </c>
      <c r="B2705">
        <v>21249039</v>
      </c>
      <c r="C2705" s="1">
        <v>42533</v>
      </c>
      <c r="D2705" t="s">
        <v>25</v>
      </c>
      <c r="E2705" t="str">
        <f>VLOOKUP(TRIM(D2705), Catalogo_gestiones!$A:$B, 2, FALSE)</f>
        <v>N</v>
      </c>
    </row>
    <row r="2706" spans="1:5" x14ac:dyDescent="0.25">
      <c r="A2706">
        <v>8489892</v>
      </c>
      <c r="B2706">
        <v>20521084</v>
      </c>
      <c r="C2706" s="1">
        <v>42533</v>
      </c>
      <c r="D2706" t="s">
        <v>26</v>
      </c>
      <c r="E2706" t="str">
        <f>VLOOKUP(TRIM(D2706), Catalogo_gestiones!$A:$B, 2, FALSE)</f>
        <v>N</v>
      </c>
    </row>
    <row r="2707" spans="1:5" x14ac:dyDescent="0.25">
      <c r="A2707">
        <v>8489935</v>
      </c>
      <c r="B2707">
        <v>21568705</v>
      </c>
      <c r="C2707" s="1">
        <v>42527</v>
      </c>
      <c r="D2707" t="s">
        <v>27</v>
      </c>
      <c r="E2707" t="str">
        <f>VLOOKUP(TRIM(D2707), Catalogo_gestiones!$A:$B, 2, FALSE)</f>
        <v>S</v>
      </c>
    </row>
    <row r="2708" spans="1:5" x14ac:dyDescent="0.25">
      <c r="A2708">
        <v>8489978</v>
      </c>
      <c r="B2708">
        <v>25970137</v>
      </c>
      <c r="C2708" s="1">
        <v>42533</v>
      </c>
      <c r="D2708" t="s">
        <v>28</v>
      </c>
      <c r="E2708" t="str">
        <f>VLOOKUP(TRIM(D2708), Catalogo_gestiones!$A:$B, 2, FALSE)</f>
        <v>N</v>
      </c>
    </row>
    <row r="2709" spans="1:5" x14ac:dyDescent="0.25">
      <c r="A2709">
        <v>8490008</v>
      </c>
      <c r="B2709">
        <v>23864357</v>
      </c>
      <c r="C2709" s="1">
        <v>42533</v>
      </c>
      <c r="D2709" t="s">
        <v>30</v>
      </c>
      <c r="E2709" t="str">
        <f>VLOOKUP(TRIM(D2709), Catalogo_gestiones!$A:$B, 2, FALSE)</f>
        <v>S</v>
      </c>
    </row>
    <row r="2710" spans="1:5" x14ac:dyDescent="0.25">
      <c r="A2710">
        <v>8490353</v>
      </c>
      <c r="B2710">
        <v>23277912</v>
      </c>
      <c r="C2710" s="1">
        <v>42533</v>
      </c>
      <c r="D2710" t="s">
        <v>24</v>
      </c>
      <c r="E2710" t="str">
        <f>VLOOKUP(TRIM(D2710), Catalogo_gestiones!$A:$B, 2, FALSE)</f>
        <v>S</v>
      </c>
    </row>
    <row r="2711" spans="1:5" x14ac:dyDescent="0.25">
      <c r="A2711">
        <v>8490527</v>
      </c>
      <c r="B2711">
        <v>20854367</v>
      </c>
      <c r="C2711" s="1">
        <v>42533</v>
      </c>
      <c r="D2711" t="s">
        <v>25</v>
      </c>
      <c r="E2711" t="str">
        <f>VLOOKUP(TRIM(D2711), Catalogo_gestiones!$A:$B, 2, FALSE)</f>
        <v>N</v>
      </c>
    </row>
    <row r="2712" spans="1:5" x14ac:dyDescent="0.25">
      <c r="A2712">
        <v>8490527</v>
      </c>
      <c r="B2712">
        <v>20854953</v>
      </c>
      <c r="C2712" s="1">
        <v>42533</v>
      </c>
      <c r="D2712" t="s">
        <v>26</v>
      </c>
      <c r="E2712" t="str">
        <f>VLOOKUP(TRIM(D2712), Catalogo_gestiones!$A:$B, 2, FALSE)</f>
        <v>N</v>
      </c>
    </row>
    <row r="2713" spans="1:5" x14ac:dyDescent="0.25">
      <c r="A2713">
        <v>8490527</v>
      </c>
      <c r="B2713">
        <v>20855710</v>
      </c>
      <c r="C2713" s="1">
        <v>42533</v>
      </c>
      <c r="D2713" t="s">
        <v>27</v>
      </c>
      <c r="E2713" t="str">
        <f>VLOOKUP(TRIM(D2713), Catalogo_gestiones!$A:$B, 2, FALSE)</f>
        <v>S</v>
      </c>
    </row>
    <row r="2714" spans="1:5" x14ac:dyDescent="0.25">
      <c r="A2714">
        <v>8490649</v>
      </c>
      <c r="B2714">
        <v>21553476</v>
      </c>
      <c r="C2714" s="1">
        <v>42533</v>
      </c>
      <c r="D2714" t="s">
        <v>28</v>
      </c>
      <c r="E2714" t="str">
        <f>VLOOKUP(TRIM(D2714), Catalogo_gestiones!$A:$B, 2, FALSE)</f>
        <v>N</v>
      </c>
    </row>
    <row r="2715" spans="1:5" x14ac:dyDescent="0.25">
      <c r="A2715">
        <v>8490689</v>
      </c>
      <c r="B2715">
        <v>27154092</v>
      </c>
      <c r="C2715" s="1">
        <v>42533</v>
      </c>
      <c r="D2715" t="s">
        <v>24</v>
      </c>
      <c r="E2715" t="str">
        <f>VLOOKUP(TRIM(D2715), Catalogo_gestiones!$A:$B, 2, FALSE)</f>
        <v>S</v>
      </c>
    </row>
    <row r="2716" spans="1:5" x14ac:dyDescent="0.25">
      <c r="A2716">
        <v>8490699</v>
      </c>
      <c r="B2716">
        <v>18460872</v>
      </c>
      <c r="C2716" s="1">
        <v>42533</v>
      </c>
      <c r="D2716" t="s">
        <v>25</v>
      </c>
      <c r="E2716" t="str">
        <f>VLOOKUP(TRIM(D2716), Catalogo_gestiones!$A:$B, 2, FALSE)</f>
        <v>N</v>
      </c>
    </row>
    <row r="2717" spans="1:5" x14ac:dyDescent="0.25">
      <c r="A2717">
        <v>8490839</v>
      </c>
      <c r="B2717">
        <v>19557175</v>
      </c>
      <c r="C2717" s="1">
        <v>42533</v>
      </c>
      <c r="D2717" t="s">
        <v>26</v>
      </c>
      <c r="E2717" t="str">
        <f>VLOOKUP(TRIM(D2717), Catalogo_gestiones!$A:$B, 2, FALSE)</f>
        <v>N</v>
      </c>
    </row>
    <row r="2718" spans="1:5" x14ac:dyDescent="0.25">
      <c r="A2718">
        <v>8490841</v>
      </c>
      <c r="B2718">
        <v>19490815</v>
      </c>
      <c r="C2718" s="1">
        <v>42527</v>
      </c>
      <c r="D2718" t="s">
        <v>27</v>
      </c>
      <c r="E2718" t="str">
        <f>VLOOKUP(TRIM(D2718), Catalogo_gestiones!$A:$B, 2, FALSE)</f>
        <v>S</v>
      </c>
    </row>
    <row r="2719" spans="1:5" x14ac:dyDescent="0.25">
      <c r="A2719">
        <v>8490856</v>
      </c>
      <c r="B2719">
        <v>19824822</v>
      </c>
      <c r="C2719" s="1">
        <v>42533</v>
      </c>
      <c r="D2719" t="s">
        <v>28</v>
      </c>
      <c r="E2719" t="str">
        <f>VLOOKUP(TRIM(D2719), Catalogo_gestiones!$A:$B, 2, FALSE)</f>
        <v>N</v>
      </c>
    </row>
    <row r="2720" spans="1:5" x14ac:dyDescent="0.25">
      <c r="A2720">
        <v>8490856</v>
      </c>
      <c r="B2720">
        <v>22443572</v>
      </c>
      <c r="C2720" s="1">
        <v>42533</v>
      </c>
      <c r="D2720" t="s">
        <v>24</v>
      </c>
      <c r="E2720" t="str">
        <f>VLOOKUP(TRIM(D2720), Catalogo_gestiones!$A:$B, 2, FALSE)</f>
        <v>S</v>
      </c>
    </row>
    <row r="2721" spans="1:5" x14ac:dyDescent="0.25">
      <c r="A2721">
        <v>8490949</v>
      </c>
      <c r="B2721">
        <v>25373614</v>
      </c>
      <c r="C2721" s="1">
        <v>42533</v>
      </c>
      <c r="D2721" t="s">
        <v>25</v>
      </c>
      <c r="E2721" t="str">
        <f>VLOOKUP(TRIM(D2721), Catalogo_gestiones!$A:$B, 2, FALSE)</f>
        <v>N</v>
      </c>
    </row>
    <row r="2722" spans="1:5" x14ac:dyDescent="0.25">
      <c r="A2722">
        <v>8491006</v>
      </c>
      <c r="B2722">
        <v>24075863</v>
      </c>
      <c r="C2722" s="1">
        <v>42527</v>
      </c>
      <c r="D2722" t="s">
        <v>26</v>
      </c>
      <c r="E2722" t="str">
        <f>VLOOKUP(TRIM(D2722), Catalogo_gestiones!$A:$B, 2, FALSE)</f>
        <v>N</v>
      </c>
    </row>
    <row r="2723" spans="1:5" x14ac:dyDescent="0.25">
      <c r="A2723">
        <v>8491092</v>
      </c>
      <c r="B2723">
        <v>22418324</v>
      </c>
      <c r="C2723" s="1">
        <v>42533</v>
      </c>
      <c r="D2723" t="s">
        <v>27</v>
      </c>
      <c r="E2723" t="str">
        <f>VLOOKUP(TRIM(D2723), Catalogo_gestiones!$A:$B, 2, FALSE)</f>
        <v>S</v>
      </c>
    </row>
    <row r="2724" spans="1:5" x14ac:dyDescent="0.25">
      <c r="A2724">
        <v>8491203</v>
      </c>
      <c r="B2724">
        <v>21218625</v>
      </c>
      <c r="C2724" s="1">
        <v>42533</v>
      </c>
      <c r="D2724" t="s">
        <v>28</v>
      </c>
      <c r="E2724" t="str">
        <f>VLOOKUP(TRIM(D2724), Catalogo_gestiones!$A:$B, 2, FALSE)</f>
        <v>N</v>
      </c>
    </row>
    <row r="2725" spans="1:5" x14ac:dyDescent="0.25">
      <c r="A2725">
        <v>8491282</v>
      </c>
      <c r="B2725">
        <v>22486333</v>
      </c>
      <c r="C2725" s="1">
        <v>42533</v>
      </c>
      <c r="D2725" t="s">
        <v>30</v>
      </c>
      <c r="E2725" t="str">
        <f>VLOOKUP(TRIM(D2725), Catalogo_gestiones!$A:$B, 2, FALSE)</f>
        <v>S</v>
      </c>
    </row>
    <row r="2726" spans="1:5" x14ac:dyDescent="0.25">
      <c r="A2726">
        <v>8491300</v>
      </c>
      <c r="B2726">
        <v>21183899</v>
      </c>
      <c r="C2726" s="1">
        <v>42533</v>
      </c>
      <c r="D2726" t="s">
        <v>24</v>
      </c>
      <c r="E2726" t="str">
        <f>VLOOKUP(TRIM(D2726), Catalogo_gestiones!$A:$B, 2, FALSE)</f>
        <v>S</v>
      </c>
    </row>
    <row r="2727" spans="1:5" x14ac:dyDescent="0.25">
      <c r="A2727">
        <v>8491306</v>
      </c>
      <c r="B2727">
        <v>25320990</v>
      </c>
      <c r="C2727" s="1">
        <v>42533</v>
      </c>
      <c r="D2727" t="s">
        <v>25</v>
      </c>
      <c r="E2727" t="str">
        <f>VLOOKUP(TRIM(D2727), Catalogo_gestiones!$A:$B, 2, FALSE)</f>
        <v>N</v>
      </c>
    </row>
    <row r="2728" spans="1:5" x14ac:dyDescent="0.25">
      <c r="A2728">
        <v>8491306</v>
      </c>
      <c r="B2728">
        <v>28043155</v>
      </c>
      <c r="C2728" s="1">
        <v>42529</v>
      </c>
      <c r="D2728" t="s">
        <v>26</v>
      </c>
      <c r="E2728" t="str">
        <f>VLOOKUP(TRIM(D2728), Catalogo_gestiones!$A:$B, 2, FALSE)</f>
        <v>N</v>
      </c>
    </row>
    <row r="2729" spans="1:5" x14ac:dyDescent="0.25">
      <c r="A2729">
        <v>8491409</v>
      </c>
      <c r="B2729">
        <v>25336921</v>
      </c>
      <c r="C2729" s="1">
        <v>42533</v>
      </c>
      <c r="D2729" t="s">
        <v>27</v>
      </c>
      <c r="E2729" t="str">
        <f>VLOOKUP(TRIM(D2729), Catalogo_gestiones!$A:$B, 2, FALSE)</f>
        <v>S</v>
      </c>
    </row>
    <row r="2730" spans="1:5" x14ac:dyDescent="0.25">
      <c r="A2730">
        <v>8491409</v>
      </c>
      <c r="B2730">
        <v>27153393</v>
      </c>
      <c r="C2730" s="1">
        <v>42533</v>
      </c>
      <c r="D2730" t="s">
        <v>28</v>
      </c>
      <c r="E2730" t="str">
        <f>VLOOKUP(TRIM(D2730), Catalogo_gestiones!$A:$B, 2, FALSE)</f>
        <v>N</v>
      </c>
    </row>
    <row r="2731" spans="1:5" x14ac:dyDescent="0.25">
      <c r="A2731">
        <v>8491572</v>
      </c>
      <c r="B2731">
        <v>25119103</v>
      </c>
      <c r="C2731" s="1">
        <v>42533</v>
      </c>
      <c r="D2731" t="s">
        <v>24</v>
      </c>
      <c r="E2731" t="str">
        <f>VLOOKUP(TRIM(D2731), Catalogo_gestiones!$A:$B, 2, FALSE)</f>
        <v>S</v>
      </c>
    </row>
    <row r="2732" spans="1:5" x14ac:dyDescent="0.25">
      <c r="A2732">
        <v>8491599</v>
      </c>
      <c r="B2732">
        <v>17748506</v>
      </c>
      <c r="C2732" s="1">
        <v>42533</v>
      </c>
      <c r="D2732" t="s">
        <v>25</v>
      </c>
      <c r="E2732" t="str">
        <f>VLOOKUP(TRIM(D2732), Catalogo_gestiones!$A:$B, 2, FALSE)</f>
        <v>N</v>
      </c>
    </row>
    <row r="2733" spans="1:5" x14ac:dyDescent="0.25">
      <c r="A2733">
        <v>8491599</v>
      </c>
      <c r="B2733">
        <v>27386020</v>
      </c>
      <c r="C2733" s="1">
        <v>42533</v>
      </c>
      <c r="D2733" t="s">
        <v>26</v>
      </c>
      <c r="E2733" t="str">
        <f>VLOOKUP(TRIM(D2733), Catalogo_gestiones!$A:$B, 2, FALSE)</f>
        <v>N</v>
      </c>
    </row>
    <row r="2734" spans="1:5" x14ac:dyDescent="0.25">
      <c r="A2734">
        <v>8491737</v>
      </c>
      <c r="B2734">
        <v>26833770</v>
      </c>
      <c r="C2734" s="1">
        <v>42533</v>
      </c>
      <c r="D2734" t="s">
        <v>27</v>
      </c>
      <c r="E2734" t="str">
        <f>VLOOKUP(TRIM(D2734), Catalogo_gestiones!$A:$B, 2, FALSE)</f>
        <v>S</v>
      </c>
    </row>
    <row r="2735" spans="1:5" x14ac:dyDescent="0.25">
      <c r="A2735">
        <v>8491737</v>
      </c>
      <c r="B2735">
        <v>26835229</v>
      </c>
      <c r="C2735" s="1">
        <v>42533</v>
      </c>
      <c r="D2735" t="s">
        <v>28</v>
      </c>
      <c r="E2735" t="str">
        <f>VLOOKUP(TRIM(D2735), Catalogo_gestiones!$A:$B, 2, FALSE)</f>
        <v>N</v>
      </c>
    </row>
    <row r="2736" spans="1:5" x14ac:dyDescent="0.25">
      <c r="A2736">
        <v>8491826</v>
      </c>
      <c r="B2736">
        <v>26151343</v>
      </c>
      <c r="C2736" s="1">
        <v>42533</v>
      </c>
      <c r="D2736" t="s">
        <v>24</v>
      </c>
      <c r="E2736" t="str">
        <f>VLOOKUP(TRIM(D2736), Catalogo_gestiones!$A:$B, 2, FALSE)</f>
        <v>S</v>
      </c>
    </row>
    <row r="2737" spans="1:5" x14ac:dyDescent="0.25">
      <c r="A2737">
        <v>8491843</v>
      </c>
      <c r="B2737">
        <v>27278763</v>
      </c>
      <c r="C2737" s="1">
        <v>42533</v>
      </c>
      <c r="D2737" t="s">
        <v>25</v>
      </c>
      <c r="E2737" t="str">
        <f>VLOOKUP(TRIM(D2737), Catalogo_gestiones!$A:$B, 2, FALSE)</f>
        <v>N</v>
      </c>
    </row>
    <row r="2738" spans="1:5" x14ac:dyDescent="0.25">
      <c r="A2738">
        <v>8491858</v>
      </c>
      <c r="B2738">
        <v>25879366</v>
      </c>
      <c r="C2738" s="1">
        <v>42533</v>
      </c>
      <c r="D2738" t="s">
        <v>26</v>
      </c>
      <c r="E2738" t="str">
        <f>VLOOKUP(TRIM(D2738), Catalogo_gestiones!$A:$B, 2, FALSE)</f>
        <v>N</v>
      </c>
    </row>
    <row r="2739" spans="1:5" x14ac:dyDescent="0.25">
      <c r="A2739">
        <v>8491858</v>
      </c>
      <c r="B2739">
        <v>27654219</v>
      </c>
      <c r="C2739" s="1">
        <v>42533</v>
      </c>
      <c r="D2739" t="s">
        <v>27</v>
      </c>
      <c r="E2739" t="str">
        <f>VLOOKUP(TRIM(D2739), Catalogo_gestiones!$A:$B, 2, FALSE)</f>
        <v>S</v>
      </c>
    </row>
    <row r="2740" spans="1:5" x14ac:dyDescent="0.25">
      <c r="A2740">
        <v>8491877</v>
      </c>
      <c r="B2740">
        <v>27396609</v>
      </c>
      <c r="C2740" s="1">
        <v>42533</v>
      </c>
      <c r="D2740" t="s">
        <v>28</v>
      </c>
      <c r="E2740" t="str">
        <f>VLOOKUP(TRIM(D2740), Catalogo_gestiones!$A:$B, 2, FALSE)</f>
        <v>N</v>
      </c>
    </row>
    <row r="2741" spans="1:5" x14ac:dyDescent="0.25">
      <c r="A2741">
        <v>8491910</v>
      </c>
      <c r="B2741">
        <v>27575915</v>
      </c>
      <c r="C2741" s="1">
        <v>42533</v>
      </c>
      <c r="D2741" t="s">
        <v>30</v>
      </c>
      <c r="E2741" t="str">
        <f>VLOOKUP(TRIM(D2741), Catalogo_gestiones!$A:$B, 2, FALSE)</f>
        <v>S</v>
      </c>
    </row>
    <row r="2742" spans="1:5" x14ac:dyDescent="0.25">
      <c r="A2742">
        <v>8491961</v>
      </c>
      <c r="B2742">
        <v>24127681</v>
      </c>
      <c r="C2742" s="1">
        <v>42533</v>
      </c>
      <c r="D2742" t="s">
        <v>24</v>
      </c>
      <c r="E2742" t="str">
        <f>VLOOKUP(TRIM(D2742), Catalogo_gestiones!$A:$B, 2, FALSE)</f>
        <v>S</v>
      </c>
    </row>
    <row r="2743" spans="1:5" x14ac:dyDescent="0.25">
      <c r="A2743">
        <v>8491969</v>
      </c>
      <c r="B2743">
        <v>16363550</v>
      </c>
      <c r="C2743" s="1">
        <v>42533</v>
      </c>
      <c r="D2743" t="s">
        <v>25</v>
      </c>
      <c r="E2743" t="str">
        <f>VLOOKUP(TRIM(D2743), Catalogo_gestiones!$A:$B, 2, FALSE)</f>
        <v>N</v>
      </c>
    </row>
    <row r="2744" spans="1:5" x14ac:dyDescent="0.25">
      <c r="A2744">
        <v>8492088</v>
      </c>
      <c r="B2744">
        <v>26249534</v>
      </c>
      <c r="C2744" s="1">
        <v>42533</v>
      </c>
      <c r="D2744" t="s">
        <v>26</v>
      </c>
      <c r="E2744" t="str">
        <f>VLOOKUP(TRIM(D2744), Catalogo_gestiones!$A:$B, 2, FALSE)</f>
        <v>N</v>
      </c>
    </row>
    <row r="2745" spans="1:5" x14ac:dyDescent="0.25">
      <c r="A2745">
        <v>8492088</v>
      </c>
      <c r="B2745">
        <v>26935418</v>
      </c>
      <c r="C2745" s="1">
        <v>42533</v>
      </c>
      <c r="D2745" t="s">
        <v>27</v>
      </c>
      <c r="E2745" t="str">
        <f>VLOOKUP(TRIM(D2745), Catalogo_gestiones!$A:$B, 2, FALSE)</f>
        <v>S</v>
      </c>
    </row>
    <row r="2746" spans="1:5" x14ac:dyDescent="0.25">
      <c r="A2746">
        <v>8492200</v>
      </c>
      <c r="B2746">
        <v>26140581</v>
      </c>
      <c r="C2746" s="1">
        <v>42533</v>
      </c>
      <c r="D2746" t="s">
        <v>28</v>
      </c>
      <c r="E2746" t="str">
        <f>VLOOKUP(TRIM(D2746), Catalogo_gestiones!$A:$B, 2, FALSE)</f>
        <v>N</v>
      </c>
    </row>
    <row r="2747" spans="1:5" x14ac:dyDescent="0.25">
      <c r="A2747">
        <v>8492200</v>
      </c>
      <c r="B2747">
        <v>27915896</v>
      </c>
      <c r="C2747" s="1">
        <v>42533</v>
      </c>
      <c r="D2747" t="s">
        <v>24</v>
      </c>
      <c r="E2747" t="str">
        <f>VLOOKUP(TRIM(D2747), Catalogo_gestiones!$A:$B, 2, FALSE)</f>
        <v>S</v>
      </c>
    </row>
    <row r="2748" spans="1:5" x14ac:dyDescent="0.25">
      <c r="A2748">
        <v>8492200</v>
      </c>
      <c r="B2748">
        <v>27917896</v>
      </c>
      <c r="C2748" s="1">
        <v>42533</v>
      </c>
      <c r="D2748" t="s">
        <v>25</v>
      </c>
      <c r="E2748" t="str">
        <f>VLOOKUP(TRIM(D2748), Catalogo_gestiones!$A:$B, 2, FALSE)</f>
        <v>N</v>
      </c>
    </row>
    <row r="2749" spans="1:5" x14ac:dyDescent="0.25">
      <c r="A2749">
        <v>8492200</v>
      </c>
      <c r="B2749">
        <v>28216922</v>
      </c>
      <c r="C2749" s="1">
        <v>42533</v>
      </c>
      <c r="D2749" t="s">
        <v>26</v>
      </c>
      <c r="E2749" t="str">
        <f>VLOOKUP(TRIM(D2749), Catalogo_gestiones!$A:$B, 2, FALSE)</f>
        <v>N</v>
      </c>
    </row>
    <row r="2750" spans="1:5" x14ac:dyDescent="0.25">
      <c r="A2750">
        <v>8492224</v>
      </c>
      <c r="B2750">
        <v>24128447</v>
      </c>
      <c r="C2750" s="1">
        <v>42533</v>
      </c>
      <c r="D2750" t="s">
        <v>27</v>
      </c>
      <c r="E2750" t="str">
        <f>VLOOKUP(TRIM(D2750), Catalogo_gestiones!$A:$B, 2, FALSE)</f>
        <v>S</v>
      </c>
    </row>
    <row r="2751" spans="1:5" x14ac:dyDescent="0.25">
      <c r="A2751">
        <v>8492224</v>
      </c>
      <c r="B2751">
        <v>25908299</v>
      </c>
      <c r="C2751" s="1">
        <v>42533</v>
      </c>
      <c r="D2751" t="s">
        <v>28</v>
      </c>
      <c r="E2751" t="str">
        <f>VLOOKUP(TRIM(D2751), Catalogo_gestiones!$A:$B, 2, FALSE)</f>
        <v>N</v>
      </c>
    </row>
    <row r="2752" spans="1:5" x14ac:dyDescent="0.25">
      <c r="A2752">
        <v>8519022</v>
      </c>
      <c r="B2752">
        <v>25194705</v>
      </c>
      <c r="C2752" s="1">
        <v>42533</v>
      </c>
      <c r="D2752" t="s">
        <v>24</v>
      </c>
      <c r="E2752" t="str">
        <f>VLOOKUP(TRIM(D2752), Catalogo_gestiones!$A:$B, 2, FALSE)</f>
        <v>S</v>
      </c>
    </row>
    <row r="2753" spans="1:5" x14ac:dyDescent="0.25">
      <c r="A2753">
        <v>8519329</v>
      </c>
      <c r="B2753">
        <v>27448637</v>
      </c>
      <c r="C2753" s="1">
        <v>42533</v>
      </c>
      <c r="D2753" t="s">
        <v>25</v>
      </c>
      <c r="E2753" t="str">
        <f>VLOOKUP(TRIM(D2753), Catalogo_gestiones!$A:$B, 2, FALSE)</f>
        <v>N</v>
      </c>
    </row>
    <row r="2754" spans="1:5" x14ac:dyDescent="0.25">
      <c r="A2754">
        <v>8519500</v>
      </c>
      <c r="B2754">
        <v>16702203</v>
      </c>
      <c r="C2754" s="1">
        <v>42533</v>
      </c>
      <c r="D2754" t="s">
        <v>26</v>
      </c>
      <c r="E2754" t="str">
        <f>VLOOKUP(TRIM(D2754), Catalogo_gestiones!$A:$B, 2, FALSE)</f>
        <v>N</v>
      </c>
    </row>
    <row r="2755" spans="1:5" x14ac:dyDescent="0.25">
      <c r="A2755">
        <v>8519941</v>
      </c>
      <c r="B2755">
        <v>25778601</v>
      </c>
      <c r="C2755" s="1">
        <v>42533</v>
      </c>
      <c r="D2755" t="s">
        <v>27</v>
      </c>
      <c r="E2755" t="str">
        <f>VLOOKUP(TRIM(D2755), Catalogo_gestiones!$A:$B, 2, FALSE)</f>
        <v>S</v>
      </c>
    </row>
    <row r="2756" spans="1:5" x14ac:dyDescent="0.25">
      <c r="A2756">
        <v>8520309</v>
      </c>
      <c r="B2756">
        <v>27065353</v>
      </c>
      <c r="C2756" s="1">
        <v>42533</v>
      </c>
      <c r="D2756" t="s">
        <v>28</v>
      </c>
      <c r="E2756" t="str">
        <f>VLOOKUP(TRIM(D2756), Catalogo_gestiones!$A:$B, 2, FALSE)</f>
        <v>N</v>
      </c>
    </row>
    <row r="2757" spans="1:5" x14ac:dyDescent="0.25">
      <c r="A2757">
        <v>8520480</v>
      </c>
      <c r="B2757">
        <v>24357359</v>
      </c>
      <c r="C2757" s="1">
        <v>42533</v>
      </c>
      <c r="D2757" t="s">
        <v>30</v>
      </c>
      <c r="E2757" t="str">
        <f>VLOOKUP(TRIM(D2757), Catalogo_gestiones!$A:$B, 2, FALSE)</f>
        <v>S</v>
      </c>
    </row>
    <row r="2758" spans="1:5" x14ac:dyDescent="0.25">
      <c r="A2758">
        <v>8520783</v>
      </c>
      <c r="B2758">
        <v>26404064</v>
      </c>
      <c r="C2758" s="1">
        <v>42533</v>
      </c>
      <c r="D2758" t="s">
        <v>24</v>
      </c>
      <c r="E2758" t="str">
        <f>VLOOKUP(TRIM(D2758), Catalogo_gestiones!$A:$B, 2, FALSE)</f>
        <v>S</v>
      </c>
    </row>
    <row r="2759" spans="1:5" x14ac:dyDescent="0.25">
      <c r="A2759">
        <v>8520783</v>
      </c>
      <c r="B2759">
        <v>26405918</v>
      </c>
      <c r="C2759" s="1">
        <v>42533</v>
      </c>
      <c r="D2759" t="s">
        <v>25</v>
      </c>
      <c r="E2759" t="str">
        <f>VLOOKUP(TRIM(D2759), Catalogo_gestiones!$A:$B, 2, FALSE)</f>
        <v>N</v>
      </c>
    </row>
    <row r="2760" spans="1:5" x14ac:dyDescent="0.25">
      <c r="A2760">
        <v>8520818</v>
      </c>
      <c r="B2760">
        <v>25708940</v>
      </c>
      <c r="C2760" s="1">
        <v>42533</v>
      </c>
      <c r="D2760" t="s">
        <v>26</v>
      </c>
      <c r="E2760" t="str">
        <f>VLOOKUP(TRIM(D2760), Catalogo_gestiones!$A:$B, 2, FALSE)</f>
        <v>N</v>
      </c>
    </row>
    <row r="2761" spans="1:5" x14ac:dyDescent="0.25">
      <c r="A2761">
        <v>8520919</v>
      </c>
      <c r="B2761">
        <v>26329105</v>
      </c>
      <c r="C2761" s="1">
        <v>42533</v>
      </c>
      <c r="D2761" t="s">
        <v>27</v>
      </c>
      <c r="E2761" t="str">
        <f>VLOOKUP(TRIM(D2761), Catalogo_gestiones!$A:$B, 2, FALSE)</f>
        <v>S</v>
      </c>
    </row>
    <row r="2762" spans="1:5" x14ac:dyDescent="0.25">
      <c r="A2762">
        <v>8521432</v>
      </c>
      <c r="B2762">
        <v>25258052</v>
      </c>
      <c r="C2762" s="1">
        <v>42533</v>
      </c>
      <c r="D2762" t="s">
        <v>28</v>
      </c>
      <c r="E2762" t="str">
        <f>VLOOKUP(TRIM(D2762), Catalogo_gestiones!$A:$B, 2, FALSE)</f>
        <v>N</v>
      </c>
    </row>
    <row r="2763" spans="1:5" x14ac:dyDescent="0.25">
      <c r="A2763">
        <v>8521432</v>
      </c>
      <c r="B2763">
        <v>25260267</v>
      </c>
      <c r="C2763" s="1">
        <v>42533</v>
      </c>
      <c r="D2763" t="s">
        <v>24</v>
      </c>
      <c r="E2763" t="str">
        <f>VLOOKUP(TRIM(D2763), Catalogo_gestiones!$A:$B, 2, FALSE)</f>
        <v>S</v>
      </c>
    </row>
    <row r="2764" spans="1:5" x14ac:dyDescent="0.25">
      <c r="A2764">
        <v>8521919</v>
      </c>
      <c r="B2764">
        <v>16760544</v>
      </c>
      <c r="C2764" s="1">
        <v>42533</v>
      </c>
      <c r="D2764" t="s">
        <v>25</v>
      </c>
      <c r="E2764" t="str">
        <f>VLOOKUP(TRIM(D2764), Catalogo_gestiones!$A:$B, 2, FALSE)</f>
        <v>N</v>
      </c>
    </row>
    <row r="2765" spans="1:5" x14ac:dyDescent="0.25">
      <c r="A2765">
        <v>8521961</v>
      </c>
      <c r="B2765">
        <v>20568876</v>
      </c>
      <c r="C2765" s="1">
        <v>42533</v>
      </c>
      <c r="D2765" t="s">
        <v>26</v>
      </c>
      <c r="E2765" t="str">
        <f>VLOOKUP(TRIM(D2765), Catalogo_gestiones!$A:$B, 2, FALSE)</f>
        <v>N</v>
      </c>
    </row>
    <row r="2766" spans="1:5" x14ac:dyDescent="0.25">
      <c r="A2766">
        <v>8522254</v>
      </c>
      <c r="B2766">
        <v>23993880</v>
      </c>
      <c r="C2766" s="1">
        <v>42533</v>
      </c>
      <c r="D2766" t="s">
        <v>27</v>
      </c>
      <c r="E2766" t="str">
        <f>VLOOKUP(TRIM(D2766), Catalogo_gestiones!$A:$B, 2, FALSE)</f>
        <v>S</v>
      </c>
    </row>
    <row r="2767" spans="1:5" x14ac:dyDescent="0.25">
      <c r="A2767">
        <v>8522309</v>
      </c>
      <c r="B2767">
        <v>27443938</v>
      </c>
      <c r="C2767" s="1">
        <v>42533</v>
      </c>
      <c r="D2767" t="s">
        <v>28</v>
      </c>
      <c r="E2767" t="str">
        <f>VLOOKUP(TRIM(D2767), Catalogo_gestiones!$A:$B, 2, FALSE)</f>
        <v>N</v>
      </c>
    </row>
    <row r="2768" spans="1:5" x14ac:dyDescent="0.25">
      <c r="A2768">
        <v>8522309</v>
      </c>
      <c r="B2768">
        <v>27447199</v>
      </c>
      <c r="C2768" s="1">
        <v>42533</v>
      </c>
      <c r="D2768" t="s">
        <v>24</v>
      </c>
      <c r="E2768" t="str">
        <f>VLOOKUP(TRIM(D2768), Catalogo_gestiones!$A:$B, 2, FALSE)</f>
        <v>S</v>
      </c>
    </row>
    <row r="2769" spans="1:5" x14ac:dyDescent="0.25">
      <c r="A2769">
        <v>8522309</v>
      </c>
      <c r="B2769">
        <v>27626239</v>
      </c>
      <c r="C2769" s="1">
        <v>42527</v>
      </c>
      <c r="D2769" t="s">
        <v>25</v>
      </c>
      <c r="E2769" t="str">
        <f>VLOOKUP(TRIM(D2769), Catalogo_gestiones!$A:$B, 2, FALSE)</f>
        <v>N</v>
      </c>
    </row>
    <row r="2770" spans="1:5" x14ac:dyDescent="0.25">
      <c r="A2770">
        <v>8522458</v>
      </c>
      <c r="B2770">
        <v>21683437</v>
      </c>
      <c r="C2770" s="1">
        <v>42533</v>
      </c>
      <c r="D2770" t="s">
        <v>26</v>
      </c>
      <c r="E2770" t="str">
        <f>VLOOKUP(TRIM(D2770), Catalogo_gestiones!$A:$B, 2, FALSE)</f>
        <v>N</v>
      </c>
    </row>
    <row r="2771" spans="1:5" x14ac:dyDescent="0.25">
      <c r="A2771">
        <v>8522462</v>
      </c>
      <c r="B2771">
        <v>26162718</v>
      </c>
      <c r="C2771" s="1">
        <v>42533</v>
      </c>
      <c r="D2771" t="s">
        <v>27</v>
      </c>
      <c r="E2771" t="str">
        <f>VLOOKUP(TRIM(D2771), Catalogo_gestiones!$A:$B, 2, FALSE)</f>
        <v>S</v>
      </c>
    </row>
    <row r="2772" spans="1:5" x14ac:dyDescent="0.25">
      <c r="A2772">
        <v>8522957</v>
      </c>
      <c r="B2772">
        <v>22516258</v>
      </c>
      <c r="C2772" s="1">
        <v>42533</v>
      </c>
      <c r="D2772" t="s">
        <v>28</v>
      </c>
      <c r="E2772" t="str">
        <f>VLOOKUP(TRIM(D2772), Catalogo_gestiones!$A:$B, 2, FALSE)</f>
        <v>N</v>
      </c>
    </row>
    <row r="2773" spans="1:5" x14ac:dyDescent="0.25">
      <c r="A2773">
        <v>8522957</v>
      </c>
      <c r="B2773">
        <v>22516382</v>
      </c>
      <c r="C2773" s="1">
        <v>42533</v>
      </c>
      <c r="D2773" t="s">
        <v>30</v>
      </c>
      <c r="E2773" t="str">
        <f>VLOOKUP(TRIM(D2773), Catalogo_gestiones!$A:$B, 2, FALSE)</f>
        <v>S</v>
      </c>
    </row>
    <row r="2774" spans="1:5" x14ac:dyDescent="0.25">
      <c r="A2774">
        <v>8523040</v>
      </c>
      <c r="B2774">
        <v>26197937</v>
      </c>
      <c r="C2774" s="1">
        <v>42533</v>
      </c>
      <c r="D2774" t="s">
        <v>24</v>
      </c>
      <c r="E2774" t="str">
        <f>VLOOKUP(TRIM(D2774), Catalogo_gestiones!$A:$B, 2, FALSE)</f>
        <v>S</v>
      </c>
    </row>
    <row r="2775" spans="1:5" x14ac:dyDescent="0.25">
      <c r="A2775">
        <v>8523124</v>
      </c>
      <c r="B2775">
        <v>26225662</v>
      </c>
      <c r="C2775" s="1">
        <v>42533</v>
      </c>
      <c r="D2775" t="s">
        <v>25</v>
      </c>
      <c r="E2775" t="str">
        <f>VLOOKUP(TRIM(D2775), Catalogo_gestiones!$A:$B, 2, FALSE)</f>
        <v>N</v>
      </c>
    </row>
    <row r="2776" spans="1:5" x14ac:dyDescent="0.25">
      <c r="A2776">
        <v>8523205</v>
      </c>
      <c r="B2776">
        <v>22375306</v>
      </c>
      <c r="C2776" s="1">
        <v>42533</v>
      </c>
      <c r="D2776" t="s">
        <v>26</v>
      </c>
      <c r="E2776" t="str">
        <f>VLOOKUP(TRIM(D2776), Catalogo_gestiones!$A:$B, 2, FALSE)</f>
        <v>N</v>
      </c>
    </row>
    <row r="2777" spans="1:5" x14ac:dyDescent="0.25">
      <c r="A2777">
        <v>8523205</v>
      </c>
      <c r="B2777">
        <v>24912565</v>
      </c>
      <c r="C2777" s="1">
        <v>42533</v>
      </c>
      <c r="D2777" t="s">
        <v>27</v>
      </c>
      <c r="E2777" t="str">
        <f>VLOOKUP(TRIM(D2777), Catalogo_gestiones!$A:$B, 2, FALSE)</f>
        <v>S</v>
      </c>
    </row>
    <row r="2778" spans="1:5" x14ac:dyDescent="0.25">
      <c r="A2778">
        <v>8523520</v>
      </c>
      <c r="B2778">
        <v>1377705</v>
      </c>
      <c r="C2778" s="1">
        <v>42533</v>
      </c>
      <c r="D2778" t="s">
        <v>28</v>
      </c>
      <c r="E2778" t="str">
        <f>VLOOKUP(TRIM(D2778), Catalogo_gestiones!$A:$B, 2, FALSE)</f>
        <v>N</v>
      </c>
    </row>
    <row r="2779" spans="1:5" x14ac:dyDescent="0.25">
      <c r="A2779">
        <v>8523859</v>
      </c>
      <c r="B2779">
        <v>22375306</v>
      </c>
      <c r="C2779" s="1">
        <v>42533</v>
      </c>
      <c r="D2779" t="s">
        <v>24</v>
      </c>
      <c r="E2779" t="str">
        <f>VLOOKUP(TRIM(D2779), Catalogo_gestiones!$A:$B, 2, FALSE)</f>
        <v>S</v>
      </c>
    </row>
    <row r="2780" spans="1:5" x14ac:dyDescent="0.25">
      <c r="A2780">
        <v>8523897</v>
      </c>
      <c r="B2780">
        <v>19889218</v>
      </c>
      <c r="C2780" s="1">
        <v>42533</v>
      </c>
      <c r="D2780" t="s">
        <v>25</v>
      </c>
      <c r="E2780" t="str">
        <f>VLOOKUP(TRIM(D2780), Catalogo_gestiones!$A:$B, 2, FALSE)</f>
        <v>N</v>
      </c>
    </row>
    <row r="2781" spans="1:5" x14ac:dyDescent="0.25">
      <c r="A2781">
        <v>8524048</v>
      </c>
      <c r="B2781">
        <v>23295919</v>
      </c>
      <c r="C2781" s="1">
        <v>42529</v>
      </c>
      <c r="D2781" t="s">
        <v>26</v>
      </c>
      <c r="E2781" t="str">
        <f>VLOOKUP(TRIM(D2781), Catalogo_gestiones!$A:$B, 2, FALSE)</f>
        <v>N</v>
      </c>
    </row>
    <row r="2782" spans="1:5" x14ac:dyDescent="0.25">
      <c r="A2782">
        <v>8524070</v>
      </c>
      <c r="B2782">
        <v>15357610</v>
      </c>
      <c r="C2782" s="1">
        <v>42533</v>
      </c>
      <c r="D2782" t="s">
        <v>27</v>
      </c>
      <c r="E2782" t="str">
        <f>VLOOKUP(TRIM(D2782), Catalogo_gestiones!$A:$B, 2, FALSE)</f>
        <v>S</v>
      </c>
    </row>
    <row r="2783" spans="1:5" x14ac:dyDescent="0.25">
      <c r="A2783">
        <v>8524404</v>
      </c>
      <c r="B2783">
        <v>19536723</v>
      </c>
      <c r="C2783" s="1">
        <v>42533</v>
      </c>
      <c r="D2783" t="s">
        <v>28</v>
      </c>
      <c r="E2783" t="str">
        <f>VLOOKUP(TRIM(D2783), Catalogo_gestiones!$A:$B, 2, FALSE)</f>
        <v>N</v>
      </c>
    </row>
    <row r="2784" spans="1:5" x14ac:dyDescent="0.25">
      <c r="A2784">
        <v>8524784</v>
      </c>
      <c r="B2784">
        <v>27962052</v>
      </c>
      <c r="C2784" s="1">
        <v>42533</v>
      </c>
      <c r="D2784" t="s">
        <v>24</v>
      </c>
      <c r="E2784" t="str">
        <f>VLOOKUP(TRIM(D2784), Catalogo_gestiones!$A:$B, 2, FALSE)</f>
        <v>S</v>
      </c>
    </row>
    <row r="2785" spans="1:5" x14ac:dyDescent="0.25">
      <c r="A2785">
        <v>8524793</v>
      </c>
      <c r="B2785">
        <v>21416546</v>
      </c>
      <c r="C2785" s="1">
        <v>42533</v>
      </c>
      <c r="D2785" t="s">
        <v>25</v>
      </c>
      <c r="E2785" t="str">
        <f>VLOOKUP(TRIM(D2785), Catalogo_gestiones!$A:$B, 2, FALSE)</f>
        <v>N</v>
      </c>
    </row>
    <row r="2786" spans="1:5" x14ac:dyDescent="0.25">
      <c r="A2786">
        <v>8524805</v>
      </c>
      <c r="B2786">
        <v>21648150</v>
      </c>
      <c r="C2786" s="1">
        <v>42533</v>
      </c>
      <c r="D2786" t="s">
        <v>26</v>
      </c>
      <c r="E2786" t="str">
        <f>VLOOKUP(TRIM(D2786), Catalogo_gestiones!$A:$B, 2, FALSE)</f>
        <v>N</v>
      </c>
    </row>
    <row r="2787" spans="1:5" x14ac:dyDescent="0.25">
      <c r="A2787">
        <v>8524847</v>
      </c>
      <c r="B2787">
        <v>22738834</v>
      </c>
      <c r="C2787" s="1">
        <v>42533</v>
      </c>
      <c r="D2787" t="s">
        <v>27</v>
      </c>
      <c r="E2787" t="str">
        <f>VLOOKUP(TRIM(D2787), Catalogo_gestiones!$A:$B, 2, FALSE)</f>
        <v>S</v>
      </c>
    </row>
    <row r="2788" spans="1:5" x14ac:dyDescent="0.25">
      <c r="A2788">
        <v>8524847</v>
      </c>
      <c r="B2788">
        <v>26782857</v>
      </c>
      <c r="C2788" s="1">
        <v>42533</v>
      </c>
      <c r="D2788" t="s">
        <v>28</v>
      </c>
      <c r="E2788" t="str">
        <f>VLOOKUP(TRIM(D2788), Catalogo_gestiones!$A:$B, 2, FALSE)</f>
        <v>N</v>
      </c>
    </row>
    <row r="2789" spans="1:5" x14ac:dyDescent="0.25">
      <c r="A2789">
        <v>8525305</v>
      </c>
      <c r="B2789">
        <v>18744641</v>
      </c>
      <c r="C2789" s="1">
        <v>42533</v>
      </c>
      <c r="D2789" t="s">
        <v>30</v>
      </c>
      <c r="E2789" t="str">
        <f>VLOOKUP(TRIM(D2789), Catalogo_gestiones!$A:$B, 2, FALSE)</f>
        <v>S</v>
      </c>
    </row>
    <row r="2790" spans="1:5" x14ac:dyDescent="0.25">
      <c r="A2790">
        <v>8525340</v>
      </c>
      <c r="B2790">
        <v>10637802</v>
      </c>
      <c r="C2790" s="1">
        <v>42533</v>
      </c>
      <c r="D2790" t="s">
        <v>24</v>
      </c>
      <c r="E2790" t="str">
        <f>VLOOKUP(TRIM(D2790), Catalogo_gestiones!$A:$B, 2, FALSE)</f>
        <v>S</v>
      </c>
    </row>
    <row r="2791" spans="1:5" x14ac:dyDescent="0.25">
      <c r="A2791">
        <v>8525340</v>
      </c>
      <c r="B2791">
        <v>10638085</v>
      </c>
      <c r="C2791" s="1">
        <v>42533</v>
      </c>
      <c r="D2791" t="s">
        <v>25</v>
      </c>
      <c r="E2791" t="str">
        <f>VLOOKUP(TRIM(D2791), Catalogo_gestiones!$A:$B, 2, FALSE)</f>
        <v>N</v>
      </c>
    </row>
    <row r="2792" spans="1:5" x14ac:dyDescent="0.25">
      <c r="A2792">
        <v>8525418</v>
      </c>
      <c r="B2792">
        <v>26225873</v>
      </c>
      <c r="C2792" s="1">
        <v>42533</v>
      </c>
      <c r="D2792" t="s">
        <v>26</v>
      </c>
      <c r="E2792" t="str">
        <f>VLOOKUP(TRIM(D2792), Catalogo_gestiones!$A:$B, 2, FALSE)</f>
        <v>N</v>
      </c>
    </row>
    <row r="2793" spans="1:5" x14ac:dyDescent="0.25">
      <c r="A2793">
        <v>8525718</v>
      </c>
      <c r="B2793">
        <v>26653538</v>
      </c>
      <c r="C2793" s="1">
        <v>42533</v>
      </c>
      <c r="D2793" t="s">
        <v>27</v>
      </c>
      <c r="E2793" t="str">
        <f>VLOOKUP(TRIM(D2793), Catalogo_gestiones!$A:$B, 2, FALSE)</f>
        <v>S</v>
      </c>
    </row>
    <row r="2794" spans="1:5" x14ac:dyDescent="0.25">
      <c r="A2794">
        <v>8525766</v>
      </c>
      <c r="B2794">
        <v>27984804</v>
      </c>
      <c r="C2794" s="1">
        <v>42533</v>
      </c>
      <c r="D2794" t="s">
        <v>28</v>
      </c>
      <c r="E2794" t="str">
        <f>VLOOKUP(TRIM(D2794), Catalogo_gestiones!$A:$B, 2, FALSE)</f>
        <v>N</v>
      </c>
    </row>
    <row r="2795" spans="1:5" x14ac:dyDescent="0.25">
      <c r="A2795">
        <v>8526274</v>
      </c>
      <c r="B2795">
        <v>21202055</v>
      </c>
      <c r="C2795" s="1">
        <v>42533</v>
      </c>
      <c r="D2795" t="s">
        <v>24</v>
      </c>
      <c r="E2795" t="str">
        <f>VLOOKUP(TRIM(D2795), Catalogo_gestiones!$A:$B, 2, FALSE)</f>
        <v>S</v>
      </c>
    </row>
    <row r="2796" spans="1:5" x14ac:dyDescent="0.25">
      <c r="A2796">
        <v>8526376</v>
      </c>
      <c r="B2796">
        <v>27672437</v>
      </c>
      <c r="C2796" s="1">
        <v>42533</v>
      </c>
      <c r="D2796" t="s">
        <v>25</v>
      </c>
      <c r="E2796" t="str">
        <f>VLOOKUP(TRIM(D2796), Catalogo_gestiones!$A:$B, 2, FALSE)</f>
        <v>N</v>
      </c>
    </row>
    <row r="2797" spans="1:5" x14ac:dyDescent="0.25">
      <c r="A2797">
        <v>8549511</v>
      </c>
      <c r="B2797">
        <v>15077029</v>
      </c>
      <c r="C2797" s="1">
        <v>42534</v>
      </c>
      <c r="D2797" t="s">
        <v>26</v>
      </c>
      <c r="E2797" t="str">
        <f>VLOOKUP(TRIM(D2797), Catalogo_gestiones!$A:$B, 2, FALSE)</f>
        <v>N</v>
      </c>
    </row>
    <row r="2798" spans="1:5" x14ac:dyDescent="0.25">
      <c r="A2798">
        <v>8549511</v>
      </c>
      <c r="B2798">
        <v>27542907</v>
      </c>
      <c r="C2798" s="1">
        <v>42533</v>
      </c>
      <c r="D2798" t="s">
        <v>27</v>
      </c>
      <c r="E2798" t="str">
        <f>VLOOKUP(TRIM(D2798), Catalogo_gestiones!$A:$B, 2, FALSE)</f>
        <v>S</v>
      </c>
    </row>
    <row r="2799" spans="1:5" x14ac:dyDescent="0.25">
      <c r="A2799">
        <v>8549588</v>
      </c>
      <c r="B2799">
        <v>24223502</v>
      </c>
      <c r="C2799" s="1">
        <v>42533</v>
      </c>
      <c r="D2799" t="s">
        <v>28</v>
      </c>
      <c r="E2799" t="str">
        <f>VLOOKUP(TRIM(D2799), Catalogo_gestiones!$A:$B, 2, FALSE)</f>
        <v>N</v>
      </c>
    </row>
    <row r="2800" spans="1:5" x14ac:dyDescent="0.25">
      <c r="A2800">
        <v>8549887</v>
      </c>
      <c r="B2800">
        <v>23896168</v>
      </c>
      <c r="C2800" s="1">
        <v>42533</v>
      </c>
      <c r="D2800" t="s">
        <v>24</v>
      </c>
      <c r="E2800" t="str">
        <f>VLOOKUP(TRIM(D2800), Catalogo_gestiones!$A:$B, 2, FALSE)</f>
        <v>S</v>
      </c>
    </row>
    <row r="2801" spans="1:5" x14ac:dyDescent="0.25">
      <c r="A2801">
        <v>8550032</v>
      </c>
      <c r="B2801">
        <v>23865163</v>
      </c>
      <c r="C2801" s="1">
        <v>42533</v>
      </c>
      <c r="D2801" t="s">
        <v>25</v>
      </c>
      <c r="E2801" t="str">
        <f>VLOOKUP(TRIM(D2801), Catalogo_gestiones!$A:$B, 2, FALSE)</f>
        <v>N</v>
      </c>
    </row>
    <row r="2802" spans="1:5" x14ac:dyDescent="0.25">
      <c r="A2802">
        <v>8550032</v>
      </c>
      <c r="B2802">
        <v>26664605</v>
      </c>
      <c r="C2802" s="1">
        <v>42533</v>
      </c>
      <c r="D2802" t="s">
        <v>26</v>
      </c>
      <c r="E2802" t="str">
        <f>VLOOKUP(TRIM(D2802), Catalogo_gestiones!$A:$B, 2, FALSE)</f>
        <v>N</v>
      </c>
    </row>
    <row r="2803" spans="1:5" x14ac:dyDescent="0.25">
      <c r="A2803">
        <v>8550135</v>
      </c>
      <c r="B2803">
        <v>23836912</v>
      </c>
      <c r="C2803" s="1">
        <v>42533</v>
      </c>
      <c r="D2803" t="s">
        <v>27</v>
      </c>
      <c r="E2803" t="str">
        <f>VLOOKUP(TRIM(D2803), Catalogo_gestiones!$A:$B, 2, FALSE)</f>
        <v>S</v>
      </c>
    </row>
    <row r="2804" spans="1:5" x14ac:dyDescent="0.25">
      <c r="A2804">
        <v>8550135</v>
      </c>
      <c r="B2804">
        <v>25353899</v>
      </c>
      <c r="C2804" s="1">
        <v>42533</v>
      </c>
      <c r="D2804" t="s">
        <v>28</v>
      </c>
      <c r="E2804" t="str">
        <f>VLOOKUP(TRIM(D2804), Catalogo_gestiones!$A:$B, 2, FALSE)</f>
        <v>N</v>
      </c>
    </row>
    <row r="2805" spans="1:5" x14ac:dyDescent="0.25">
      <c r="A2805">
        <v>8550135</v>
      </c>
      <c r="B2805">
        <v>26223205</v>
      </c>
      <c r="C2805" s="1">
        <v>42533</v>
      </c>
      <c r="D2805" t="s">
        <v>30</v>
      </c>
      <c r="E2805" t="str">
        <f>VLOOKUP(TRIM(D2805), Catalogo_gestiones!$A:$B, 2, FALSE)</f>
        <v>S</v>
      </c>
    </row>
    <row r="2806" spans="1:5" x14ac:dyDescent="0.25">
      <c r="A2806">
        <v>8550135</v>
      </c>
      <c r="B2806">
        <v>26235241</v>
      </c>
      <c r="C2806" s="1">
        <v>42533</v>
      </c>
      <c r="D2806" t="s">
        <v>24</v>
      </c>
      <c r="E2806" t="str">
        <f>VLOOKUP(TRIM(D2806), Catalogo_gestiones!$A:$B, 2, FALSE)</f>
        <v>S</v>
      </c>
    </row>
    <row r="2807" spans="1:5" x14ac:dyDescent="0.25">
      <c r="A2807">
        <v>8550135</v>
      </c>
      <c r="B2807">
        <v>27107473</v>
      </c>
      <c r="C2807" s="1">
        <v>42533</v>
      </c>
      <c r="D2807" t="s">
        <v>25</v>
      </c>
      <c r="E2807" t="str">
        <f>VLOOKUP(TRIM(D2807), Catalogo_gestiones!$A:$B, 2, FALSE)</f>
        <v>N</v>
      </c>
    </row>
    <row r="2808" spans="1:5" x14ac:dyDescent="0.25">
      <c r="A2808">
        <v>8550284</v>
      </c>
      <c r="B2808">
        <v>21382277</v>
      </c>
      <c r="C2808" s="1">
        <v>42533</v>
      </c>
      <c r="D2808" t="s">
        <v>26</v>
      </c>
      <c r="E2808" t="str">
        <f>VLOOKUP(TRIM(D2808), Catalogo_gestiones!$A:$B, 2, FALSE)</f>
        <v>N</v>
      </c>
    </row>
    <row r="2809" spans="1:5" x14ac:dyDescent="0.25">
      <c r="A2809">
        <v>8550284</v>
      </c>
      <c r="B2809">
        <v>25923127</v>
      </c>
      <c r="C2809" s="1">
        <v>42533</v>
      </c>
      <c r="D2809" t="s">
        <v>27</v>
      </c>
      <c r="E2809" t="str">
        <f>VLOOKUP(TRIM(D2809), Catalogo_gestiones!$A:$B, 2, FALSE)</f>
        <v>S</v>
      </c>
    </row>
    <row r="2810" spans="1:5" x14ac:dyDescent="0.25">
      <c r="A2810">
        <v>8550298</v>
      </c>
      <c r="B2810">
        <v>28167696</v>
      </c>
      <c r="C2810" s="1">
        <v>42533</v>
      </c>
      <c r="D2810" t="s">
        <v>28</v>
      </c>
      <c r="E2810" t="str">
        <f>VLOOKUP(TRIM(D2810), Catalogo_gestiones!$A:$B, 2, FALSE)</f>
        <v>N</v>
      </c>
    </row>
    <row r="2811" spans="1:5" x14ac:dyDescent="0.25">
      <c r="A2811">
        <v>8550305</v>
      </c>
      <c r="B2811">
        <v>23926491</v>
      </c>
      <c r="C2811" s="1">
        <v>42533</v>
      </c>
      <c r="D2811" t="s">
        <v>24</v>
      </c>
      <c r="E2811" t="str">
        <f>VLOOKUP(TRIM(D2811), Catalogo_gestiones!$A:$B, 2, FALSE)</f>
        <v>S</v>
      </c>
    </row>
    <row r="2812" spans="1:5" x14ac:dyDescent="0.25">
      <c r="A2812">
        <v>8550332</v>
      </c>
      <c r="B2812">
        <v>23318244</v>
      </c>
      <c r="C2812" s="1">
        <v>42533</v>
      </c>
      <c r="D2812" t="s">
        <v>25</v>
      </c>
      <c r="E2812" t="str">
        <f>VLOOKUP(TRIM(D2812), Catalogo_gestiones!$A:$B, 2, FALSE)</f>
        <v>N</v>
      </c>
    </row>
    <row r="2813" spans="1:5" x14ac:dyDescent="0.25">
      <c r="A2813">
        <v>8550332</v>
      </c>
      <c r="B2813">
        <v>24814717</v>
      </c>
      <c r="C2813" s="1">
        <v>42533</v>
      </c>
      <c r="D2813" t="s">
        <v>26</v>
      </c>
      <c r="E2813" t="str">
        <f>VLOOKUP(TRIM(D2813), Catalogo_gestiones!$A:$B, 2, FALSE)</f>
        <v>N</v>
      </c>
    </row>
    <row r="2814" spans="1:5" x14ac:dyDescent="0.25">
      <c r="A2814">
        <v>8550436</v>
      </c>
      <c r="B2814">
        <v>25269400</v>
      </c>
      <c r="C2814" s="1">
        <v>42533</v>
      </c>
      <c r="D2814" t="s">
        <v>27</v>
      </c>
      <c r="E2814" t="str">
        <f>VLOOKUP(TRIM(D2814), Catalogo_gestiones!$A:$B, 2, FALSE)</f>
        <v>S</v>
      </c>
    </row>
    <row r="2815" spans="1:5" x14ac:dyDescent="0.25">
      <c r="A2815">
        <v>8550436</v>
      </c>
      <c r="B2815">
        <v>25270150</v>
      </c>
      <c r="C2815" s="1">
        <v>42533</v>
      </c>
      <c r="D2815" t="s">
        <v>28</v>
      </c>
      <c r="E2815" t="str">
        <f>VLOOKUP(TRIM(D2815), Catalogo_gestiones!$A:$B, 2, FALSE)</f>
        <v>N</v>
      </c>
    </row>
    <row r="2816" spans="1:5" x14ac:dyDescent="0.25">
      <c r="A2816">
        <v>8550484</v>
      </c>
      <c r="B2816">
        <v>26911994</v>
      </c>
      <c r="C2816" s="1">
        <v>42529</v>
      </c>
      <c r="D2816" t="s">
        <v>24</v>
      </c>
      <c r="E2816" t="str">
        <f>VLOOKUP(TRIM(D2816), Catalogo_gestiones!$A:$B, 2, FALSE)</f>
        <v>S</v>
      </c>
    </row>
    <row r="2817" spans="1:5" x14ac:dyDescent="0.25">
      <c r="A2817">
        <v>8550513</v>
      </c>
      <c r="B2817">
        <v>12130935</v>
      </c>
      <c r="C2817" s="1">
        <v>42533</v>
      </c>
      <c r="D2817" t="s">
        <v>25</v>
      </c>
      <c r="E2817" t="str">
        <f>VLOOKUP(TRIM(D2817), Catalogo_gestiones!$A:$B, 2, FALSE)</f>
        <v>N</v>
      </c>
    </row>
    <row r="2818" spans="1:5" x14ac:dyDescent="0.25">
      <c r="A2818">
        <v>8550513</v>
      </c>
      <c r="B2818">
        <v>23977900</v>
      </c>
      <c r="C2818" s="1">
        <v>42533</v>
      </c>
      <c r="D2818" t="s">
        <v>26</v>
      </c>
      <c r="E2818" t="str">
        <f>VLOOKUP(TRIM(D2818), Catalogo_gestiones!$A:$B, 2, FALSE)</f>
        <v>N</v>
      </c>
    </row>
    <row r="2819" spans="1:5" x14ac:dyDescent="0.25">
      <c r="A2819">
        <v>8550753</v>
      </c>
      <c r="B2819">
        <v>21386180</v>
      </c>
      <c r="C2819" s="1">
        <v>42533</v>
      </c>
      <c r="D2819" t="s">
        <v>27</v>
      </c>
      <c r="E2819" t="str">
        <f>VLOOKUP(TRIM(D2819), Catalogo_gestiones!$A:$B, 2, FALSE)</f>
        <v>S</v>
      </c>
    </row>
    <row r="2820" spans="1:5" x14ac:dyDescent="0.25">
      <c r="A2820">
        <v>8550900</v>
      </c>
      <c r="B2820">
        <v>19225430</v>
      </c>
      <c r="C2820" s="1">
        <v>42533</v>
      </c>
      <c r="D2820" t="s">
        <v>28</v>
      </c>
      <c r="E2820" t="str">
        <f>VLOOKUP(TRIM(D2820), Catalogo_gestiones!$A:$B, 2, FALSE)</f>
        <v>N</v>
      </c>
    </row>
    <row r="2821" spans="1:5" x14ac:dyDescent="0.25">
      <c r="A2821">
        <v>8551082</v>
      </c>
      <c r="B2821">
        <v>26878877</v>
      </c>
      <c r="C2821" s="1">
        <v>42533</v>
      </c>
      <c r="D2821" t="s">
        <v>30</v>
      </c>
      <c r="E2821" t="str">
        <f>VLOOKUP(TRIM(D2821), Catalogo_gestiones!$A:$B, 2, FALSE)</f>
        <v>S</v>
      </c>
    </row>
    <row r="2822" spans="1:5" x14ac:dyDescent="0.25">
      <c r="A2822">
        <v>8551304</v>
      </c>
      <c r="B2822">
        <v>27672818</v>
      </c>
      <c r="C2822" s="1">
        <v>42533</v>
      </c>
      <c r="D2822" t="s">
        <v>24</v>
      </c>
      <c r="E2822" t="str">
        <f>VLOOKUP(TRIM(D2822), Catalogo_gestiones!$A:$B, 2, FALSE)</f>
        <v>S</v>
      </c>
    </row>
    <row r="2823" spans="1:5" x14ac:dyDescent="0.25">
      <c r="A2823">
        <v>8551392</v>
      </c>
      <c r="B2823">
        <v>26555103</v>
      </c>
      <c r="C2823" s="1">
        <v>42533</v>
      </c>
      <c r="D2823" t="s">
        <v>25</v>
      </c>
      <c r="E2823" t="str">
        <f>VLOOKUP(TRIM(D2823), Catalogo_gestiones!$A:$B, 2, FALSE)</f>
        <v>N</v>
      </c>
    </row>
    <row r="2824" spans="1:5" x14ac:dyDescent="0.25">
      <c r="A2824">
        <v>8551680</v>
      </c>
      <c r="B2824">
        <v>23582216</v>
      </c>
      <c r="C2824" s="1">
        <v>42533</v>
      </c>
      <c r="D2824" t="s">
        <v>26</v>
      </c>
      <c r="E2824" t="str">
        <f>VLOOKUP(TRIM(D2824), Catalogo_gestiones!$A:$B, 2, FALSE)</f>
        <v>N</v>
      </c>
    </row>
    <row r="2825" spans="1:5" x14ac:dyDescent="0.25">
      <c r="A2825">
        <v>8551730</v>
      </c>
      <c r="B2825">
        <v>25786927</v>
      </c>
      <c r="C2825" s="1">
        <v>42533</v>
      </c>
      <c r="D2825" t="s">
        <v>27</v>
      </c>
      <c r="E2825" t="str">
        <f>VLOOKUP(TRIM(D2825), Catalogo_gestiones!$A:$B, 2, FALSE)</f>
        <v>S</v>
      </c>
    </row>
    <row r="2826" spans="1:5" x14ac:dyDescent="0.25">
      <c r="A2826">
        <v>8551730</v>
      </c>
      <c r="B2826">
        <v>28186038</v>
      </c>
      <c r="C2826" s="1">
        <v>42528</v>
      </c>
      <c r="D2826" t="s">
        <v>28</v>
      </c>
      <c r="E2826" t="str">
        <f>VLOOKUP(TRIM(D2826), Catalogo_gestiones!$A:$B, 2, FALSE)</f>
        <v>N</v>
      </c>
    </row>
    <row r="2827" spans="1:5" x14ac:dyDescent="0.25">
      <c r="A2827">
        <v>8552223</v>
      </c>
      <c r="B2827">
        <v>25178462</v>
      </c>
      <c r="C2827" s="1">
        <v>42533</v>
      </c>
      <c r="D2827" t="s">
        <v>24</v>
      </c>
      <c r="E2827" t="str">
        <f>VLOOKUP(TRIM(D2827), Catalogo_gestiones!$A:$B, 2, FALSE)</f>
        <v>S</v>
      </c>
    </row>
    <row r="2828" spans="1:5" x14ac:dyDescent="0.25">
      <c r="A2828">
        <v>8552331</v>
      </c>
      <c r="B2828">
        <v>22221367</v>
      </c>
      <c r="C2828" s="1">
        <v>42533</v>
      </c>
      <c r="D2828" t="s">
        <v>25</v>
      </c>
      <c r="E2828" t="str">
        <f>VLOOKUP(TRIM(D2828), Catalogo_gestiones!$A:$B, 2, FALSE)</f>
        <v>N</v>
      </c>
    </row>
    <row r="2829" spans="1:5" x14ac:dyDescent="0.25">
      <c r="A2829">
        <v>8552331</v>
      </c>
      <c r="B2829">
        <v>23982519</v>
      </c>
      <c r="C2829" s="1">
        <v>42533</v>
      </c>
      <c r="D2829" t="s">
        <v>26</v>
      </c>
      <c r="E2829" t="str">
        <f>VLOOKUP(TRIM(D2829), Catalogo_gestiones!$A:$B, 2, FALSE)</f>
        <v>N</v>
      </c>
    </row>
    <row r="2830" spans="1:5" x14ac:dyDescent="0.25">
      <c r="A2830">
        <v>8552331</v>
      </c>
      <c r="B2830">
        <v>23983643</v>
      </c>
      <c r="C2830" s="1">
        <v>42533</v>
      </c>
      <c r="D2830" t="s">
        <v>27</v>
      </c>
      <c r="E2830" t="str">
        <f>VLOOKUP(TRIM(D2830), Catalogo_gestiones!$A:$B, 2, FALSE)</f>
        <v>S</v>
      </c>
    </row>
    <row r="2831" spans="1:5" x14ac:dyDescent="0.25">
      <c r="A2831">
        <v>8552345</v>
      </c>
      <c r="B2831">
        <v>23758783</v>
      </c>
      <c r="C2831" s="1">
        <v>42534</v>
      </c>
      <c r="D2831" t="s">
        <v>28</v>
      </c>
      <c r="E2831" t="str">
        <f>VLOOKUP(TRIM(D2831), Catalogo_gestiones!$A:$B, 2, FALSE)</f>
        <v>N</v>
      </c>
    </row>
    <row r="2832" spans="1:5" x14ac:dyDescent="0.25">
      <c r="A2832">
        <v>8552345</v>
      </c>
      <c r="B2832">
        <v>27755148</v>
      </c>
      <c r="C2832" s="1">
        <v>42533</v>
      </c>
      <c r="D2832" t="s">
        <v>24</v>
      </c>
      <c r="E2832" t="str">
        <f>VLOOKUP(TRIM(D2832), Catalogo_gestiones!$A:$B, 2, FALSE)</f>
        <v>S</v>
      </c>
    </row>
    <row r="2833" spans="1:5" x14ac:dyDescent="0.25">
      <c r="A2833">
        <v>8552450</v>
      </c>
      <c r="B2833">
        <v>21386195</v>
      </c>
      <c r="C2833" s="1">
        <v>42527</v>
      </c>
      <c r="D2833" t="s">
        <v>25</v>
      </c>
      <c r="E2833" t="str">
        <f>VLOOKUP(TRIM(D2833), Catalogo_gestiones!$A:$B, 2, FALSE)</f>
        <v>N</v>
      </c>
    </row>
    <row r="2834" spans="1:5" x14ac:dyDescent="0.25">
      <c r="A2834">
        <v>8552462</v>
      </c>
      <c r="B2834">
        <v>25300456</v>
      </c>
      <c r="C2834" s="1">
        <v>42533</v>
      </c>
      <c r="D2834" t="s">
        <v>26</v>
      </c>
      <c r="E2834" t="str">
        <f>VLOOKUP(TRIM(D2834), Catalogo_gestiones!$A:$B, 2, FALSE)</f>
        <v>N</v>
      </c>
    </row>
    <row r="2835" spans="1:5" x14ac:dyDescent="0.25">
      <c r="A2835">
        <v>8552479</v>
      </c>
      <c r="B2835">
        <v>25963393</v>
      </c>
      <c r="C2835" s="1">
        <v>42533</v>
      </c>
      <c r="D2835" t="s">
        <v>27</v>
      </c>
      <c r="E2835" t="str">
        <f>VLOOKUP(TRIM(D2835), Catalogo_gestiones!$A:$B, 2, FALSE)</f>
        <v>S</v>
      </c>
    </row>
    <row r="2836" spans="1:5" x14ac:dyDescent="0.25">
      <c r="A2836">
        <v>8552611</v>
      </c>
      <c r="B2836">
        <v>26725212</v>
      </c>
      <c r="C2836" s="1">
        <v>42533</v>
      </c>
      <c r="D2836" t="s">
        <v>28</v>
      </c>
      <c r="E2836" t="str">
        <f>VLOOKUP(TRIM(D2836), Catalogo_gestiones!$A:$B, 2, FALSE)</f>
        <v>N</v>
      </c>
    </row>
    <row r="2837" spans="1:5" x14ac:dyDescent="0.25">
      <c r="A2837">
        <v>8552611</v>
      </c>
      <c r="B2837">
        <v>27290206</v>
      </c>
      <c r="C2837" s="1">
        <v>42533</v>
      </c>
      <c r="D2837" t="s">
        <v>30</v>
      </c>
      <c r="E2837" t="str">
        <f>VLOOKUP(TRIM(D2837), Catalogo_gestiones!$A:$B, 2, FALSE)</f>
        <v>S</v>
      </c>
    </row>
    <row r="2838" spans="1:5" x14ac:dyDescent="0.25">
      <c r="A2838">
        <v>8552858</v>
      </c>
      <c r="B2838">
        <v>4734571</v>
      </c>
      <c r="C2838" s="1">
        <v>42533</v>
      </c>
      <c r="D2838" t="s">
        <v>24</v>
      </c>
      <c r="E2838" t="str">
        <f>VLOOKUP(TRIM(D2838), Catalogo_gestiones!$A:$B, 2, FALSE)</f>
        <v>S</v>
      </c>
    </row>
    <row r="2839" spans="1:5" x14ac:dyDescent="0.25">
      <c r="A2839">
        <v>8552858</v>
      </c>
      <c r="B2839">
        <v>21710039</v>
      </c>
      <c r="C2839" s="1">
        <v>42533</v>
      </c>
      <c r="D2839" t="s">
        <v>25</v>
      </c>
      <c r="E2839" t="str">
        <f>VLOOKUP(TRIM(D2839), Catalogo_gestiones!$A:$B, 2, FALSE)</f>
        <v>N</v>
      </c>
    </row>
    <row r="2840" spans="1:5" x14ac:dyDescent="0.25">
      <c r="A2840">
        <v>8552858</v>
      </c>
      <c r="B2840">
        <v>28584622</v>
      </c>
      <c r="C2840" s="1">
        <v>42529</v>
      </c>
      <c r="D2840" t="s">
        <v>26</v>
      </c>
      <c r="E2840" t="str">
        <f>VLOOKUP(TRIM(D2840), Catalogo_gestiones!$A:$B, 2, FALSE)</f>
        <v>N</v>
      </c>
    </row>
    <row r="2841" spans="1:5" x14ac:dyDescent="0.25">
      <c r="A2841">
        <v>8552898</v>
      </c>
      <c r="B2841">
        <v>4715262</v>
      </c>
      <c r="C2841" s="1">
        <v>42527</v>
      </c>
      <c r="D2841" t="s">
        <v>27</v>
      </c>
      <c r="E2841" t="str">
        <f>VLOOKUP(TRIM(D2841), Catalogo_gestiones!$A:$B, 2, FALSE)</f>
        <v>S</v>
      </c>
    </row>
    <row r="2842" spans="1:5" x14ac:dyDescent="0.25">
      <c r="A2842">
        <v>8553096</v>
      </c>
      <c r="B2842">
        <v>27552740</v>
      </c>
      <c r="C2842" s="1">
        <v>42533</v>
      </c>
      <c r="D2842" t="s">
        <v>28</v>
      </c>
      <c r="E2842" t="str">
        <f>VLOOKUP(TRIM(D2842), Catalogo_gestiones!$A:$B, 2, FALSE)</f>
        <v>N</v>
      </c>
    </row>
    <row r="2843" spans="1:5" x14ac:dyDescent="0.25">
      <c r="A2843">
        <v>8553189</v>
      </c>
      <c r="B2843">
        <v>15321950</v>
      </c>
      <c r="C2843" s="1">
        <v>42533</v>
      </c>
      <c r="D2843" t="s">
        <v>24</v>
      </c>
      <c r="E2843" t="str">
        <f>VLOOKUP(TRIM(D2843), Catalogo_gestiones!$A:$B, 2, FALSE)</f>
        <v>S</v>
      </c>
    </row>
    <row r="2844" spans="1:5" x14ac:dyDescent="0.25">
      <c r="A2844">
        <v>8553292</v>
      </c>
      <c r="B2844">
        <v>26038478</v>
      </c>
      <c r="C2844" s="1">
        <v>42527</v>
      </c>
      <c r="D2844" t="s">
        <v>25</v>
      </c>
      <c r="E2844" t="str">
        <f>VLOOKUP(TRIM(D2844), Catalogo_gestiones!$A:$B, 2, FALSE)</f>
        <v>N</v>
      </c>
    </row>
    <row r="2845" spans="1:5" x14ac:dyDescent="0.25">
      <c r="A2845">
        <v>8553414</v>
      </c>
      <c r="B2845">
        <v>16700034</v>
      </c>
      <c r="C2845" s="1">
        <v>42533</v>
      </c>
      <c r="D2845" t="s">
        <v>26</v>
      </c>
      <c r="E2845" t="str">
        <f>VLOOKUP(TRIM(D2845), Catalogo_gestiones!$A:$B, 2, FALSE)</f>
        <v>N</v>
      </c>
    </row>
    <row r="2846" spans="1:5" x14ac:dyDescent="0.25">
      <c r="A2846">
        <v>8553666</v>
      </c>
      <c r="B2846">
        <v>26377696</v>
      </c>
      <c r="C2846" s="1">
        <v>42533</v>
      </c>
      <c r="D2846" t="s">
        <v>27</v>
      </c>
      <c r="E2846" t="str">
        <f>VLOOKUP(TRIM(D2846), Catalogo_gestiones!$A:$B, 2, FALSE)</f>
        <v>S</v>
      </c>
    </row>
    <row r="2847" spans="1:5" x14ac:dyDescent="0.25">
      <c r="A2847">
        <v>8553693</v>
      </c>
      <c r="B2847">
        <v>23663051</v>
      </c>
      <c r="C2847" s="1">
        <v>42533</v>
      </c>
      <c r="D2847" t="s">
        <v>28</v>
      </c>
      <c r="E2847" t="str">
        <f>VLOOKUP(TRIM(D2847), Catalogo_gestiones!$A:$B, 2, FALSE)</f>
        <v>N</v>
      </c>
    </row>
    <row r="2848" spans="1:5" x14ac:dyDescent="0.25">
      <c r="A2848">
        <v>8553693</v>
      </c>
      <c r="B2848">
        <v>23932368</v>
      </c>
      <c r="C2848" s="1">
        <v>42534</v>
      </c>
      <c r="D2848" t="s">
        <v>24</v>
      </c>
      <c r="E2848" t="str">
        <f>VLOOKUP(TRIM(D2848), Catalogo_gestiones!$A:$B, 2, FALSE)</f>
        <v>S</v>
      </c>
    </row>
    <row r="2849" spans="1:5" x14ac:dyDescent="0.25">
      <c r="A2849">
        <v>8553743</v>
      </c>
      <c r="B2849">
        <v>20545144</v>
      </c>
      <c r="C2849" s="1">
        <v>42533</v>
      </c>
      <c r="D2849" t="s">
        <v>25</v>
      </c>
      <c r="E2849" t="str">
        <f>VLOOKUP(TRIM(D2849), Catalogo_gestiones!$A:$B, 2, FALSE)</f>
        <v>N</v>
      </c>
    </row>
    <row r="2850" spans="1:5" x14ac:dyDescent="0.25">
      <c r="A2850">
        <v>8553743</v>
      </c>
      <c r="B2850">
        <v>21877122</v>
      </c>
      <c r="C2850" s="1">
        <v>42533</v>
      </c>
      <c r="D2850" t="s">
        <v>26</v>
      </c>
      <c r="E2850" t="str">
        <f>VLOOKUP(TRIM(D2850), Catalogo_gestiones!$A:$B, 2, FALSE)</f>
        <v>N</v>
      </c>
    </row>
    <row r="2851" spans="1:5" x14ac:dyDescent="0.25">
      <c r="A2851">
        <v>8554278</v>
      </c>
      <c r="B2851">
        <v>20987702</v>
      </c>
      <c r="C2851" s="1">
        <v>42533</v>
      </c>
      <c r="D2851" t="s">
        <v>27</v>
      </c>
      <c r="E2851" t="str">
        <f>VLOOKUP(TRIM(D2851), Catalogo_gestiones!$A:$B, 2, FALSE)</f>
        <v>S</v>
      </c>
    </row>
    <row r="2852" spans="1:5" x14ac:dyDescent="0.25">
      <c r="A2852">
        <v>8554397</v>
      </c>
      <c r="B2852">
        <v>28146964</v>
      </c>
      <c r="C2852" s="1">
        <v>42533</v>
      </c>
      <c r="D2852" t="s">
        <v>28</v>
      </c>
      <c r="E2852" t="str">
        <f>VLOOKUP(TRIM(D2852), Catalogo_gestiones!$A:$B, 2, FALSE)</f>
        <v>N</v>
      </c>
    </row>
    <row r="2853" spans="1:5" x14ac:dyDescent="0.25">
      <c r="A2853">
        <v>8554529</v>
      </c>
      <c r="B2853">
        <v>27523507</v>
      </c>
      <c r="C2853" s="1">
        <v>42533</v>
      </c>
      <c r="D2853" t="s">
        <v>30</v>
      </c>
      <c r="E2853" t="str">
        <f>VLOOKUP(TRIM(D2853), Catalogo_gestiones!$A:$B, 2, FALSE)</f>
        <v>S</v>
      </c>
    </row>
    <row r="2854" spans="1:5" x14ac:dyDescent="0.25">
      <c r="A2854">
        <v>8554929</v>
      </c>
      <c r="B2854">
        <v>26813424</v>
      </c>
      <c r="C2854" s="1">
        <v>42533</v>
      </c>
      <c r="D2854" t="s">
        <v>24</v>
      </c>
      <c r="E2854" t="str">
        <f>VLOOKUP(TRIM(D2854), Catalogo_gestiones!$A:$B, 2, FALSE)</f>
        <v>S</v>
      </c>
    </row>
    <row r="2855" spans="1:5" x14ac:dyDescent="0.25">
      <c r="A2855">
        <v>8554952</v>
      </c>
      <c r="B2855">
        <v>14370932</v>
      </c>
      <c r="C2855" s="1">
        <v>42533</v>
      </c>
      <c r="D2855" t="s">
        <v>25</v>
      </c>
      <c r="E2855" t="str">
        <f>VLOOKUP(TRIM(D2855), Catalogo_gestiones!$A:$B, 2, FALSE)</f>
        <v>N</v>
      </c>
    </row>
    <row r="2856" spans="1:5" x14ac:dyDescent="0.25">
      <c r="A2856">
        <v>8555181</v>
      </c>
      <c r="B2856">
        <v>28267368</v>
      </c>
      <c r="C2856" s="1">
        <v>42527</v>
      </c>
      <c r="D2856" t="s">
        <v>26</v>
      </c>
      <c r="E2856" t="str">
        <f>VLOOKUP(TRIM(D2856), Catalogo_gestiones!$A:$B, 2, FALSE)</f>
        <v>N</v>
      </c>
    </row>
    <row r="2857" spans="1:5" x14ac:dyDescent="0.25">
      <c r="A2857">
        <v>8555188</v>
      </c>
      <c r="B2857">
        <v>23486645</v>
      </c>
      <c r="C2857" s="1">
        <v>42529</v>
      </c>
      <c r="D2857" t="s">
        <v>27</v>
      </c>
      <c r="E2857" t="str">
        <f>VLOOKUP(TRIM(D2857), Catalogo_gestiones!$A:$B, 2, FALSE)</f>
        <v>S</v>
      </c>
    </row>
    <row r="2858" spans="1:5" x14ac:dyDescent="0.25">
      <c r="A2858">
        <v>8555305</v>
      </c>
      <c r="B2858">
        <v>21346506</v>
      </c>
      <c r="C2858" s="1">
        <v>42533</v>
      </c>
      <c r="D2858" t="s">
        <v>28</v>
      </c>
      <c r="E2858" t="str">
        <f>VLOOKUP(TRIM(D2858), Catalogo_gestiones!$A:$B, 2, FALSE)</f>
        <v>N</v>
      </c>
    </row>
    <row r="2859" spans="1:5" x14ac:dyDescent="0.25">
      <c r="A2859">
        <v>8555315</v>
      </c>
      <c r="B2859">
        <v>26673640</v>
      </c>
      <c r="C2859" s="1">
        <v>42533</v>
      </c>
      <c r="D2859" t="s">
        <v>24</v>
      </c>
      <c r="E2859" t="str">
        <f>VLOOKUP(TRIM(D2859), Catalogo_gestiones!$A:$B, 2, FALSE)</f>
        <v>S</v>
      </c>
    </row>
    <row r="2860" spans="1:5" x14ac:dyDescent="0.25">
      <c r="A2860">
        <v>8555342</v>
      </c>
      <c r="B2860">
        <v>25416050</v>
      </c>
      <c r="C2860" s="1">
        <v>42533</v>
      </c>
      <c r="D2860" t="s">
        <v>25</v>
      </c>
      <c r="E2860" t="str">
        <f>VLOOKUP(TRIM(D2860), Catalogo_gestiones!$A:$B, 2, FALSE)</f>
        <v>N</v>
      </c>
    </row>
    <row r="2861" spans="1:5" x14ac:dyDescent="0.25">
      <c r="A2861">
        <v>8555675</v>
      </c>
      <c r="B2861">
        <v>14868002</v>
      </c>
      <c r="C2861" s="1">
        <v>42533</v>
      </c>
      <c r="D2861" t="s">
        <v>26</v>
      </c>
      <c r="E2861" t="str">
        <f>VLOOKUP(TRIM(D2861), Catalogo_gestiones!$A:$B, 2, FALSE)</f>
        <v>N</v>
      </c>
    </row>
    <row r="2862" spans="1:5" x14ac:dyDescent="0.25">
      <c r="A2862">
        <v>8555675</v>
      </c>
      <c r="B2862">
        <v>28583654</v>
      </c>
      <c r="C2862" s="1">
        <v>42528</v>
      </c>
      <c r="D2862" t="s">
        <v>27</v>
      </c>
      <c r="E2862" t="str">
        <f>VLOOKUP(TRIM(D2862), Catalogo_gestiones!$A:$B, 2, FALSE)</f>
        <v>S</v>
      </c>
    </row>
    <row r="2863" spans="1:5" x14ac:dyDescent="0.25">
      <c r="A2863">
        <v>8555736</v>
      </c>
      <c r="B2863">
        <v>25460723</v>
      </c>
      <c r="C2863" s="1">
        <v>42529</v>
      </c>
      <c r="D2863" t="s">
        <v>28</v>
      </c>
      <c r="E2863" t="str">
        <f>VLOOKUP(TRIM(D2863), Catalogo_gestiones!$A:$B, 2, FALSE)</f>
        <v>N</v>
      </c>
    </row>
    <row r="2864" spans="1:5" x14ac:dyDescent="0.25">
      <c r="A2864">
        <v>8555791</v>
      </c>
      <c r="B2864">
        <v>25874889</v>
      </c>
      <c r="C2864" s="1">
        <v>42533</v>
      </c>
      <c r="D2864" t="s">
        <v>24</v>
      </c>
      <c r="E2864" t="str">
        <f>VLOOKUP(TRIM(D2864), Catalogo_gestiones!$A:$B, 2, FALSE)</f>
        <v>S</v>
      </c>
    </row>
    <row r="2865" spans="1:5" x14ac:dyDescent="0.25">
      <c r="A2865">
        <v>8555825</v>
      </c>
      <c r="B2865">
        <v>23416027</v>
      </c>
      <c r="C2865" s="1">
        <v>42533</v>
      </c>
      <c r="D2865" t="s">
        <v>25</v>
      </c>
      <c r="E2865" t="str">
        <f>VLOOKUP(TRIM(D2865), Catalogo_gestiones!$A:$B, 2, FALSE)</f>
        <v>N</v>
      </c>
    </row>
    <row r="2866" spans="1:5" x14ac:dyDescent="0.25">
      <c r="A2866">
        <v>8555868</v>
      </c>
      <c r="B2866">
        <v>10788626</v>
      </c>
      <c r="C2866" s="1">
        <v>42533</v>
      </c>
      <c r="D2866" t="s">
        <v>26</v>
      </c>
      <c r="E2866" t="str">
        <f>VLOOKUP(TRIM(D2866), Catalogo_gestiones!$A:$B, 2, FALSE)</f>
        <v>N</v>
      </c>
    </row>
    <row r="2867" spans="1:5" x14ac:dyDescent="0.25">
      <c r="A2867">
        <v>8556030</v>
      </c>
      <c r="B2867">
        <v>19681511</v>
      </c>
      <c r="C2867" s="1">
        <v>42533</v>
      </c>
      <c r="D2867" t="s">
        <v>27</v>
      </c>
      <c r="E2867" t="str">
        <f>VLOOKUP(TRIM(D2867), Catalogo_gestiones!$A:$B, 2, FALSE)</f>
        <v>S</v>
      </c>
    </row>
    <row r="2868" spans="1:5" x14ac:dyDescent="0.25">
      <c r="A2868">
        <v>8556030</v>
      </c>
      <c r="B2868">
        <v>24292654</v>
      </c>
      <c r="C2868" s="1">
        <v>42533</v>
      </c>
      <c r="D2868" t="s">
        <v>28</v>
      </c>
      <c r="E2868" t="str">
        <f>VLOOKUP(TRIM(D2868), Catalogo_gestiones!$A:$B, 2, FALSE)</f>
        <v>N</v>
      </c>
    </row>
    <row r="2869" spans="1:5" x14ac:dyDescent="0.25">
      <c r="A2869">
        <v>8556030</v>
      </c>
      <c r="B2869">
        <v>26488898</v>
      </c>
      <c r="C2869" s="1">
        <v>42533</v>
      </c>
      <c r="D2869" t="s">
        <v>30</v>
      </c>
      <c r="E2869" t="str">
        <f>VLOOKUP(TRIM(D2869), Catalogo_gestiones!$A:$B, 2, FALSE)</f>
        <v>S</v>
      </c>
    </row>
    <row r="2870" spans="1:5" x14ac:dyDescent="0.25">
      <c r="A2870">
        <v>8556391</v>
      </c>
      <c r="B2870">
        <v>23249256</v>
      </c>
      <c r="C2870" s="1">
        <v>42533</v>
      </c>
      <c r="D2870" t="s">
        <v>24</v>
      </c>
      <c r="E2870" t="str">
        <f>VLOOKUP(TRIM(D2870), Catalogo_gestiones!$A:$B, 2, FALSE)</f>
        <v>S</v>
      </c>
    </row>
    <row r="2871" spans="1:5" x14ac:dyDescent="0.25">
      <c r="A2871">
        <v>8556391</v>
      </c>
      <c r="B2871">
        <v>28582736</v>
      </c>
      <c r="C2871" s="1">
        <v>42528</v>
      </c>
      <c r="D2871" t="s">
        <v>25</v>
      </c>
      <c r="E2871" t="str">
        <f>VLOOKUP(TRIM(D2871), Catalogo_gestiones!$A:$B, 2, FALSE)</f>
        <v>N</v>
      </c>
    </row>
    <row r="2872" spans="1:5" x14ac:dyDescent="0.25">
      <c r="A2872">
        <v>8556426</v>
      </c>
      <c r="B2872">
        <v>1709105</v>
      </c>
      <c r="C2872" s="1">
        <v>42533</v>
      </c>
      <c r="D2872" t="s">
        <v>26</v>
      </c>
      <c r="E2872" t="str">
        <f>VLOOKUP(TRIM(D2872), Catalogo_gestiones!$A:$B, 2, FALSE)</f>
        <v>N</v>
      </c>
    </row>
    <row r="2873" spans="1:5" x14ac:dyDescent="0.25">
      <c r="A2873">
        <v>8556428</v>
      </c>
      <c r="B2873">
        <v>2953804</v>
      </c>
      <c r="C2873" s="1">
        <v>42533</v>
      </c>
      <c r="D2873" t="s">
        <v>27</v>
      </c>
      <c r="E2873" t="str">
        <f>VLOOKUP(TRIM(D2873), Catalogo_gestiones!$A:$B, 2, FALSE)</f>
        <v>S</v>
      </c>
    </row>
    <row r="2874" spans="1:5" x14ac:dyDescent="0.25">
      <c r="A2874">
        <v>8556457</v>
      </c>
      <c r="B2874">
        <v>27019597</v>
      </c>
      <c r="C2874" s="1">
        <v>42533</v>
      </c>
      <c r="D2874" t="s">
        <v>28</v>
      </c>
      <c r="E2874" t="str">
        <f>VLOOKUP(TRIM(D2874), Catalogo_gestiones!$A:$B, 2, FALSE)</f>
        <v>N</v>
      </c>
    </row>
    <row r="2875" spans="1:5" x14ac:dyDescent="0.25">
      <c r="A2875">
        <v>8556457</v>
      </c>
      <c r="B2875">
        <v>27021386</v>
      </c>
      <c r="C2875" s="1">
        <v>42533</v>
      </c>
      <c r="D2875" t="s">
        <v>24</v>
      </c>
      <c r="E2875" t="str">
        <f>VLOOKUP(TRIM(D2875), Catalogo_gestiones!$A:$B, 2, FALSE)</f>
        <v>S</v>
      </c>
    </row>
    <row r="2876" spans="1:5" x14ac:dyDescent="0.25">
      <c r="A2876">
        <v>8556636</v>
      </c>
      <c r="B2876">
        <v>20095662</v>
      </c>
      <c r="C2876" s="1">
        <v>42533</v>
      </c>
      <c r="D2876" t="s">
        <v>25</v>
      </c>
      <c r="E2876" t="str">
        <f>VLOOKUP(TRIM(D2876), Catalogo_gestiones!$A:$B, 2, FALSE)</f>
        <v>N</v>
      </c>
    </row>
    <row r="2877" spans="1:5" x14ac:dyDescent="0.25">
      <c r="A2877">
        <v>8556668</v>
      </c>
      <c r="B2877">
        <v>23262163</v>
      </c>
      <c r="C2877" s="1">
        <v>42533</v>
      </c>
      <c r="D2877" t="s">
        <v>26</v>
      </c>
      <c r="E2877" t="str">
        <f>VLOOKUP(TRIM(D2877), Catalogo_gestiones!$A:$B, 2, FALSE)</f>
        <v>N</v>
      </c>
    </row>
    <row r="2878" spans="1:5" x14ac:dyDescent="0.25">
      <c r="A2878">
        <v>8556848</v>
      </c>
      <c r="B2878">
        <v>27485416</v>
      </c>
      <c r="C2878" s="1">
        <v>42533</v>
      </c>
      <c r="D2878" t="s">
        <v>27</v>
      </c>
      <c r="E2878" t="str">
        <f>VLOOKUP(TRIM(D2878), Catalogo_gestiones!$A:$B, 2, FALSE)</f>
        <v>S</v>
      </c>
    </row>
    <row r="2879" spans="1:5" x14ac:dyDescent="0.25">
      <c r="A2879">
        <v>8556862</v>
      </c>
      <c r="B2879">
        <v>21386184</v>
      </c>
      <c r="C2879" s="1">
        <v>42533</v>
      </c>
      <c r="D2879" t="s">
        <v>28</v>
      </c>
      <c r="E2879" t="str">
        <f>VLOOKUP(TRIM(D2879), Catalogo_gestiones!$A:$B, 2, FALSE)</f>
        <v>N</v>
      </c>
    </row>
    <row r="2880" spans="1:5" x14ac:dyDescent="0.25">
      <c r="A2880">
        <v>8556874</v>
      </c>
      <c r="B2880">
        <v>22431746</v>
      </c>
      <c r="C2880" s="1">
        <v>42533</v>
      </c>
      <c r="D2880" t="s">
        <v>24</v>
      </c>
      <c r="E2880" t="str">
        <f>VLOOKUP(TRIM(D2880), Catalogo_gestiones!$A:$B, 2, FALSE)</f>
        <v>S</v>
      </c>
    </row>
    <row r="2881" spans="1:5" x14ac:dyDescent="0.25">
      <c r="A2881">
        <v>8556971</v>
      </c>
      <c r="B2881">
        <v>23736047</v>
      </c>
      <c r="C2881" s="1">
        <v>42533</v>
      </c>
      <c r="D2881" t="s">
        <v>25</v>
      </c>
      <c r="E2881" t="str">
        <f>VLOOKUP(TRIM(D2881), Catalogo_gestiones!$A:$B, 2, FALSE)</f>
        <v>N</v>
      </c>
    </row>
    <row r="2882" spans="1:5" x14ac:dyDescent="0.25">
      <c r="A2882">
        <v>8557015</v>
      </c>
      <c r="B2882">
        <v>27004164</v>
      </c>
      <c r="C2882" s="1">
        <v>42533</v>
      </c>
      <c r="D2882" t="s">
        <v>26</v>
      </c>
      <c r="E2882" t="str">
        <f>VLOOKUP(TRIM(D2882), Catalogo_gestiones!$A:$B, 2, FALSE)</f>
        <v>N</v>
      </c>
    </row>
    <row r="2883" spans="1:5" x14ac:dyDescent="0.25">
      <c r="A2883">
        <v>8557036</v>
      </c>
      <c r="B2883">
        <v>26395640</v>
      </c>
      <c r="C2883" s="1">
        <v>42533</v>
      </c>
      <c r="D2883" t="s">
        <v>27</v>
      </c>
      <c r="E2883" t="str">
        <f>VLOOKUP(TRIM(D2883), Catalogo_gestiones!$A:$B, 2, FALSE)</f>
        <v>S</v>
      </c>
    </row>
    <row r="2884" spans="1:5" x14ac:dyDescent="0.25">
      <c r="A2884">
        <v>8557297</v>
      </c>
      <c r="B2884">
        <v>25845100</v>
      </c>
      <c r="C2884" s="1">
        <v>42533</v>
      </c>
      <c r="D2884" t="s">
        <v>28</v>
      </c>
      <c r="E2884" t="str">
        <f>VLOOKUP(TRIM(D2884), Catalogo_gestiones!$A:$B, 2, FALSE)</f>
        <v>N</v>
      </c>
    </row>
    <row r="2885" spans="1:5" x14ac:dyDescent="0.25">
      <c r="A2885">
        <v>8557297</v>
      </c>
      <c r="B2885">
        <v>25846718</v>
      </c>
      <c r="C2885" s="1">
        <v>42533</v>
      </c>
      <c r="D2885" t="s">
        <v>30</v>
      </c>
      <c r="E2885" t="str">
        <f>VLOOKUP(TRIM(D2885), Catalogo_gestiones!$A:$B, 2, FALSE)</f>
        <v>S</v>
      </c>
    </row>
    <row r="2886" spans="1:5" x14ac:dyDescent="0.25">
      <c r="A2886">
        <v>8557743</v>
      </c>
      <c r="B2886">
        <v>23790214</v>
      </c>
      <c r="C2886" s="1">
        <v>42533</v>
      </c>
      <c r="D2886" t="s">
        <v>24</v>
      </c>
      <c r="E2886" t="str">
        <f>VLOOKUP(TRIM(D2886), Catalogo_gestiones!$A:$B, 2, FALSE)</f>
        <v>S</v>
      </c>
    </row>
    <row r="2887" spans="1:5" x14ac:dyDescent="0.25">
      <c r="A2887">
        <v>8557743</v>
      </c>
      <c r="B2887">
        <v>25042402</v>
      </c>
      <c r="C2887" s="1">
        <v>42533</v>
      </c>
      <c r="D2887" t="s">
        <v>25</v>
      </c>
      <c r="E2887" t="str">
        <f>VLOOKUP(TRIM(D2887), Catalogo_gestiones!$A:$B, 2, FALSE)</f>
        <v>N</v>
      </c>
    </row>
    <row r="2888" spans="1:5" x14ac:dyDescent="0.25">
      <c r="A2888">
        <v>8557752</v>
      </c>
      <c r="B2888">
        <v>22994170</v>
      </c>
      <c r="C2888" s="1">
        <v>42533</v>
      </c>
      <c r="D2888" t="s">
        <v>26</v>
      </c>
      <c r="E2888" t="str">
        <f>VLOOKUP(TRIM(D2888), Catalogo_gestiones!$A:$B, 2, FALSE)</f>
        <v>N</v>
      </c>
    </row>
    <row r="2889" spans="1:5" x14ac:dyDescent="0.25">
      <c r="A2889">
        <v>8557907</v>
      </c>
      <c r="B2889">
        <v>16361629</v>
      </c>
      <c r="C2889" s="1">
        <v>42533</v>
      </c>
      <c r="D2889" t="s">
        <v>27</v>
      </c>
      <c r="E2889" t="str">
        <f>VLOOKUP(TRIM(D2889), Catalogo_gestiones!$A:$B, 2, FALSE)</f>
        <v>S</v>
      </c>
    </row>
    <row r="2890" spans="1:5" x14ac:dyDescent="0.25">
      <c r="A2890">
        <v>8557907</v>
      </c>
      <c r="B2890">
        <v>16362152</v>
      </c>
      <c r="C2890" s="1">
        <v>42533</v>
      </c>
      <c r="D2890" t="s">
        <v>28</v>
      </c>
      <c r="E2890" t="str">
        <f>VLOOKUP(TRIM(D2890), Catalogo_gestiones!$A:$B, 2, FALSE)</f>
        <v>N</v>
      </c>
    </row>
    <row r="2891" spans="1:5" x14ac:dyDescent="0.25">
      <c r="A2891">
        <v>8557907</v>
      </c>
      <c r="B2891">
        <v>16363686</v>
      </c>
      <c r="C2891" s="1">
        <v>42533</v>
      </c>
      <c r="D2891" t="s">
        <v>24</v>
      </c>
      <c r="E2891" t="str">
        <f>VLOOKUP(TRIM(D2891), Catalogo_gestiones!$A:$B, 2, FALSE)</f>
        <v>S</v>
      </c>
    </row>
    <row r="2892" spans="1:5" x14ac:dyDescent="0.25">
      <c r="A2892">
        <v>8557916</v>
      </c>
      <c r="B2892">
        <v>26218300</v>
      </c>
      <c r="C2892" s="1">
        <v>42533</v>
      </c>
      <c r="D2892" t="s">
        <v>25</v>
      </c>
      <c r="E2892" t="str">
        <f>VLOOKUP(TRIM(D2892), Catalogo_gestiones!$A:$B, 2, FALSE)</f>
        <v>N</v>
      </c>
    </row>
    <row r="2893" spans="1:5" x14ac:dyDescent="0.25">
      <c r="A2893">
        <v>8557950</v>
      </c>
      <c r="B2893">
        <v>20970930</v>
      </c>
      <c r="C2893" s="1">
        <v>42533</v>
      </c>
      <c r="D2893" t="s">
        <v>26</v>
      </c>
      <c r="E2893" t="str">
        <f>VLOOKUP(TRIM(D2893), Catalogo_gestiones!$A:$B, 2, FALSE)</f>
        <v>N</v>
      </c>
    </row>
    <row r="2894" spans="1:5" x14ac:dyDescent="0.25">
      <c r="A2894">
        <v>8558072</v>
      </c>
      <c r="B2894">
        <v>4392423</v>
      </c>
      <c r="C2894" s="1">
        <v>42533</v>
      </c>
      <c r="D2894" t="s">
        <v>27</v>
      </c>
      <c r="E2894" t="str">
        <f>VLOOKUP(TRIM(D2894), Catalogo_gestiones!$A:$B, 2, FALSE)</f>
        <v>S</v>
      </c>
    </row>
    <row r="2895" spans="1:5" x14ac:dyDescent="0.25">
      <c r="A2895">
        <v>8558124</v>
      </c>
      <c r="B2895">
        <v>26976651</v>
      </c>
      <c r="C2895" s="1">
        <v>42533</v>
      </c>
      <c r="D2895" t="s">
        <v>28</v>
      </c>
      <c r="E2895" t="str">
        <f>VLOOKUP(TRIM(D2895), Catalogo_gestiones!$A:$B, 2, FALSE)</f>
        <v>N</v>
      </c>
    </row>
    <row r="2896" spans="1:5" x14ac:dyDescent="0.25">
      <c r="A2896">
        <v>8558363</v>
      </c>
      <c r="B2896">
        <v>21516779</v>
      </c>
      <c r="C2896" s="1">
        <v>42533</v>
      </c>
      <c r="D2896" t="s">
        <v>24</v>
      </c>
      <c r="E2896" t="str">
        <f>VLOOKUP(TRIM(D2896), Catalogo_gestiones!$A:$B, 2, FALSE)</f>
        <v>S</v>
      </c>
    </row>
    <row r="2897" spans="1:5" x14ac:dyDescent="0.25">
      <c r="A2897">
        <v>8558454</v>
      </c>
      <c r="B2897">
        <v>20952780</v>
      </c>
      <c r="C2897" s="1">
        <v>42527</v>
      </c>
      <c r="D2897" t="s">
        <v>25</v>
      </c>
      <c r="E2897" t="str">
        <f>VLOOKUP(TRIM(D2897), Catalogo_gestiones!$A:$B, 2, FALSE)</f>
        <v>N</v>
      </c>
    </row>
    <row r="2898" spans="1:5" x14ac:dyDescent="0.25">
      <c r="A2898">
        <v>8558498</v>
      </c>
      <c r="B2898">
        <v>23317795</v>
      </c>
      <c r="C2898" s="1">
        <v>42533</v>
      </c>
      <c r="D2898" t="s">
        <v>26</v>
      </c>
      <c r="E2898" t="str">
        <f>VLOOKUP(TRIM(D2898), Catalogo_gestiones!$A:$B, 2, FALSE)</f>
        <v>N</v>
      </c>
    </row>
    <row r="2899" spans="1:5" x14ac:dyDescent="0.25">
      <c r="A2899">
        <v>8558545</v>
      </c>
      <c r="B2899">
        <v>23658040</v>
      </c>
      <c r="C2899" s="1">
        <v>42529</v>
      </c>
      <c r="D2899" t="s">
        <v>27</v>
      </c>
      <c r="E2899" t="str">
        <f>VLOOKUP(TRIM(D2899), Catalogo_gestiones!$A:$B, 2, FALSE)</f>
        <v>S</v>
      </c>
    </row>
    <row r="2900" spans="1:5" x14ac:dyDescent="0.25">
      <c r="A2900">
        <v>8558545</v>
      </c>
      <c r="B2900">
        <v>23658178</v>
      </c>
      <c r="C2900" s="1">
        <v>42533</v>
      </c>
      <c r="D2900" t="s">
        <v>28</v>
      </c>
      <c r="E2900" t="str">
        <f>VLOOKUP(TRIM(D2900), Catalogo_gestiones!$A:$B, 2, FALSE)</f>
        <v>N</v>
      </c>
    </row>
    <row r="2901" spans="1:5" x14ac:dyDescent="0.25">
      <c r="A2901">
        <v>8558545</v>
      </c>
      <c r="B2901">
        <v>26572022</v>
      </c>
      <c r="C2901" s="1">
        <v>42533</v>
      </c>
      <c r="D2901" t="s">
        <v>30</v>
      </c>
      <c r="E2901" t="str">
        <f>VLOOKUP(TRIM(D2901), Catalogo_gestiones!$A:$B, 2, FALSE)</f>
        <v>S</v>
      </c>
    </row>
    <row r="2902" spans="1:5" x14ac:dyDescent="0.25">
      <c r="A2902">
        <v>8558545</v>
      </c>
      <c r="B2902">
        <v>28583662</v>
      </c>
      <c r="C2902" s="1">
        <v>42528</v>
      </c>
      <c r="D2902" t="s">
        <v>24</v>
      </c>
      <c r="E2902" t="str">
        <f>VLOOKUP(TRIM(D2902), Catalogo_gestiones!$A:$B, 2, FALSE)</f>
        <v>S</v>
      </c>
    </row>
    <row r="2903" spans="1:5" x14ac:dyDescent="0.25">
      <c r="A2903">
        <v>8558638</v>
      </c>
      <c r="B2903">
        <v>25961154</v>
      </c>
      <c r="C2903" s="1">
        <v>42533</v>
      </c>
      <c r="D2903" t="s">
        <v>25</v>
      </c>
      <c r="E2903" t="str">
        <f>VLOOKUP(TRIM(D2903), Catalogo_gestiones!$A:$B, 2, FALSE)</f>
        <v>N</v>
      </c>
    </row>
    <row r="2904" spans="1:5" x14ac:dyDescent="0.25">
      <c r="A2904">
        <v>8558638</v>
      </c>
      <c r="B2904">
        <v>25962746</v>
      </c>
      <c r="C2904" s="1">
        <v>42533</v>
      </c>
      <c r="D2904" t="s">
        <v>26</v>
      </c>
      <c r="E2904" t="str">
        <f>VLOOKUP(TRIM(D2904), Catalogo_gestiones!$A:$B, 2, FALSE)</f>
        <v>N</v>
      </c>
    </row>
    <row r="2905" spans="1:5" x14ac:dyDescent="0.25">
      <c r="A2905">
        <v>8558638</v>
      </c>
      <c r="B2905">
        <v>25963644</v>
      </c>
      <c r="C2905" s="1">
        <v>42533</v>
      </c>
      <c r="D2905" t="s">
        <v>27</v>
      </c>
      <c r="E2905" t="str">
        <f>VLOOKUP(TRIM(D2905), Catalogo_gestiones!$A:$B, 2, FALSE)</f>
        <v>S</v>
      </c>
    </row>
    <row r="2906" spans="1:5" x14ac:dyDescent="0.25">
      <c r="A2906">
        <v>8558664</v>
      </c>
      <c r="B2906">
        <v>16084697</v>
      </c>
      <c r="C2906" s="1">
        <v>42533</v>
      </c>
      <c r="D2906" t="s">
        <v>28</v>
      </c>
      <c r="E2906" t="str">
        <f>VLOOKUP(TRIM(D2906), Catalogo_gestiones!$A:$B, 2, FALSE)</f>
        <v>N</v>
      </c>
    </row>
    <row r="2907" spans="1:5" x14ac:dyDescent="0.25">
      <c r="A2907">
        <v>8558664</v>
      </c>
      <c r="B2907">
        <v>20541812</v>
      </c>
      <c r="C2907" s="1">
        <v>42533</v>
      </c>
      <c r="D2907" t="s">
        <v>24</v>
      </c>
      <c r="E2907" t="str">
        <f>VLOOKUP(TRIM(D2907), Catalogo_gestiones!$A:$B, 2, FALSE)</f>
        <v>S</v>
      </c>
    </row>
    <row r="2908" spans="1:5" x14ac:dyDescent="0.25">
      <c r="A2908">
        <v>8558900</v>
      </c>
      <c r="B2908">
        <v>25301860</v>
      </c>
      <c r="C2908" s="1">
        <v>42533</v>
      </c>
      <c r="D2908" t="s">
        <v>25</v>
      </c>
      <c r="E2908" t="str">
        <f>VLOOKUP(TRIM(D2908), Catalogo_gestiones!$A:$B, 2, FALSE)</f>
        <v>N</v>
      </c>
    </row>
    <row r="2909" spans="1:5" x14ac:dyDescent="0.25">
      <c r="A2909">
        <v>8559026</v>
      </c>
      <c r="B2909">
        <v>25923877</v>
      </c>
      <c r="C2909" s="1">
        <v>42533</v>
      </c>
      <c r="D2909" t="s">
        <v>26</v>
      </c>
      <c r="E2909" t="str">
        <f>VLOOKUP(TRIM(D2909), Catalogo_gestiones!$A:$B, 2, FALSE)</f>
        <v>N</v>
      </c>
    </row>
    <row r="2910" spans="1:5" x14ac:dyDescent="0.25">
      <c r="A2910">
        <v>8559026</v>
      </c>
      <c r="B2910">
        <v>25934012</v>
      </c>
      <c r="C2910" s="1">
        <v>42533</v>
      </c>
      <c r="D2910" t="s">
        <v>27</v>
      </c>
      <c r="E2910" t="str">
        <f>VLOOKUP(TRIM(D2910), Catalogo_gestiones!$A:$B, 2, FALSE)</f>
        <v>S</v>
      </c>
    </row>
    <row r="2911" spans="1:5" x14ac:dyDescent="0.25">
      <c r="A2911">
        <v>8559026</v>
      </c>
      <c r="B2911">
        <v>25942733</v>
      </c>
      <c r="C2911" s="1">
        <v>42533</v>
      </c>
      <c r="D2911" t="s">
        <v>28</v>
      </c>
      <c r="E2911" t="str">
        <f>VLOOKUP(TRIM(D2911), Catalogo_gestiones!$A:$B, 2, FALSE)</f>
        <v>N</v>
      </c>
    </row>
  </sheetData>
  <autoFilter ref="A1:D2911" xr:uid="{00000000-0001-0000-0100-000000000000}"/>
  <sortState xmlns:xlrd2="http://schemas.microsoft.com/office/spreadsheetml/2017/richdata2" ref="A2:B677">
    <sortCondition ref="A2:A677"/>
  </sortState>
  <conditionalFormatting sqref="A2">
    <cfRule type="duplicateValues" dxfId="1" priority="2"/>
  </conditionalFormatting>
  <conditionalFormatting sqref="D2">
    <cfRule type="duplicateValues" dxfId="0" priority="1"/>
  </conditionalFormatting>
  <pageMargins left="0.7" right="0.7" top="0.75" bottom="0.75" header="0.3" footer="0.3"/>
  <pageSetup orientation="portrait" verticalDpi="599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487"/>
  <sheetViews>
    <sheetView workbookViewId="0">
      <selection activeCell="H30" sqref="H30"/>
    </sheetView>
  </sheetViews>
  <sheetFormatPr baseColWidth="10" defaultRowHeight="15" x14ac:dyDescent="0.25"/>
  <cols>
    <col min="1" max="1" width="10.140625" customWidth="1"/>
    <col min="2" max="2" width="14" bestFit="1" customWidth="1"/>
  </cols>
  <sheetData>
    <row r="1" spans="1:5" x14ac:dyDescent="0.25">
      <c r="A1" t="s">
        <v>0</v>
      </c>
      <c r="B1" t="s">
        <v>2</v>
      </c>
      <c r="C1" t="s">
        <v>20</v>
      </c>
      <c r="D1" t="s">
        <v>33</v>
      </c>
      <c r="E1" t="s">
        <v>32</v>
      </c>
    </row>
    <row r="2" spans="1:5" x14ac:dyDescent="0.25">
      <c r="A2">
        <v>8175434</v>
      </c>
      <c r="B2">
        <v>23827455</v>
      </c>
      <c r="C2" s="1">
        <v>42328</v>
      </c>
      <c r="D2" s="2">
        <v>4065749</v>
      </c>
      <c r="E2" s="1">
        <v>42522</v>
      </c>
    </row>
    <row r="3" spans="1:5" x14ac:dyDescent="0.25">
      <c r="A3">
        <v>8175434</v>
      </c>
      <c r="B3">
        <v>22984080</v>
      </c>
      <c r="C3" s="1">
        <v>42328</v>
      </c>
      <c r="D3" s="2">
        <v>423554</v>
      </c>
      <c r="E3" s="1">
        <v>42523</v>
      </c>
    </row>
    <row r="4" spans="1:5" x14ac:dyDescent="0.25">
      <c r="A4">
        <v>8175434</v>
      </c>
      <c r="B4">
        <v>24903975</v>
      </c>
      <c r="C4" s="1">
        <v>42328</v>
      </c>
      <c r="D4" s="2">
        <v>444690</v>
      </c>
      <c r="E4" s="1">
        <v>42524</v>
      </c>
    </row>
    <row r="5" spans="1:5" x14ac:dyDescent="0.25">
      <c r="A5">
        <v>8175434</v>
      </c>
      <c r="B5">
        <v>21490702</v>
      </c>
      <c r="C5" s="1">
        <v>42328</v>
      </c>
      <c r="D5" s="2">
        <v>3305009</v>
      </c>
      <c r="E5" s="1">
        <v>42525</v>
      </c>
    </row>
    <row r="6" spans="1:5" x14ac:dyDescent="0.25">
      <c r="A6">
        <v>8175434</v>
      </c>
      <c r="B6">
        <v>23123539</v>
      </c>
      <c r="C6" s="1">
        <v>42328</v>
      </c>
      <c r="D6" s="2">
        <v>2211719</v>
      </c>
      <c r="E6" s="1">
        <v>42522</v>
      </c>
    </row>
    <row r="7" spans="1:5" x14ac:dyDescent="0.25">
      <c r="A7">
        <v>8177887</v>
      </c>
      <c r="B7">
        <v>26004795</v>
      </c>
      <c r="C7" s="1">
        <v>42336</v>
      </c>
      <c r="D7" s="2">
        <v>423554</v>
      </c>
      <c r="E7" s="1">
        <v>42523</v>
      </c>
    </row>
    <row r="8" spans="1:5" x14ac:dyDescent="0.25">
      <c r="A8">
        <v>8170768</v>
      </c>
      <c r="B8">
        <v>25300694</v>
      </c>
      <c r="C8" s="1">
        <v>42417</v>
      </c>
      <c r="D8" s="2">
        <v>444690</v>
      </c>
      <c r="E8" s="1">
        <v>42524</v>
      </c>
    </row>
    <row r="9" spans="1:5" x14ac:dyDescent="0.25">
      <c r="A9">
        <v>8553414</v>
      </c>
      <c r="B9">
        <v>16700034</v>
      </c>
      <c r="C9" s="1">
        <v>42428</v>
      </c>
      <c r="D9" s="2">
        <v>713088</v>
      </c>
      <c r="E9" s="1">
        <v>42525</v>
      </c>
    </row>
    <row r="10" spans="1:5" x14ac:dyDescent="0.25">
      <c r="A10">
        <v>8159820</v>
      </c>
      <c r="B10">
        <v>24951061</v>
      </c>
      <c r="C10" s="1">
        <v>42428</v>
      </c>
      <c r="D10" s="2">
        <v>2876246</v>
      </c>
      <c r="E10" s="1">
        <v>42522</v>
      </c>
    </row>
    <row r="11" spans="1:5" x14ac:dyDescent="0.25">
      <c r="A11">
        <v>8485525</v>
      </c>
      <c r="B11">
        <v>2407079</v>
      </c>
      <c r="C11" s="1">
        <v>42440</v>
      </c>
      <c r="D11" s="2">
        <v>4764971</v>
      </c>
      <c r="E11" s="1">
        <v>42523</v>
      </c>
    </row>
    <row r="12" spans="1:5" x14ac:dyDescent="0.25">
      <c r="A12">
        <v>8120258</v>
      </c>
      <c r="B12">
        <v>22218377</v>
      </c>
      <c r="C12" s="1">
        <v>42443</v>
      </c>
      <c r="D12" s="2">
        <v>1412302</v>
      </c>
      <c r="E12" s="1">
        <v>42524</v>
      </c>
    </row>
    <row r="13" spans="1:5" x14ac:dyDescent="0.25">
      <c r="A13">
        <v>8181055</v>
      </c>
      <c r="B13">
        <v>21622993</v>
      </c>
      <c r="C13" s="1">
        <v>42443</v>
      </c>
      <c r="D13" s="2">
        <v>478905</v>
      </c>
      <c r="E13" s="1">
        <v>42525</v>
      </c>
    </row>
    <row r="14" spans="1:5" x14ac:dyDescent="0.25">
      <c r="A14">
        <v>8557743</v>
      </c>
      <c r="B14">
        <v>25042402</v>
      </c>
      <c r="C14" s="1">
        <v>42443</v>
      </c>
      <c r="D14" s="2">
        <v>827836</v>
      </c>
      <c r="E14" s="1">
        <v>42522</v>
      </c>
    </row>
    <row r="15" spans="1:5" x14ac:dyDescent="0.25">
      <c r="A15">
        <v>8380574</v>
      </c>
      <c r="B15">
        <v>26216119</v>
      </c>
      <c r="C15" s="1">
        <v>42444</v>
      </c>
      <c r="D15" s="2">
        <v>1347485</v>
      </c>
      <c r="E15" s="1">
        <v>42523</v>
      </c>
    </row>
    <row r="16" spans="1:5" x14ac:dyDescent="0.25">
      <c r="A16">
        <v>8485525</v>
      </c>
      <c r="B16">
        <v>26839896</v>
      </c>
      <c r="C16" s="1">
        <v>42445</v>
      </c>
      <c r="D16" s="2">
        <v>169150</v>
      </c>
      <c r="E16" s="1">
        <v>42524</v>
      </c>
    </row>
    <row r="17" spans="1:5" x14ac:dyDescent="0.25">
      <c r="A17">
        <v>8485525</v>
      </c>
      <c r="B17">
        <v>26183633</v>
      </c>
      <c r="C17" s="1">
        <v>42445</v>
      </c>
      <c r="D17" s="2">
        <v>1485139</v>
      </c>
      <c r="E17" s="1">
        <v>42525</v>
      </c>
    </row>
    <row r="18" spans="1:5" x14ac:dyDescent="0.25">
      <c r="A18">
        <v>8186426</v>
      </c>
      <c r="B18">
        <v>22931031</v>
      </c>
      <c r="C18" s="1">
        <v>42447</v>
      </c>
      <c r="D18" s="2">
        <v>80992</v>
      </c>
      <c r="E18" s="1">
        <v>42526</v>
      </c>
    </row>
    <row r="19" spans="1:5" x14ac:dyDescent="0.25">
      <c r="A19">
        <v>8261475</v>
      </c>
      <c r="B19">
        <v>26270252</v>
      </c>
      <c r="C19" s="1">
        <v>42447</v>
      </c>
      <c r="D19" s="2">
        <v>1043109</v>
      </c>
      <c r="E19" s="1">
        <v>42527</v>
      </c>
    </row>
    <row r="20" spans="1:5" x14ac:dyDescent="0.25">
      <c r="A20">
        <v>8120833</v>
      </c>
      <c r="B20">
        <v>24374772</v>
      </c>
      <c r="C20" s="1">
        <v>42447</v>
      </c>
      <c r="D20" s="2">
        <v>650182</v>
      </c>
      <c r="E20" s="1">
        <v>42528</v>
      </c>
    </row>
    <row r="21" spans="1:5" x14ac:dyDescent="0.25">
      <c r="A21">
        <v>8261475</v>
      </c>
      <c r="B21">
        <v>26272747</v>
      </c>
      <c r="C21" s="1">
        <v>42448</v>
      </c>
      <c r="D21" s="2">
        <v>1026070</v>
      </c>
      <c r="E21" s="1">
        <v>42529</v>
      </c>
    </row>
    <row r="22" spans="1:5" x14ac:dyDescent="0.25">
      <c r="A22">
        <v>8350430</v>
      </c>
      <c r="B22">
        <v>26726954</v>
      </c>
      <c r="C22" s="1">
        <v>42448</v>
      </c>
      <c r="D22" s="2">
        <v>2464392</v>
      </c>
      <c r="E22" s="1">
        <v>42530</v>
      </c>
    </row>
    <row r="23" spans="1:5" x14ac:dyDescent="0.25">
      <c r="A23">
        <v>8377553</v>
      </c>
      <c r="B23">
        <v>26862382</v>
      </c>
      <c r="C23" s="1">
        <v>42450</v>
      </c>
      <c r="D23" s="2">
        <v>153708</v>
      </c>
      <c r="E23" s="1">
        <v>42531</v>
      </c>
    </row>
    <row r="24" spans="1:5" x14ac:dyDescent="0.25">
      <c r="A24">
        <v>8292560</v>
      </c>
      <c r="B24">
        <v>24257181</v>
      </c>
      <c r="C24" s="1">
        <v>42451</v>
      </c>
      <c r="D24" s="2">
        <v>928324</v>
      </c>
      <c r="E24" s="1">
        <v>42522</v>
      </c>
    </row>
    <row r="25" spans="1:5" x14ac:dyDescent="0.25">
      <c r="A25">
        <v>8292560</v>
      </c>
      <c r="B25">
        <v>21245444</v>
      </c>
      <c r="C25" s="1">
        <v>42453</v>
      </c>
      <c r="D25" s="2">
        <v>1547189</v>
      </c>
      <c r="E25" s="1">
        <v>42523</v>
      </c>
    </row>
    <row r="26" spans="1:5" x14ac:dyDescent="0.25">
      <c r="A26">
        <v>8188922</v>
      </c>
      <c r="B26">
        <v>25276234</v>
      </c>
      <c r="C26" s="1">
        <v>42459</v>
      </c>
      <c r="D26" s="2">
        <v>2865296</v>
      </c>
      <c r="E26" s="1">
        <v>42524</v>
      </c>
    </row>
    <row r="27" spans="1:5" x14ac:dyDescent="0.25">
      <c r="A27">
        <v>8377553</v>
      </c>
      <c r="B27">
        <v>25413634</v>
      </c>
      <c r="C27" s="1">
        <v>42459</v>
      </c>
      <c r="D27" s="2">
        <v>294004</v>
      </c>
      <c r="E27" s="1">
        <v>42525</v>
      </c>
    </row>
    <row r="28" spans="1:5" x14ac:dyDescent="0.25">
      <c r="A28">
        <v>8251019</v>
      </c>
      <c r="B28">
        <v>23719460</v>
      </c>
      <c r="C28" s="1">
        <v>42461</v>
      </c>
      <c r="D28" s="2">
        <v>824950</v>
      </c>
      <c r="E28" s="1">
        <v>42526</v>
      </c>
    </row>
    <row r="29" spans="1:5" x14ac:dyDescent="0.25">
      <c r="A29">
        <v>8251019</v>
      </c>
      <c r="B29">
        <v>25290944</v>
      </c>
      <c r="C29" s="1">
        <v>42462</v>
      </c>
      <c r="D29" s="2">
        <v>4676984</v>
      </c>
      <c r="E29" s="1">
        <v>42527</v>
      </c>
    </row>
    <row r="30" spans="1:5" x14ac:dyDescent="0.25">
      <c r="A30">
        <v>8188922</v>
      </c>
      <c r="B30">
        <v>26207742</v>
      </c>
      <c r="C30" s="1">
        <v>42468</v>
      </c>
      <c r="D30" s="2">
        <v>3610861</v>
      </c>
      <c r="E30" s="1">
        <v>42528</v>
      </c>
    </row>
    <row r="31" spans="1:5" x14ac:dyDescent="0.25">
      <c r="A31">
        <v>8380574</v>
      </c>
      <c r="B31">
        <v>26787345</v>
      </c>
      <c r="C31" s="1">
        <v>42474</v>
      </c>
      <c r="D31" s="2">
        <v>127614</v>
      </c>
      <c r="E31" s="1">
        <v>42529</v>
      </c>
    </row>
    <row r="32" spans="1:5" x14ac:dyDescent="0.25">
      <c r="A32">
        <v>8294415</v>
      </c>
      <c r="B32">
        <v>26921845</v>
      </c>
      <c r="C32" s="1">
        <v>42476</v>
      </c>
      <c r="D32" s="2">
        <v>826214</v>
      </c>
      <c r="E32" s="1">
        <v>42530</v>
      </c>
    </row>
    <row r="33" spans="1:5" x14ac:dyDescent="0.25">
      <c r="A33">
        <v>8294415</v>
      </c>
      <c r="B33">
        <v>27029677</v>
      </c>
      <c r="C33" s="1">
        <v>42476</v>
      </c>
      <c r="D33" s="2">
        <v>50156</v>
      </c>
      <c r="E33" s="1">
        <v>42531</v>
      </c>
    </row>
    <row r="34" spans="1:5" x14ac:dyDescent="0.25">
      <c r="A34">
        <v>8376429</v>
      </c>
      <c r="B34">
        <v>2931482</v>
      </c>
      <c r="C34" s="1">
        <v>42476</v>
      </c>
      <c r="D34" s="2">
        <v>843091</v>
      </c>
      <c r="E34" s="1">
        <v>42522</v>
      </c>
    </row>
    <row r="35" spans="1:5" x14ac:dyDescent="0.25">
      <c r="A35">
        <v>8294415</v>
      </c>
      <c r="B35">
        <v>25086883</v>
      </c>
      <c r="C35" s="1">
        <v>42476</v>
      </c>
      <c r="D35" s="2">
        <v>728920</v>
      </c>
      <c r="E35" s="1">
        <v>42523</v>
      </c>
    </row>
    <row r="36" spans="1:5" x14ac:dyDescent="0.25">
      <c r="A36">
        <v>8381346</v>
      </c>
      <c r="B36">
        <v>26705594</v>
      </c>
      <c r="C36" s="1">
        <v>42476</v>
      </c>
      <c r="D36" s="2">
        <v>5449901</v>
      </c>
      <c r="E36" s="1">
        <v>42524</v>
      </c>
    </row>
    <row r="37" spans="1:5" x14ac:dyDescent="0.25">
      <c r="A37">
        <v>8559026</v>
      </c>
      <c r="B37">
        <v>25923877</v>
      </c>
      <c r="C37" s="1">
        <v>42477</v>
      </c>
      <c r="D37" s="2">
        <v>472042</v>
      </c>
      <c r="E37" s="1">
        <v>42525</v>
      </c>
    </row>
    <row r="38" spans="1:5" x14ac:dyDescent="0.25">
      <c r="A38">
        <v>8520818</v>
      </c>
      <c r="B38">
        <v>25708940</v>
      </c>
      <c r="C38" s="1">
        <v>42477</v>
      </c>
      <c r="D38" s="2">
        <v>487304</v>
      </c>
      <c r="E38" s="1">
        <v>42526</v>
      </c>
    </row>
    <row r="39" spans="1:5" x14ac:dyDescent="0.25">
      <c r="A39">
        <v>8120773</v>
      </c>
      <c r="B39">
        <v>16069377</v>
      </c>
      <c r="C39" s="1">
        <v>42480</v>
      </c>
      <c r="D39" s="2">
        <v>3792766</v>
      </c>
      <c r="E39" s="1">
        <v>42527</v>
      </c>
    </row>
    <row r="40" spans="1:5" x14ac:dyDescent="0.25">
      <c r="A40">
        <v>8183593</v>
      </c>
      <c r="B40">
        <v>3487181</v>
      </c>
      <c r="C40" s="1">
        <v>42480</v>
      </c>
      <c r="D40" s="2">
        <v>3395196</v>
      </c>
      <c r="E40" s="1">
        <v>42528</v>
      </c>
    </row>
    <row r="41" spans="1:5" x14ac:dyDescent="0.25">
      <c r="A41">
        <v>8489792</v>
      </c>
      <c r="B41">
        <v>20199251</v>
      </c>
      <c r="C41" s="1">
        <v>42480</v>
      </c>
      <c r="D41" s="2">
        <v>1877885</v>
      </c>
      <c r="E41" s="1">
        <v>42529</v>
      </c>
    </row>
    <row r="42" spans="1:5" x14ac:dyDescent="0.25">
      <c r="A42">
        <v>8121172</v>
      </c>
      <c r="B42">
        <v>20238795</v>
      </c>
      <c r="C42" s="1">
        <v>42480</v>
      </c>
      <c r="D42" s="2">
        <v>407190</v>
      </c>
      <c r="E42" s="1">
        <v>42530</v>
      </c>
    </row>
    <row r="43" spans="1:5" x14ac:dyDescent="0.25">
      <c r="A43">
        <v>8164706</v>
      </c>
      <c r="B43">
        <v>27675670</v>
      </c>
      <c r="C43" s="1">
        <v>42480</v>
      </c>
      <c r="D43" s="2">
        <v>94778</v>
      </c>
      <c r="E43" s="1">
        <v>42531</v>
      </c>
    </row>
    <row r="44" spans="1:5" x14ac:dyDescent="0.25">
      <c r="A44">
        <v>8169981</v>
      </c>
      <c r="B44">
        <v>27032129</v>
      </c>
      <c r="C44" s="1">
        <v>42480</v>
      </c>
      <c r="D44" s="2">
        <v>130827</v>
      </c>
      <c r="E44" s="1">
        <v>42522</v>
      </c>
    </row>
    <row r="45" spans="1:5" x14ac:dyDescent="0.25">
      <c r="A45">
        <v>8187113</v>
      </c>
      <c r="B45">
        <v>21767160</v>
      </c>
      <c r="C45" s="1">
        <v>42480</v>
      </c>
      <c r="D45" s="2">
        <v>169887</v>
      </c>
      <c r="E45" s="1">
        <v>42523</v>
      </c>
    </row>
    <row r="46" spans="1:5" x14ac:dyDescent="0.25">
      <c r="A46">
        <v>8291307</v>
      </c>
      <c r="B46">
        <v>19789068</v>
      </c>
      <c r="C46" s="1">
        <v>42480</v>
      </c>
      <c r="D46" s="2">
        <v>764811</v>
      </c>
      <c r="E46" s="1">
        <v>42524</v>
      </c>
    </row>
    <row r="47" spans="1:5" x14ac:dyDescent="0.25">
      <c r="A47">
        <v>8381336</v>
      </c>
      <c r="B47">
        <v>25292675</v>
      </c>
      <c r="C47" s="1">
        <v>42480</v>
      </c>
      <c r="D47" s="2">
        <v>116378</v>
      </c>
      <c r="E47" s="1">
        <v>42525</v>
      </c>
    </row>
    <row r="48" spans="1:5" x14ac:dyDescent="0.25">
      <c r="A48">
        <v>8523520</v>
      </c>
      <c r="B48">
        <v>1377705</v>
      </c>
      <c r="C48" s="1">
        <v>42480</v>
      </c>
      <c r="D48" s="2">
        <v>26600</v>
      </c>
      <c r="E48" s="1">
        <v>42526</v>
      </c>
    </row>
    <row r="49" spans="1:5" x14ac:dyDescent="0.25">
      <c r="A49">
        <v>8120077</v>
      </c>
      <c r="B49">
        <v>23053023</v>
      </c>
      <c r="C49" s="1">
        <v>42480</v>
      </c>
      <c r="D49" s="2">
        <v>205309</v>
      </c>
      <c r="E49" s="1">
        <v>42527</v>
      </c>
    </row>
    <row r="50" spans="1:5" x14ac:dyDescent="0.25">
      <c r="A50">
        <v>8166533</v>
      </c>
      <c r="B50">
        <v>27048470</v>
      </c>
      <c r="C50" s="1">
        <v>42480</v>
      </c>
      <c r="D50" s="2">
        <v>36789</v>
      </c>
      <c r="E50" s="1">
        <v>42528</v>
      </c>
    </row>
    <row r="51" spans="1:5" x14ac:dyDescent="0.25">
      <c r="A51">
        <v>8169918</v>
      </c>
      <c r="B51">
        <v>25753095</v>
      </c>
      <c r="C51" s="1">
        <v>42480</v>
      </c>
      <c r="D51" s="2">
        <v>783257</v>
      </c>
      <c r="E51" s="1">
        <v>42529</v>
      </c>
    </row>
    <row r="52" spans="1:5" x14ac:dyDescent="0.25">
      <c r="A52">
        <v>8175412</v>
      </c>
      <c r="B52">
        <v>27722229</v>
      </c>
      <c r="C52" s="1">
        <v>42480</v>
      </c>
      <c r="D52" s="2">
        <v>11709</v>
      </c>
      <c r="E52" s="1">
        <v>42530</v>
      </c>
    </row>
    <row r="53" spans="1:5" x14ac:dyDescent="0.25">
      <c r="A53">
        <v>8293564</v>
      </c>
      <c r="B53">
        <v>26443276</v>
      </c>
      <c r="C53" s="1">
        <v>42480</v>
      </c>
      <c r="D53" s="2">
        <v>697423</v>
      </c>
      <c r="E53" s="1">
        <v>42531</v>
      </c>
    </row>
    <row r="54" spans="1:5" x14ac:dyDescent="0.25">
      <c r="A54">
        <v>8376794</v>
      </c>
      <c r="B54">
        <v>23391228</v>
      </c>
      <c r="C54" s="1">
        <v>42480</v>
      </c>
      <c r="D54" s="2">
        <v>6768847</v>
      </c>
      <c r="E54" s="1">
        <v>42522</v>
      </c>
    </row>
    <row r="55" spans="1:5" x14ac:dyDescent="0.25">
      <c r="A55">
        <v>8487742</v>
      </c>
      <c r="B55">
        <v>22273203</v>
      </c>
      <c r="C55" s="1">
        <v>42480</v>
      </c>
      <c r="D55" s="2">
        <v>336505</v>
      </c>
      <c r="E55" s="1">
        <v>42523</v>
      </c>
    </row>
    <row r="56" spans="1:5" x14ac:dyDescent="0.25">
      <c r="A56">
        <v>8188778</v>
      </c>
      <c r="B56">
        <v>24358304</v>
      </c>
      <c r="C56" s="1">
        <v>42481</v>
      </c>
      <c r="D56" s="2">
        <v>2816341</v>
      </c>
      <c r="E56" s="1">
        <v>42524</v>
      </c>
    </row>
    <row r="57" spans="1:5" x14ac:dyDescent="0.25">
      <c r="A57">
        <v>8148012</v>
      </c>
      <c r="B57">
        <v>26918957</v>
      </c>
      <c r="C57" s="1">
        <v>42481</v>
      </c>
      <c r="D57" s="2">
        <v>993</v>
      </c>
      <c r="E57" s="1">
        <v>42525</v>
      </c>
    </row>
    <row r="58" spans="1:5" x14ac:dyDescent="0.25">
      <c r="A58">
        <v>8169981</v>
      </c>
      <c r="B58">
        <v>27033156</v>
      </c>
      <c r="C58" s="1">
        <v>42481</v>
      </c>
      <c r="D58" s="2">
        <v>143073</v>
      </c>
      <c r="E58" s="1">
        <v>42526</v>
      </c>
    </row>
    <row r="59" spans="1:5" x14ac:dyDescent="0.25">
      <c r="A59">
        <v>8263436</v>
      </c>
      <c r="B59">
        <v>27653166</v>
      </c>
      <c r="C59" s="1">
        <v>42481</v>
      </c>
      <c r="D59" s="2">
        <v>157428</v>
      </c>
      <c r="E59" s="1">
        <v>42527</v>
      </c>
    </row>
    <row r="60" spans="1:5" x14ac:dyDescent="0.25">
      <c r="A60">
        <v>8376429</v>
      </c>
      <c r="B60">
        <v>11036696</v>
      </c>
      <c r="C60" s="1">
        <v>42481</v>
      </c>
      <c r="D60" s="2">
        <v>660657</v>
      </c>
      <c r="E60" s="1">
        <v>42528</v>
      </c>
    </row>
    <row r="61" spans="1:5" x14ac:dyDescent="0.25">
      <c r="A61">
        <v>8485525</v>
      </c>
      <c r="B61">
        <v>26547564</v>
      </c>
      <c r="C61" s="1">
        <v>42481</v>
      </c>
      <c r="D61" s="2">
        <v>8463706</v>
      </c>
      <c r="E61" s="1">
        <v>42529</v>
      </c>
    </row>
    <row r="62" spans="1:5" x14ac:dyDescent="0.25">
      <c r="A62">
        <v>8160956</v>
      </c>
      <c r="B62">
        <v>21942759</v>
      </c>
      <c r="C62" s="1">
        <v>42481</v>
      </c>
      <c r="D62" s="2">
        <v>3429</v>
      </c>
      <c r="E62" s="1">
        <v>42530</v>
      </c>
    </row>
    <row r="63" spans="1:5" x14ac:dyDescent="0.25">
      <c r="A63">
        <v>8167778</v>
      </c>
      <c r="B63">
        <v>27145364</v>
      </c>
      <c r="C63" s="1">
        <v>42481</v>
      </c>
      <c r="D63" s="2">
        <v>319741</v>
      </c>
      <c r="E63" s="1">
        <v>42531</v>
      </c>
    </row>
    <row r="64" spans="1:5" x14ac:dyDescent="0.25">
      <c r="A64">
        <v>8183881</v>
      </c>
      <c r="B64">
        <v>25845909</v>
      </c>
      <c r="C64" s="1">
        <v>42481</v>
      </c>
      <c r="D64" s="2">
        <v>133003</v>
      </c>
      <c r="E64" s="1">
        <v>42522</v>
      </c>
    </row>
    <row r="65" spans="1:5" x14ac:dyDescent="0.25">
      <c r="A65">
        <v>8466043</v>
      </c>
      <c r="B65">
        <v>22082240</v>
      </c>
      <c r="C65" s="1">
        <v>42481</v>
      </c>
      <c r="D65" s="2">
        <v>735738</v>
      </c>
      <c r="E65" s="1">
        <v>42523</v>
      </c>
    </row>
    <row r="66" spans="1:5" x14ac:dyDescent="0.25">
      <c r="A66">
        <v>8485525</v>
      </c>
      <c r="B66">
        <v>24947872</v>
      </c>
      <c r="C66" s="1">
        <v>42481</v>
      </c>
      <c r="D66" s="2">
        <v>6531104</v>
      </c>
      <c r="E66" s="1">
        <v>42524</v>
      </c>
    </row>
    <row r="67" spans="1:5" x14ac:dyDescent="0.25">
      <c r="A67">
        <v>8525340</v>
      </c>
      <c r="B67">
        <v>10637802</v>
      </c>
      <c r="C67" s="1">
        <v>42481</v>
      </c>
      <c r="D67" s="2">
        <v>198536</v>
      </c>
      <c r="E67" s="1">
        <v>42525</v>
      </c>
    </row>
    <row r="68" spans="1:5" x14ac:dyDescent="0.25">
      <c r="A68">
        <v>8170902</v>
      </c>
      <c r="B68">
        <v>11334214</v>
      </c>
      <c r="C68" s="1">
        <v>42483</v>
      </c>
      <c r="D68" s="2">
        <v>1050743</v>
      </c>
      <c r="E68" s="1">
        <v>42526</v>
      </c>
    </row>
    <row r="69" spans="1:5" x14ac:dyDescent="0.25">
      <c r="A69">
        <v>8525766</v>
      </c>
      <c r="B69">
        <v>27984804</v>
      </c>
      <c r="C69" s="1">
        <v>42483</v>
      </c>
      <c r="D69" s="2">
        <v>111476</v>
      </c>
      <c r="E69" s="1">
        <v>42527</v>
      </c>
    </row>
    <row r="70" spans="1:5" x14ac:dyDescent="0.25">
      <c r="A70">
        <v>8251177</v>
      </c>
      <c r="B70">
        <v>21131643</v>
      </c>
      <c r="C70" s="1">
        <v>42487</v>
      </c>
      <c r="D70" s="2">
        <v>26121</v>
      </c>
      <c r="E70" s="1">
        <v>42528</v>
      </c>
    </row>
    <row r="71" spans="1:5" x14ac:dyDescent="0.25">
      <c r="A71">
        <v>8490008</v>
      </c>
      <c r="B71">
        <v>23864357</v>
      </c>
      <c r="C71" s="1">
        <v>42487</v>
      </c>
      <c r="D71" s="2">
        <v>1835478</v>
      </c>
      <c r="E71" s="1">
        <v>42529</v>
      </c>
    </row>
    <row r="72" spans="1:5" x14ac:dyDescent="0.25">
      <c r="A72">
        <v>8120741</v>
      </c>
      <c r="B72">
        <v>22880917</v>
      </c>
      <c r="C72" s="1">
        <v>42487</v>
      </c>
      <c r="D72" s="2">
        <v>100840</v>
      </c>
      <c r="E72" s="1">
        <v>42530</v>
      </c>
    </row>
    <row r="73" spans="1:5" x14ac:dyDescent="0.25">
      <c r="A73">
        <v>8181055</v>
      </c>
      <c r="B73">
        <v>21623286</v>
      </c>
      <c r="C73" s="1">
        <v>42487</v>
      </c>
      <c r="D73" s="2">
        <v>760853</v>
      </c>
      <c r="E73" s="1">
        <v>42531</v>
      </c>
    </row>
    <row r="74" spans="1:5" x14ac:dyDescent="0.25">
      <c r="A74">
        <v>8260923</v>
      </c>
      <c r="B74">
        <v>23139966</v>
      </c>
      <c r="C74" s="1">
        <v>42487</v>
      </c>
      <c r="D74" s="2">
        <v>104460</v>
      </c>
      <c r="E74" s="1">
        <v>42522</v>
      </c>
    </row>
    <row r="75" spans="1:5" x14ac:dyDescent="0.25">
      <c r="A75">
        <v>8292842</v>
      </c>
      <c r="B75">
        <v>17344821</v>
      </c>
      <c r="C75" s="1">
        <v>42487</v>
      </c>
      <c r="D75" s="2">
        <v>397518</v>
      </c>
      <c r="E75" s="1">
        <v>42523</v>
      </c>
    </row>
    <row r="76" spans="1:5" x14ac:dyDescent="0.25">
      <c r="A76">
        <v>8465959</v>
      </c>
      <c r="B76">
        <v>14265420</v>
      </c>
      <c r="C76" s="1">
        <v>42487</v>
      </c>
      <c r="D76" s="2">
        <v>518187</v>
      </c>
      <c r="E76" s="1">
        <v>42524</v>
      </c>
    </row>
    <row r="77" spans="1:5" x14ac:dyDescent="0.25">
      <c r="A77">
        <v>8491969</v>
      </c>
      <c r="B77">
        <v>16363550</v>
      </c>
      <c r="C77" s="1">
        <v>42487</v>
      </c>
      <c r="D77" s="2">
        <v>618014</v>
      </c>
      <c r="E77" s="1">
        <v>42525</v>
      </c>
    </row>
    <row r="78" spans="1:5" x14ac:dyDescent="0.25">
      <c r="A78">
        <v>8555305</v>
      </c>
      <c r="B78">
        <v>21346506</v>
      </c>
      <c r="C78" s="1">
        <v>42487</v>
      </c>
      <c r="D78" s="2">
        <v>740538</v>
      </c>
      <c r="E78" s="1">
        <v>42526</v>
      </c>
    </row>
    <row r="79" spans="1:5" x14ac:dyDescent="0.25">
      <c r="A79">
        <v>8160956</v>
      </c>
      <c r="B79">
        <v>21943359</v>
      </c>
      <c r="C79" s="1">
        <v>42487</v>
      </c>
      <c r="D79" s="2">
        <v>3902</v>
      </c>
      <c r="E79" s="1">
        <v>42527</v>
      </c>
    </row>
    <row r="80" spans="1:5" x14ac:dyDescent="0.25">
      <c r="A80">
        <v>8174723</v>
      </c>
      <c r="B80">
        <v>20516171</v>
      </c>
      <c r="C80" s="1">
        <v>42487</v>
      </c>
      <c r="D80" s="2">
        <v>1862360</v>
      </c>
      <c r="E80" s="1">
        <v>42528</v>
      </c>
    </row>
    <row r="81" spans="1:5" x14ac:dyDescent="0.25">
      <c r="A81">
        <v>8241775</v>
      </c>
      <c r="B81">
        <v>25340462</v>
      </c>
      <c r="C81" s="1">
        <v>42487</v>
      </c>
      <c r="D81" s="2">
        <v>25878</v>
      </c>
      <c r="E81" s="1">
        <v>42529</v>
      </c>
    </row>
    <row r="82" spans="1:5" x14ac:dyDescent="0.25">
      <c r="A82">
        <v>8369548</v>
      </c>
      <c r="B82">
        <v>21722911</v>
      </c>
      <c r="C82" s="1">
        <v>42487</v>
      </c>
      <c r="D82" s="2">
        <v>1289329</v>
      </c>
      <c r="E82" s="1">
        <v>42530</v>
      </c>
    </row>
    <row r="83" spans="1:5" x14ac:dyDescent="0.25">
      <c r="A83">
        <v>8380574</v>
      </c>
      <c r="B83">
        <v>25284380</v>
      </c>
      <c r="C83" s="1">
        <v>42487</v>
      </c>
      <c r="D83" s="2">
        <v>3097216</v>
      </c>
      <c r="E83" s="1">
        <v>42531</v>
      </c>
    </row>
    <row r="84" spans="1:5" x14ac:dyDescent="0.25">
      <c r="A84">
        <v>8489792</v>
      </c>
      <c r="B84">
        <v>20199357</v>
      </c>
      <c r="C84" s="1">
        <v>42487</v>
      </c>
      <c r="D84" s="2">
        <v>762874</v>
      </c>
      <c r="E84" s="1">
        <v>42522</v>
      </c>
    </row>
    <row r="85" spans="1:5" x14ac:dyDescent="0.25">
      <c r="A85">
        <v>8291401</v>
      </c>
      <c r="B85">
        <v>26664011</v>
      </c>
      <c r="C85" s="1">
        <v>42488</v>
      </c>
      <c r="D85" s="2">
        <v>1203480</v>
      </c>
      <c r="E85" s="1">
        <v>42523</v>
      </c>
    </row>
    <row r="86" spans="1:5" x14ac:dyDescent="0.25">
      <c r="A86">
        <v>8486527</v>
      </c>
      <c r="B86">
        <v>23868894</v>
      </c>
      <c r="C86" s="1">
        <v>42489</v>
      </c>
      <c r="D86" s="2">
        <v>68709</v>
      </c>
      <c r="E86" s="1">
        <v>42524</v>
      </c>
    </row>
    <row r="87" spans="1:5" x14ac:dyDescent="0.25">
      <c r="A87">
        <v>8381568</v>
      </c>
      <c r="B87">
        <v>24024759</v>
      </c>
      <c r="C87" s="1">
        <v>42489</v>
      </c>
      <c r="D87" s="2">
        <v>1071313</v>
      </c>
      <c r="E87" s="1">
        <v>42525</v>
      </c>
    </row>
    <row r="88" spans="1:5" x14ac:dyDescent="0.25">
      <c r="A88">
        <v>8169074</v>
      </c>
      <c r="B88">
        <v>25018031</v>
      </c>
      <c r="C88" s="1">
        <v>42490</v>
      </c>
      <c r="D88" s="2">
        <v>1029305</v>
      </c>
      <c r="E88" s="1">
        <v>42526</v>
      </c>
    </row>
    <row r="89" spans="1:5" x14ac:dyDescent="0.25">
      <c r="A89">
        <v>8372113</v>
      </c>
      <c r="B89">
        <v>12527109</v>
      </c>
      <c r="C89" s="1">
        <v>42490</v>
      </c>
      <c r="D89" s="2">
        <v>2067749</v>
      </c>
      <c r="E89" s="1">
        <v>42527</v>
      </c>
    </row>
    <row r="90" spans="1:5" x14ac:dyDescent="0.25">
      <c r="A90">
        <v>8169455</v>
      </c>
      <c r="B90">
        <v>17140148</v>
      </c>
      <c r="C90" s="1">
        <v>42490</v>
      </c>
      <c r="D90" s="2">
        <v>164071</v>
      </c>
      <c r="E90" s="1">
        <v>42528</v>
      </c>
    </row>
    <row r="91" spans="1:5" x14ac:dyDescent="0.25">
      <c r="A91">
        <v>8177174</v>
      </c>
      <c r="B91">
        <v>16031676</v>
      </c>
      <c r="C91" s="1">
        <v>42490</v>
      </c>
      <c r="D91" s="2">
        <v>134455</v>
      </c>
      <c r="E91" s="1">
        <v>42529</v>
      </c>
    </row>
    <row r="92" spans="1:5" x14ac:dyDescent="0.25">
      <c r="A92">
        <v>8290528</v>
      </c>
      <c r="B92">
        <v>24781042</v>
      </c>
      <c r="C92" s="1">
        <v>42490</v>
      </c>
      <c r="D92" s="2">
        <v>153341</v>
      </c>
      <c r="E92" s="1">
        <v>42530</v>
      </c>
    </row>
    <row r="93" spans="1:5" x14ac:dyDescent="0.25">
      <c r="A93">
        <v>8372113</v>
      </c>
      <c r="B93">
        <v>21187094</v>
      </c>
      <c r="C93" s="1">
        <v>42490</v>
      </c>
      <c r="D93" s="2">
        <v>478108</v>
      </c>
      <c r="E93" s="1">
        <v>42531</v>
      </c>
    </row>
    <row r="94" spans="1:5" x14ac:dyDescent="0.25">
      <c r="A94">
        <v>8381475</v>
      </c>
      <c r="B94">
        <v>16298674</v>
      </c>
      <c r="C94" s="1">
        <v>42490</v>
      </c>
      <c r="D94" s="2">
        <v>210112</v>
      </c>
      <c r="E94" s="1">
        <v>42522</v>
      </c>
    </row>
    <row r="95" spans="1:5" x14ac:dyDescent="0.25">
      <c r="A95">
        <v>8552331</v>
      </c>
      <c r="B95">
        <v>23982519</v>
      </c>
      <c r="C95" s="1">
        <v>42490</v>
      </c>
      <c r="D95" s="2">
        <v>105959</v>
      </c>
      <c r="E95" s="1">
        <v>42523</v>
      </c>
    </row>
    <row r="96" spans="1:5" x14ac:dyDescent="0.25">
      <c r="A96">
        <v>8163225</v>
      </c>
      <c r="B96">
        <v>24997522</v>
      </c>
      <c r="C96" s="1">
        <v>42490</v>
      </c>
      <c r="D96" s="2">
        <v>663683</v>
      </c>
      <c r="E96" s="1">
        <v>42524</v>
      </c>
    </row>
    <row r="97" spans="1:5" x14ac:dyDescent="0.25">
      <c r="A97">
        <v>8182453</v>
      </c>
      <c r="B97">
        <v>4284933</v>
      </c>
      <c r="C97" s="1">
        <v>42490</v>
      </c>
      <c r="D97" s="2">
        <v>306376</v>
      </c>
      <c r="E97" s="1">
        <v>42525</v>
      </c>
    </row>
    <row r="98" spans="1:5" x14ac:dyDescent="0.25">
      <c r="A98">
        <v>8290112</v>
      </c>
      <c r="B98">
        <v>25098094</v>
      </c>
      <c r="C98" s="1">
        <v>42490</v>
      </c>
      <c r="D98" s="2">
        <v>464745</v>
      </c>
      <c r="E98" s="1">
        <v>42526</v>
      </c>
    </row>
    <row r="99" spans="1:5" x14ac:dyDescent="0.25">
      <c r="A99">
        <v>8368826</v>
      </c>
      <c r="B99">
        <v>11200552</v>
      </c>
      <c r="C99" s="1">
        <v>42490</v>
      </c>
      <c r="D99" s="2">
        <v>84289</v>
      </c>
      <c r="E99" s="1">
        <v>42527</v>
      </c>
    </row>
    <row r="100" spans="1:5" x14ac:dyDescent="0.25">
      <c r="A100">
        <v>8381475</v>
      </c>
      <c r="B100">
        <v>16300086</v>
      </c>
      <c r="C100" s="1">
        <v>42490</v>
      </c>
      <c r="D100" s="2">
        <v>420107</v>
      </c>
      <c r="E100" s="1">
        <v>42528</v>
      </c>
    </row>
    <row r="101" spans="1:5" x14ac:dyDescent="0.25">
      <c r="A101">
        <v>8550032</v>
      </c>
      <c r="B101">
        <v>26664605</v>
      </c>
      <c r="C101" s="1">
        <v>42490</v>
      </c>
      <c r="D101" s="2">
        <v>1861619</v>
      </c>
      <c r="E101" s="1">
        <v>42529</v>
      </c>
    </row>
    <row r="102" spans="1:5" x14ac:dyDescent="0.25">
      <c r="A102">
        <v>8141661</v>
      </c>
      <c r="B102">
        <v>26211389</v>
      </c>
      <c r="C102" s="1">
        <v>42491</v>
      </c>
      <c r="D102" s="2">
        <v>579279</v>
      </c>
      <c r="E102" s="1">
        <v>42530</v>
      </c>
    </row>
    <row r="103" spans="1:5" x14ac:dyDescent="0.25">
      <c r="A103">
        <v>8177716</v>
      </c>
      <c r="B103">
        <v>26262210</v>
      </c>
      <c r="C103" s="1">
        <v>42491</v>
      </c>
      <c r="D103" s="2">
        <v>1542416</v>
      </c>
      <c r="E103" s="1">
        <v>42531</v>
      </c>
    </row>
    <row r="104" spans="1:5" x14ac:dyDescent="0.25">
      <c r="A104">
        <v>8487330</v>
      </c>
      <c r="B104">
        <v>22547293</v>
      </c>
      <c r="C104" s="1">
        <v>42491</v>
      </c>
      <c r="D104" s="2">
        <v>1159662</v>
      </c>
      <c r="E104" s="1">
        <v>42522</v>
      </c>
    </row>
    <row r="105" spans="1:5" x14ac:dyDescent="0.25">
      <c r="A105">
        <v>8552345</v>
      </c>
      <c r="B105">
        <v>27755148</v>
      </c>
      <c r="C105" s="1">
        <v>42491</v>
      </c>
      <c r="D105" s="2">
        <v>541217</v>
      </c>
      <c r="E105" s="1">
        <v>42523</v>
      </c>
    </row>
    <row r="106" spans="1:5" x14ac:dyDescent="0.25">
      <c r="A106">
        <v>8147976</v>
      </c>
      <c r="B106">
        <v>22912840</v>
      </c>
      <c r="C106" s="1">
        <v>42491</v>
      </c>
      <c r="D106" s="2">
        <v>92084</v>
      </c>
      <c r="E106" s="1">
        <v>42524</v>
      </c>
    </row>
    <row r="107" spans="1:5" x14ac:dyDescent="0.25">
      <c r="A107">
        <v>8165995</v>
      </c>
      <c r="B107">
        <v>19787114</v>
      </c>
      <c r="C107" s="1">
        <v>42491</v>
      </c>
      <c r="D107" s="2">
        <v>466957</v>
      </c>
      <c r="E107" s="1">
        <v>42525</v>
      </c>
    </row>
    <row r="108" spans="1:5" x14ac:dyDescent="0.25">
      <c r="A108">
        <v>8170803</v>
      </c>
      <c r="B108">
        <v>25962079</v>
      </c>
      <c r="C108" s="1">
        <v>42491</v>
      </c>
      <c r="D108" s="2">
        <v>238395</v>
      </c>
      <c r="E108" s="1">
        <v>42526</v>
      </c>
    </row>
    <row r="109" spans="1:5" x14ac:dyDescent="0.25">
      <c r="A109">
        <v>8290528</v>
      </c>
      <c r="B109">
        <v>24951190</v>
      </c>
      <c r="C109" s="1">
        <v>42491</v>
      </c>
      <c r="D109" s="2">
        <v>54039</v>
      </c>
      <c r="E109" s="1">
        <v>42527</v>
      </c>
    </row>
    <row r="110" spans="1:5" x14ac:dyDescent="0.25">
      <c r="A110">
        <v>8294484</v>
      </c>
      <c r="B110">
        <v>26897548</v>
      </c>
      <c r="C110" s="1">
        <v>42491</v>
      </c>
      <c r="D110" s="2">
        <v>819557</v>
      </c>
      <c r="E110" s="1">
        <v>42528</v>
      </c>
    </row>
    <row r="111" spans="1:5" x14ac:dyDescent="0.25">
      <c r="A111">
        <v>8376794</v>
      </c>
      <c r="B111">
        <v>23391044</v>
      </c>
      <c r="C111" s="1">
        <v>42491</v>
      </c>
      <c r="D111" s="2">
        <v>141982</v>
      </c>
      <c r="E111" s="1">
        <v>42529</v>
      </c>
    </row>
    <row r="112" spans="1:5" x14ac:dyDescent="0.25">
      <c r="A112">
        <v>8490689</v>
      </c>
      <c r="B112">
        <v>27154092</v>
      </c>
      <c r="C112" s="1">
        <v>42491</v>
      </c>
      <c r="D112" s="2">
        <v>238313</v>
      </c>
      <c r="E112" s="1">
        <v>42530</v>
      </c>
    </row>
    <row r="113" spans="1:5" x14ac:dyDescent="0.25">
      <c r="A113">
        <v>8492088</v>
      </c>
      <c r="B113">
        <v>26249534</v>
      </c>
      <c r="C113" s="1">
        <v>42491</v>
      </c>
      <c r="D113" s="2">
        <v>1007516</v>
      </c>
      <c r="E113" s="1">
        <v>42531</v>
      </c>
    </row>
    <row r="114" spans="1:5" x14ac:dyDescent="0.25">
      <c r="A114">
        <v>8524784</v>
      </c>
      <c r="B114">
        <v>27962052</v>
      </c>
      <c r="C114" s="1">
        <v>42491</v>
      </c>
      <c r="D114" s="2">
        <v>56401</v>
      </c>
      <c r="E114" s="1">
        <v>42522</v>
      </c>
    </row>
    <row r="115" spans="1:5" x14ac:dyDescent="0.25">
      <c r="A115">
        <v>8553743</v>
      </c>
      <c r="B115">
        <v>20545144</v>
      </c>
      <c r="C115" s="1">
        <v>42491</v>
      </c>
      <c r="D115" s="2">
        <v>333799</v>
      </c>
      <c r="E115" s="1">
        <v>42523</v>
      </c>
    </row>
    <row r="116" spans="1:5" x14ac:dyDescent="0.25">
      <c r="A116">
        <v>8090376</v>
      </c>
      <c r="B116">
        <v>28116836</v>
      </c>
      <c r="C116" s="1">
        <v>42491</v>
      </c>
      <c r="D116" s="2">
        <v>489522</v>
      </c>
      <c r="E116" s="1">
        <v>42524</v>
      </c>
    </row>
    <row r="117" spans="1:5" x14ac:dyDescent="0.25">
      <c r="A117">
        <v>8167480</v>
      </c>
      <c r="B117">
        <v>24965165</v>
      </c>
      <c r="C117" s="1">
        <v>42491</v>
      </c>
      <c r="D117" s="2">
        <v>2019650</v>
      </c>
      <c r="E117" s="1">
        <v>42525</v>
      </c>
    </row>
    <row r="118" spans="1:5" x14ac:dyDescent="0.25">
      <c r="A118">
        <v>8169074</v>
      </c>
      <c r="B118">
        <v>25017414</v>
      </c>
      <c r="C118" s="1">
        <v>42491</v>
      </c>
      <c r="D118" s="2">
        <v>294586</v>
      </c>
      <c r="E118" s="1">
        <v>42526</v>
      </c>
    </row>
    <row r="119" spans="1:5" x14ac:dyDescent="0.25">
      <c r="A119">
        <v>8177174</v>
      </c>
      <c r="B119">
        <v>17210228</v>
      </c>
      <c r="C119" s="1">
        <v>42491</v>
      </c>
      <c r="D119" s="2">
        <v>372978</v>
      </c>
      <c r="E119" s="1">
        <v>42527</v>
      </c>
    </row>
    <row r="120" spans="1:5" x14ac:dyDescent="0.25">
      <c r="A120">
        <v>8366773</v>
      </c>
      <c r="B120">
        <v>24385342</v>
      </c>
      <c r="C120" s="1">
        <v>42491</v>
      </c>
      <c r="D120" s="2">
        <v>272011</v>
      </c>
      <c r="E120" s="1">
        <v>42528</v>
      </c>
    </row>
    <row r="121" spans="1:5" x14ac:dyDescent="0.25">
      <c r="A121">
        <v>8373803</v>
      </c>
      <c r="B121">
        <v>24836538</v>
      </c>
      <c r="C121" s="1">
        <v>42491</v>
      </c>
      <c r="D121" s="2">
        <v>544076</v>
      </c>
      <c r="E121" s="1">
        <v>42529</v>
      </c>
    </row>
    <row r="122" spans="1:5" x14ac:dyDescent="0.25">
      <c r="A122">
        <v>8466023</v>
      </c>
      <c r="B122">
        <v>23657184</v>
      </c>
      <c r="C122" s="1">
        <v>42491</v>
      </c>
      <c r="D122" s="2">
        <v>1070755</v>
      </c>
      <c r="E122" s="1">
        <v>42530</v>
      </c>
    </row>
    <row r="123" spans="1:5" x14ac:dyDescent="0.25">
      <c r="A123">
        <v>8519329</v>
      </c>
      <c r="B123">
        <v>27448637</v>
      </c>
      <c r="C123" s="1">
        <v>42491</v>
      </c>
      <c r="D123" s="2">
        <v>479836</v>
      </c>
      <c r="E123" s="1">
        <v>42531</v>
      </c>
    </row>
    <row r="124" spans="1:5" x14ac:dyDescent="0.25">
      <c r="A124">
        <v>8523040</v>
      </c>
      <c r="B124">
        <v>26197937</v>
      </c>
      <c r="C124" s="1">
        <v>42491</v>
      </c>
      <c r="D124" s="2">
        <v>284251</v>
      </c>
      <c r="E124" s="1">
        <v>42522</v>
      </c>
    </row>
    <row r="125" spans="1:5" x14ac:dyDescent="0.25">
      <c r="A125">
        <v>8552331</v>
      </c>
      <c r="B125">
        <v>23983643</v>
      </c>
      <c r="C125" s="1">
        <v>42491</v>
      </c>
      <c r="D125" s="2">
        <v>421704</v>
      </c>
      <c r="E125" s="1">
        <v>42523</v>
      </c>
    </row>
    <row r="126" spans="1:5" x14ac:dyDescent="0.25">
      <c r="A126">
        <v>8291961</v>
      </c>
      <c r="B126">
        <v>22494166</v>
      </c>
      <c r="C126" s="1">
        <v>42495</v>
      </c>
      <c r="D126" s="2">
        <v>793735</v>
      </c>
      <c r="E126" s="1">
        <v>42524</v>
      </c>
    </row>
    <row r="127" spans="1:5" x14ac:dyDescent="0.25">
      <c r="A127">
        <v>8383527</v>
      </c>
      <c r="B127">
        <v>25219269</v>
      </c>
      <c r="C127" s="1">
        <v>42495</v>
      </c>
      <c r="D127" s="2">
        <v>2905361</v>
      </c>
      <c r="E127" s="1">
        <v>42525</v>
      </c>
    </row>
    <row r="128" spans="1:5" x14ac:dyDescent="0.25">
      <c r="A128">
        <v>8165887</v>
      </c>
      <c r="B128">
        <v>26704806</v>
      </c>
      <c r="C128" s="1">
        <v>42501</v>
      </c>
      <c r="D128" s="2">
        <v>1070371</v>
      </c>
      <c r="E128" s="1">
        <v>42526</v>
      </c>
    </row>
    <row r="129" spans="1:5" x14ac:dyDescent="0.25">
      <c r="A129">
        <v>8165887</v>
      </c>
      <c r="B129">
        <v>11364019</v>
      </c>
      <c r="C129" s="1">
        <v>42501</v>
      </c>
      <c r="D129" s="2">
        <v>798098</v>
      </c>
      <c r="E129" s="1">
        <v>42527</v>
      </c>
    </row>
    <row r="130" spans="1:5" x14ac:dyDescent="0.25">
      <c r="A130">
        <v>8491858</v>
      </c>
      <c r="B130">
        <v>25879366</v>
      </c>
      <c r="C130" s="1">
        <v>42501</v>
      </c>
      <c r="D130" s="2">
        <v>316935</v>
      </c>
      <c r="E130" s="1">
        <v>42528</v>
      </c>
    </row>
    <row r="131" spans="1:5" x14ac:dyDescent="0.25">
      <c r="A131">
        <v>8364034</v>
      </c>
      <c r="B131">
        <v>2328145</v>
      </c>
      <c r="C131" s="1">
        <v>42502</v>
      </c>
      <c r="D131" s="2">
        <v>20809</v>
      </c>
      <c r="E131" s="1">
        <v>42529</v>
      </c>
    </row>
    <row r="132" spans="1:5" x14ac:dyDescent="0.25">
      <c r="A132">
        <v>8364034</v>
      </c>
      <c r="B132">
        <v>26406536</v>
      </c>
      <c r="C132" s="1">
        <v>42502</v>
      </c>
      <c r="D132" s="2">
        <v>1147243</v>
      </c>
      <c r="E132" s="1">
        <v>42530</v>
      </c>
    </row>
    <row r="133" spans="1:5" x14ac:dyDescent="0.25">
      <c r="A133">
        <v>8550135</v>
      </c>
      <c r="B133">
        <v>26223205</v>
      </c>
      <c r="C133" s="1">
        <v>42503</v>
      </c>
      <c r="D133" s="2">
        <v>280002</v>
      </c>
      <c r="E133" s="1">
        <v>42531</v>
      </c>
    </row>
    <row r="134" spans="1:5" x14ac:dyDescent="0.25">
      <c r="A134">
        <v>8550135</v>
      </c>
      <c r="B134">
        <v>26235241</v>
      </c>
      <c r="C134" s="1">
        <v>42503</v>
      </c>
      <c r="D134" s="2">
        <v>221778</v>
      </c>
      <c r="E134" s="1">
        <v>42522</v>
      </c>
    </row>
    <row r="135" spans="1:5" x14ac:dyDescent="0.25">
      <c r="A135">
        <v>8491599</v>
      </c>
      <c r="B135">
        <v>17748506</v>
      </c>
      <c r="C135" s="1">
        <v>42504</v>
      </c>
      <c r="D135" s="2">
        <v>89510</v>
      </c>
      <c r="E135" s="1">
        <v>42523</v>
      </c>
    </row>
    <row r="136" spans="1:5" x14ac:dyDescent="0.25">
      <c r="A136">
        <v>8260684</v>
      </c>
      <c r="B136">
        <v>26368969</v>
      </c>
      <c r="C136" s="1">
        <v>42504</v>
      </c>
      <c r="D136" s="2">
        <v>329623</v>
      </c>
      <c r="E136" s="1">
        <v>42524</v>
      </c>
    </row>
    <row r="137" spans="1:5" x14ac:dyDescent="0.25">
      <c r="A137">
        <v>8491599</v>
      </c>
      <c r="B137">
        <v>27386020</v>
      </c>
      <c r="C137" s="1">
        <v>42504</v>
      </c>
      <c r="D137" s="2">
        <v>24080</v>
      </c>
      <c r="E137" s="1">
        <v>42525</v>
      </c>
    </row>
    <row r="138" spans="1:5" x14ac:dyDescent="0.25">
      <c r="A138">
        <v>8260684</v>
      </c>
      <c r="B138">
        <v>25807487</v>
      </c>
      <c r="C138" s="1">
        <v>42504</v>
      </c>
      <c r="D138" s="2">
        <v>620809</v>
      </c>
      <c r="E138" s="1">
        <v>42526</v>
      </c>
    </row>
    <row r="139" spans="1:5" x14ac:dyDescent="0.25">
      <c r="A139">
        <v>8372113</v>
      </c>
      <c r="B139">
        <v>23287162</v>
      </c>
      <c r="C139" s="1">
        <v>42504</v>
      </c>
      <c r="D139" s="2">
        <v>298727</v>
      </c>
      <c r="E139" s="1">
        <v>42527</v>
      </c>
    </row>
    <row r="140" spans="1:5" x14ac:dyDescent="0.25">
      <c r="A140">
        <v>8122952</v>
      </c>
      <c r="B140">
        <v>26844999</v>
      </c>
      <c r="C140" s="1">
        <v>42507</v>
      </c>
      <c r="D140" s="2">
        <v>304667</v>
      </c>
      <c r="E140" s="1">
        <v>42528</v>
      </c>
    </row>
    <row r="141" spans="1:5" x14ac:dyDescent="0.25">
      <c r="A141">
        <v>8294415</v>
      </c>
      <c r="B141">
        <v>28151320</v>
      </c>
      <c r="C141" s="1">
        <v>42507</v>
      </c>
      <c r="D141" s="2">
        <v>3617</v>
      </c>
      <c r="E141" s="1">
        <v>42529</v>
      </c>
    </row>
    <row r="142" spans="1:5" x14ac:dyDescent="0.25">
      <c r="A142">
        <v>8122952</v>
      </c>
      <c r="B142">
        <v>27342408</v>
      </c>
      <c r="C142" s="1">
        <v>42507</v>
      </c>
      <c r="D142" s="2">
        <v>483786</v>
      </c>
      <c r="E142" s="1">
        <v>42530</v>
      </c>
    </row>
    <row r="143" spans="1:5" x14ac:dyDescent="0.25">
      <c r="A143">
        <v>8294415</v>
      </c>
      <c r="B143">
        <v>28151154</v>
      </c>
      <c r="C143" s="1">
        <v>42507</v>
      </c>
      <c r="D143" s="2">
        <v>18084</v>
      </c>
      <c r="E143" s="1">
        <v>42531</v>
      </c>
    </row>
    <row r="144" spans="1:5" x14ac:dyDescent="0.25">
      <c r="A144">
        <v>8488607</v>
      </c>
      <c r="B144">
        <v>25367323</v>
      </c>
      <c r="C144" s="1">
        <v>42507</v>
      </c>
      <c r="D144" s="2">
        <v>156705</v>
      </c>
      <c r="E144" s="1">
        <v>42522</v>
      </c>
    </row>
    <row r="145" spans="1:5" x14ac:dyDescent="0.25">
      <c r="A145">
        <v>8088495</v>
      </c>
      <c r="B145">
        <v>21175250</v>
      </c>
      <c r="C145" s="1">
        <v>42508</v>
      </c>
      <c r="D145" s="2">
        <v>6144033</v>
      </c>
      <c r="E145" s="1">
        <v>42523</v>
      </c>
    </row>
    <row r="146" spans="1:5" x14ac:dyDescent="0.25">
      <c r="A146">
        <v>8121437</v>
      </c>
      <c r="B146">
        <v>21978793</v>
      </c>
      <c r="C146" s="1">
        <v>42508</v>
      </c>
      <c r="D146" s="2">
        <v>1304995</v>
      </c>
      <c r="E146" s="1">
        <v>42524</v>
      </c>
    </row>
    <row r="147" spans="1:5" x14ac:dyDescent="0.25">
      <c r="A147">
        <v>8153540</v>
      </c>
      <c r="B147">
        <v>25028738</v>
      </c>
      <c r="C147" s="1">
        <v>42508</v>
      </c>
      <c r="D147" s="2">
        <v>545213</v>
      </c>
      <c r="E147" s="1">
        <v>42525</v>
      </c>
    </row>
    <row r="148" spans="1:5" x14ac:dyDescent="0.25">
      <c r="A148">
        <v>8165150</v>
      </c>
      <c r="B148">
        <v>25261181</v>
      </c>
      <c r="C148" s="1">
        <v>42508</v>
      </c>
      <c r="D148" s="2">
        <v>1076164</v>
      </c>
      <c r="E148" s="1">
        <v>42526</v>
      </c>
    </row>
    <row r="149" spans="1:5" x14ac:dyDescent="0.25">
      <c r="A149">
        <v>8170777</v>
      </c>
      <c r="B149">
        <v>26247384</v>
      </c>
      <c r="C149" s="1">
        <v>42508</v>
      </c>
      <c r="D149" s="2">
        <v>3429567</v>
      </c>
      <c r="E149" s="1">
        <v>42527</v>
      </c>
    </row>
    <row r="150" spans="1:5" x14ac:dyDescent="0.25">
      <c r="A150">
        <v>8172906</v>
      </c>
      <c r="B150">
        <v>25709096</v>
      </c>
      <c r="C150" s="1">
        <v>42508</v>
      </c>
      <c r="D150" s="2">
        <v>14203</v>
      </c>
      <c r="E150" s="1">
        <v>42528</v>
      </c>
    </row>
    <row r="151" spans="1:5" x14ac:dyDescent="0.25">
      <c r="A151">
        <v>8185898</v>
      </c>
      <c r="B151">
        <v>26379550</v>
      </c>
      <c r="C151" s="1">
        <v>42508</v>
      </c>
      <c r="D151" s="2">
        <v>1193925</v>
      </c>
      <c r="E151" s="1">
        <v>42529</v>
      </c>
    </row>
    <row r="152" spans="1:5" x14ac:dyDescent="0.25">
      <c r="A152">
        <v>8263349</v>
      </c>
      <c r="B152">
        <v>21676178</v>
      </c>
      <c r="C152" s="1">
        <v>42508</v>
      </c>
      <c r="D152" s="2">
        <v>2237914</v>
      </c>
      <c r="E152" s="1">
        <v>42530</v>
      </c>
    </row>
    <row r="153" spans="1:5" x14ac:dyDescent="0.25">
      <c r="A153">
        <v>8293714</v>
      </c>
      <c r="B153">
        <v>21486272</v>
      </c>
      <c r="C153" s="1">
        <v>42508</v>
      </c>
      <c r="D153" s="2">
        <v>1633225</v>
      </c>
      <c r="E153" s="1">
        <v>42531</v>
      </c>
    </row>
    <row r="154" spans="1:5" x14ac:dyDescent="0.25">
      <c r="A154">
        <v>8367150</v>
      </c>
      <c r="B154">
        <v>18628373</v>
      </c>
      <c r="C154" s="1">
        <v>42508</v>
      </c>
      <c r="D154" s="2">
        <v>970578</v>
      </c>
      <c r="E154" s="1">
        <v>42522</v>
      </c>
    </row>
    <row r="155" spans="1:5" x14ac:dyDescent="0.25">
      <c r="A155">
        <v>8377851</v>
      </c>
      <c r="B155">
        <v>23919595</v>
      </c>
      <c r="C155" s="1">
        <v>42508</v>
      </c>
      <c r="D155" s="2">
        <v>428572</v>
      </c>
      <c r="E155" s="1">
        <v>42523</v>
      </c>
    </row>
    <row r="156" spans="1:5" x14ac:dyDescent="0.25">
      <c r="A156">
        <v>8488114</v>
      </c>
      <c r="B156">
        <v>25928078</v>
      </c>
      <c r="C156" s="1">
        <v>42508</v>
      </c>
      <c r="D156" s="2">
        <v>80440</v>
      </c>
      <c r="E156" s="1">
        <v>42524</v>
      </c>
    </row>
    <row r="157" spans="1:5" x14ac:dyDescent="0.25">
      <c r="A157">
        <v>8520480</v>
      </c>
      <c r="B157">
        <v>24357359</v>
      </c>
      <c r="C157" s="1">
        <v>42508</v>
      </c>
      <c r="D157" s="2">
        <v>1039588</v>
      </c>
      <c r="E157" s="1">
        <v>42525</v>
      </c>
    </row>
    <row r="158" spans="1:5" x14ac:dyDescent="0.25">
      <c r="A158">
        <v>8550436</v>
      </c>
      <c r="B158">
        <v>25270150</v>
      </c>
      <c r="C158" s="1">
        <v>42508</v>
      </c>
      <c r="D158" s="2">
        <v>4428311</v>
      </c>
      <c r="E158" s="1">
        <v>42526</v>
      </c>
    </row>
    <row r="159" spans="1:5" x14ac:dyDescent="0.25">
      <c r="A159">
        <v>8558638</v>
      </c>
      <c r="B159">
        <v>25961154</v>
      </c>
      <c r="C159" s="1">
        <v>42508</v>
      </c>
      <c r="D159" s="2">
        <v>360719</v>
      </c>
      <c r="E159" s="1">
        <v>42527</v>
      </c>
    </row>
    <row r="160" spans="1:5" x14ac:dyDescent="0.25">
      <c r="A160">
        <v>8088495</v>
      </c>
      <c r="B160">
        <v>25700352</v>
      </c>
      <c r="C160" s="1">
        <v>42508</v>
      </c>
      <c r="D160" s="2">
        <v>1901822</v>
      </c>
      <c r="E160" s="1">
        <v>42528</v>
      </c>
    </row>
    <row r="161" spans="1:5" x14ac:dyDescent="0.25">
      <c r="A161">
        <v>8089801</v>
      </c>
      <c r="B161">
        <v>26967590</v>
      </c>
      <c r="C161" s="1">
        <v>42508</v>
      </c>
      <c r="D161" s="2">
        <v>127460</v>
      </c>
      <c r="E161" s="1">
        <v>42529</v>
      </c>
    </row>
    <row r="162" spans="1:5" x14ac:dyDescent="0.25">
      <c r="A162">
        <v>8091720</v>
      </c>
      <c r="B162">
        <v>25711791</v>
      </c>
      <c r="C162" s="1">
        <v>42508</v>
      </c>
      <c r="D162" s="2">
        <v>613473</v>
      </c>
      <c r="E162" s="1">
        <v>42530</v>
      </c>
    </row>
    <row r="163" spans="1:5" x14ac:dyDescent="0.25">
      <c r="A163">
        <v>8122348</v>
      </c>
      <c r="B163">
        <v>27354461</v>
      </c>
      <c r="C163" s="1">
        <v>42508</v>
      </c>
      <c r="D163" s="2">
        <v>9402</v>
      </c>
      <c r="E163" s="1">
        <v>42531</v>
      </c>
    </row>
    <row r="164" spans="1:5" x14ac:dyDescent="0.25">
      <c r="A164">
        <v>8142913</v>
      </c>
      <c r="B164">
        <v>15150108</v>
      </c>
      <c r="C164" s="1">
        <v>42508</v>
      </c>
      <c r="D164" s="2">
        <v>70955</v>
      </c>
      <c r="E164" s="1">
        <v>42522</v>
      </c>
    </row>
    <row r="165" spans="1:5" x14ac:dyDescent="0.25">
      <c r="A165">
        <v>8148376</v>
      </c>
      <c r="B165">
        <v>16869327</v>
      </c>
      <c r="C165" s="1">
        <v>42508</v>
      </c>
      <c r="D165" s="2">
        <v>246926</v>
      </c>
      <c r="E165" s="1">
        <v>42523</v>
      </c>
    </row>
    <row r="166" spans="1:5" x14ac:dyDescent="0.25">
      <c r="A166">
        <v>8153540</v>
      </c>
      <c r="B166">
        <v>26813496</v>
      </c>
      <c r="C166" s="1">
        <v>42508</v>
      </c>
      <c r="D166" s="2">
        <v>66884</v>
      </c>
      <c r="E166" s="1">
        <v>42524</v>
      </c>
    </row>
    <row r="167" spans="1:5" x14ac:dyDescent="0.25">
      <c r="A167">
        <v>8159820</v>
      </c>
      <c r="B167">
        <v>22291304</v>
      </c>
      <c r="C167" s="1">
        <v>42508</v>
      </c>
      <c r="D167" s="2">
        <v>207131</v>
      </c>
      <c r="E167" s="1">
        <v>42525</v>
      </c>
    </row>
    <row r="168" spans="1:5" x14ac:dyDescent="0.25">
      <c r="A168">
        <v>8163225</v>
      </c>
      <c r="B168">
        <v>14785233</v>
      </c>
      <c r="C168" s="1">
        <v>42508</v>
      </c>
      <c r="D168" s="2">
        <v>140966</v>
      </c>
      <c r="E168" s="1">
        <v>42526</v>
      </c>
    </row>
    <row r="169" spans="1:5" x14ac:dyDescent="0.25">
      <c r="A169">
        <v>8165415</v>
      </c>
      <c r="B169">
        <v>21264525</v>
      </c>
      <c r="C169" s="1">
        <v>42508</v>
      </c>
      <c r="D169" s="2">
        <v>48291</v>
      </c>
      <c r="E169" s="1">
        <v>42527</v>
      </c>
    </row>
    <row r="170" spans="1:5" x14ac:dyDescent="0.25">
      <c r="A170">
        <v>8166876</v>
      </c>
      <c r="B170">
        <v>25427986</v>
      </c>
      <c r="C170" s="1">
        <v>42508</v>
      </c>
      <c r="D170" s="2">
        <v>24731</v>
      </c>
      <c r="E170" s="1">
        <v>42528</v>
      </c>
    </row>
    <row r="171" spans="1:5" x14ac:dyDescent="0.25">
      <c r="A171">
        <v>8169123</v>
      </c>
      <c r="B171">
        <v>23737110</v>
      </c>
      <c r="C171" s="1">
        <v>42508</v>
      </c>
      <c r="D171" s="2">
        <v>138600</v>
      </c>
      <c r="E171" s="1">
        <v>42529</v>
      </c>
    </row>
    <row r="172" spans="1:5" x14ac:dyDescent="0.25">
      <c r="A172">
        <v>8170777</v>
      </c>
      <c r="B172">
        <v>27130922</v>
      </c>
      <c r="C172" s="1">
        <v>42508</v>
      </c>
      <c r="D172" s="2">
        <v>382266</v>
      </c>
      <c r="E172" s="1">
        <v>42530</v>
      </c>
    </row>
    <row r="173" spans="1:5" x14ac:dyDescent="0.25">
      <c r="A173">
        <v>8171975</v>
      </c>
      <c r="B173">
        <v>16563072</v>
      </c>
      <c r="C173" s="1">
        <v>42508</v>
      </c>
      <c r="D173" s="2">
        <v>112485</v>
      </c>
      <c r="E173" s="1">
        <v>42531</v>
      </c>
    </row>
    <row r="174" spans="1:5" x14ac:dyDescent="0.25">
      <c r="A174">
        <v>8172834</v>
      </c>
      <c r="B174">
        <v>21754177</v>
      </c>
      <c r="C174" s="1">
        <v>42508</v>
      </c>
      <c r="D174" s="2">
        <v>49391</v>
      </c>
      <c r="E174" s="1">
        <v>42522</v>
      </c>
    </row>
    <row r="175" spans="1:5" x14ac:dyDescent="0.25">
      <c r="A175">
        <v>8173552</v>
      </c>
      <c r="B175">
        <v>15784792</v>
      </c>
      <c r="C175" s="1">
        <v>42508</v>
      </c>
      <c r="D175" s="2">
        <v>364265</v>
      </c>
      <c r="E175" s="1">
        <v>42523</v>
      </c>
    </row>
    <row r="176" spans="1:5" x14ac:dyDescent="0.25">
      <c r="A176">
        <v>8174057</v>
      </c>
      <c r="B176">
        <v>25232710</v>
      </c>
      <c r="C176" s="1">
        <v>42508</v>
      </c>
      <c r="D176" s="2">
        <v>967789</v>
      </c>
      <c r="E176" s="1">
        <v>42524</v>
      </c>
    </row>
    <row r="177" spans="1:5" x14ac:dyDescent="0.25">
      <c r="A177">
        <v>8175117</v>
      </c>
      <c r="B177">
        <v>21924524</v>
      </c>
      <c r="C177" s="1">
        <v>42508</v>
      </c>
      <c r="D177" s="2">
        <v>54806</v>
      </c>
      <c r="E177" s="1">
        <v>42525</v>
      </c>
    </row>
    <row r="178" spans="1:5" x14ac:dyDescent="0.25">
      <c r="A178">
        <v>8187553</v>
      </c>
      <c r="B178">
        <v>27233220</v>
      </c>
      <c r="C178" s="1">
        <v>42508</v>
      </c>
      <c r="D178" s="2">
        <v>355586</v>
      </c>
      <c r="E178" s="1">
        <v>42526</v>
      </c>
    </row>
    <row r="179" spans="1:5" x14ac:dyDescent="0.25">
      <c r="A179">
        <v>8259919</v>
      </c>
      <c r="B179">
        <v>22073982</v>
      </c>
      <c r="C179" s="1">
        <v>42508</v>
      </c>
      <c r="D179" s="2">
        <v>114608</v>
      </c>
      <c r="E179" s="1">
        <v>42527</v>
      </c>
    </row>
    <row r="180" spans="1:5" x14ac:dyDescent="0.25">
      <c r="A180">
        <v>8261433</v>
      </c>
      <c r="B180">
        <v>25964110</v>
      </c>
      <c r="C180" s="1">
        <v>42508</v>
      </c>
      <c r="D180" s="2">
        <v>191868</v>
      </c>
      <c r="E180" s="1">
        <v>42528</v>
      </c>
    </row>
    <row r="181" spans="1:5" x14ac:dyDescent="0.25">
      <c r="A181">
        <v>8263349</v>
      </c>
      <c r="B181">
        <v>21676329</v>
      </c>
      <c r="C181" s="1">
        <v>42508</v>
      </c>
      <c r="D181" s="2">
        <v>292475</v>
      </c>
      <c r="E181" s="1">
        <v>42529</v>
      </c>
    </row>
    <row r="182" spans="1:5" x14ac:dyDescent="0.25">
      <c r="A182">
        <v>8290902</v>
      </c>
      <c r="B182">
        <v>23811559</v>
      </c>
      <c r="C182" s="1">
        <v>42508</v>
      </c>
      <c r="D182" s="2">
        <v>219626</v>
      </c>
      <c r="E182" s="1">
        <v>42530</v>
      </c>
    </row>
    <row r="183" spans="1:5" x14ac:dyDescent="0.25">
      <c r="A183">
        <v>8292285</v>
      </c>
      <c r="B183">
        <v>21276240</v>
      </c>
      <c r="C183" s="1">
        <v>42508</v>
      </c>
      <c r="D183" s="2">
        <v>17676</v>
      </c>
      <c r="E183" s="1">
        <v>42531</v>
      </c>
    </row>
    <row r="184" spans="1:5" x14ac:dyDescent="0.25">
      <c r="A184">
        <v>8293781</v>
      </c>
      <c r="B184">
        <v>25151473</v>
      </c>
      <c r="C184" s="1">
        <v>42508</v>
      </c>
      <c r="D184" s="2">
        <v>158414</v>
      </c>
      <c r="E184" s="1">
        <v>42522</v>
      </c>
    </row>
    <row r="185" spans="1:5" x14ac:dyDescent="0.25">
      <c r="A185">
        <v>8294211</v>
      </c>
      <c r="B185">
        <v>20248889</v>
      </c>
      <c r="C185" s="1">
        <v>42508</v>
      </c>
      <c r="D185" s="2">
        <v>9950</v>
      </c>
      <c r="E185" s="1">
        <v>42523</v>
      </c>
    </row>
    <row r="186" spans="1:5" x14ac:dyDescent="0.25">
      <c r="A186">
        <v>8357219</v>
      </c>
      <c r="B186">
        <v>27253545</v>
      </c>
      <c r="C186" s="1">
        <v>42508</v>
      </c>
      <c r="D186" s="2">
        <v>471598</v>
      </c>
      <c r="E186" s="1">
        <v>42524</v>
      </c>
    </row>
    <row r="187" spans="1:5" x14ac:dyDescent="0.25">
      <c r="A187">
        <v>8368917</v>
      </c>
      <c r="B187">
        <v>15643416</v>
      </c>
      <c r="C187" s="1">
        <v>42508</v>
      </c>
      <c r="D187" s="2">
        <v>265924</v>
      </c>
      <c r="E187" s="1">
        <v>42525</v>
      </c>
    </row>
    <row r="188" spans="1:5" x14ac:dyDescent="0.25">
      <c r="A188">
        <v>8372819</v>
      </c>
      <c r="B188">
        <v>23753030</v>
      </c>
      <c r="C188" s="1">
        <v>42508</v>
      </c>
      <c r="D188" s="2">
        <v>5855</v>
      </c>
      <c r="E188" s="1">
        <v>42526</v>
      </c>
    </row>
    <row r="189" spans="1:5" x14ac:dyDescent="0.25">
      <c r="A189">
        <v>8373802</v>
      </c>
      <c r="B189">
        <v>27745139</v>
      </c>
      <c r="C189" s="1">
        <v>42508</v>
      </c>
      <c r="D189" s="2">
        <v>3100</v>
      </c>
      <c r="E189" s="1">
        <v>42527</v>
      </c>
    </row>
    <row r="190" spans="1:5" x14ac:dyDescent="0.25">
      <c r="A190">
        <v>8378283</v>
      </c>
      <c r="B190">
        <v>25804857</v>
      </c>
      <c r="C190" s="1">
        <v>42508</v>
      </c>
      <c r="D190" s="2">
        <v>542153</v>
      </c>
      <c r="E190" s="1">
        <v>42528</v>
      </c>
    </row>
    <row r="191" spans="1:5" x14ac:dyDescent="0.25">
      <c r="A191">
        <v>8380316</v>
      </c>
      <c r="B191">
        <v>26082987</v>
      </c>
      <c r="C191" s="1">
        <v>42508</v>
      </c>
      <c r="D191" s="2">
        <v>365239</v>
      </c>
      <c r="E191" s="1">
        <v>42529</v>
      </c>
    </row>
    <row r="192" spans="1:5" x14ac:dyDescent="0.25">
      <c r="A192">
        <v>8383790</v>
      </c>
      <c r="B192">
        <v>20615340</v>
      </c>
      <c r="C192" s="1">
        <v>42508</v>
      </c>
      <c r="D192" s="2">
        <v>40045</v>
      </c>
      <c r="E192" s="1">
        <v>42530</v>
      </c>
    </row>
    <row r="193" spans="1:5" x14ac:dyDescent="0.25">
      <c r="A193">
        <v>8488607</v>
      </c>
      <c r="B193">
        <v>15630098</v>
      </c>
      <c r="C193" s="1">
        <v>42508</v>
      </c>
      <c r="D193" s="2">
        <v>93817</v>
      </c>
      <c r="E193" s="1">
        <v>42531</v>
      </c>
    </row>
    <row r="194" spans="1:5" x14ac:dyDescent="0.25">
      <c r="A194">
        <v>8489781</v>
      </c>
      <c r="B194">
        <v>21416984</v>
      </c>
      <c r="C194" s="1">
        <v>42508</v>
      </c>
      <c r="D194" s="2">
        <v>33189</v>
      </c>
      <c r="E194" s="1">
        <v>42522</v>
      </c>
    </row>
    <row r="195" spans="1:5" x14ac:dyDescent="0.25">
      <c r="A195">
        <v>8490699</v>
      </c>
      <c r="B195">
        <v>18460872</v>
      </c>
      <c r="C195" s="1">
        <v>42508</v>
      </c>
      <c r="D195" s="2">
        <v>1103</v>
      </c>
      <c r="E195" s="1">
        <v>42523</v>
      </c>
    </row>
    <row r="196" spans="1:5" x14ac:dyDescent="0.25">
      <c r="A196">
        <v>8521961</v>
      </c>
      <c r="B196">
        <v>20568876</v>
      </c>
      <c r="C196" s="1">
        <v>42508</v>
      </c>
      <c r="D196" s="2">
        <v>92894</v>
      </c>
      <c r="E196" s="1">
        <v>42524</v>
      </c>
    </row>
    <row r="197" spans="1:5" x14ac:dyDescent="0.25">
      <c r="A197">
        <v>8524404</v>
      </c>
      <c r="B197">
        <v>19536723</v>
      </c>
      <c r="C197" s="1">
        <v>42508</v>
      </c>
      <c r="D197" s="2">
        <v>35340</v>
      </c>
      <c r="E197" s="1">
        <v>42525</v>
      </c>
    </row>
    <row r="198" spans="1:5" x14ac:dyDescent="0.25">
      <c r="A198">
        <v>8550284</v>
      </c>
      <c r="B198">
        <v>25923127</v>
      </c>
      <c r="C198" s="1">
        <v>42508</v>
      </c>
      <c r="D198" s="2">
        <v>95431</v>
      </c>
      <c r="E198" s="1">
        <v>42526</v>
      </c>
    </row>
    <row r="199" spans="1:5" x14ac:dyDescent="0.25">
      <c r="A199">
        <v>8551680</v>
      </c>
      <c r="B199">
        <v>23582216</v>
      </c>
      <c r="C199" s="1">
        <v>42508</v>
      </c>
      <c r="D199" s="2">
        <v>109335</v>
      </c>
      <c r="E199" s="1">
        <v>42527</v>
      </c>
    </row>
    <row r="200" spans="1:5" x14ac:dyDescent="0.25">
      <c r="A200">
        <v>8555791</v>
      </c>
      <c r="B200">
        <v>25874889</v>
      </c>
      <c r="C200" s="1">
        <v>42508</v>
      </c>
      <c r="D200" s="2">
        <v>145458</v>
      </c>
      <c r="E200" s="1">
        <v>42528</v>
      </c>
    </row>
    <row r="201" spans="1:5" x14ac:dyDescent="0.25">
      <c r="A201">
        <v>8557297</v>
      </c>
      <c r="B201">
        <v>25845100</v>
      </c>
      <c r="C201" s="1">
        <v>42508</v>
      </c>
      <c r="D201" s="2">
        <v>146872</v>
      </c>
      <c r="E201" s="1">
        <v>42529</v>
      </c>
    </row>
    <row r="202" spans="1:5" x14ac:dyDescent="0.25">
      <c r="A202">
        <v>8558638</v>
      </c>
      <c r="B202">
        <v>25963644</v>
      </c>
      <c r="C202" s="1">
        <v>42508</v>
      </c>
      <c r="D202" s="2">
        <v>70064</v>
      </c>
      <c r="E202" s="1">
        <v>42530</v>
      </c>
    </row>
    <row r="203" spans="1:5" x14ac:dyDescent="0.25">
      <c r="A203">
        <v>8090702</v>
      </c>
      <c r="B203">
        <v>26143640</v>
      </c>
      <c r="C203" s="1">
        <v>42508</v>
      </c>
      <c r="D203" s="2">
        <v>65826</v>
      </c>
      <c r="E203" s="1">
        <v>42531</v>
      </c>
    </row>
    <row r="204" spans="1:5" x14ac:dyDescent="0.25">
      <c r="A204">
        <v>8091720</v>
      </c>
      <c r="B204">
        <v>25711212</v>
      </c>
      <c r="C204" s="1">
        <v>42508</v>
      </c>
      <c r="D204" s="2">
        <v>1286278</v>
      </c>
      <c r="E204" s="1">
        <v>42522</v>
      </c>
    </row>
    <row r="205" spans="1:5" x14ac:dyDescent="0.25">
      <c r="A205">
        <v>8121172</v>
      </c>
      <c r="B205">
        <v>15535226</v>
      </c>
      <c r="C205" s="1">
        <v>42508</v>
      </c>
      <c r="D205" s="2">
        <v>1749585</v>
      </c>
      <c r="E205" s="1">
        <v>42523</v>
      </c>
    </row>
    <row r="206" spans="1:5" x14ac:dyDescent="0.25">
      <c r="A206">
        <v>8145532</v>
      </c>
      <c r="B206">
        <v>27443036</v>
      </c>
      <c r="C206" s="1">
        <v>42508</v>
      </c>
      <c r="D206" s="2">
        <v>92233</v>
      </c>
      <c r="E206" s="1">
        <v>42524</v>
      </c>
    </row>
    <row r="207" spans="1:5" x14ac:dyDescent="0.25">
      <c r="A207">
        <v>8148012</v>
      </c>
      <c r="B207">
        <v>26918078</v>
      </c>
      <c r="C207" s="1">
        <v>42508</v>
      </c>
      <c r="D207" s="2">
        <v>288051</v>
      </c>
      <c r="E207" s="1">
        <v>42525</v>
      </c>
    </row>
    <row r="208" spans="1:5" x14ac:dyDescent="0.25">
      <c r="A208">
        <v>8150722</v>
      </c>
      <c r="B208">
        <v>24211866</v>
      </c>
      <c r="C208" s="1">
        <v>42508</v>
      </c>
      <c r="D208" s="2">
        <v>356731</v>
      </c>
      <c r="E208" s="1">
        <v>42526</v>
      </c>
    </row>
    <row r="209" spans="1:5" x14ac:dyDescent="0.25">
      <c r="A209">
        <v>8160262</v>
      </c>
      <c r="B209">
        <v>26180107</v>
      </c>
      <c r="C209" s="1">
        <v>42508</v>
      </c>
      <c r="D209" s="2">
        <v>135668</v>
      </c>
      <c r="E209" s="1">
        <v>42527</v>
      </c>
    </row>
    <row r="210" spans="1:5" x14ac:dyDescent="0.25">
      <c r="A210">
        <v>8163089</v>
      </c>
      <c r="B210">
        <v>23261406</v>
      </c>
      <c r="C210" s="1">
        <v>42508</v>
      </c>
      <c r="D210" s="2">
        <v>173215</v>
      </c>
      <c r="E210" s="1">
        <v>42528</v>
      </c>
    </row>
    <row r="211" spans="1:5" x14ac:dyDescent="0.25">
      <c r="A211">
        <v>8163501</v>
      </c>
      <c r="B211">
        <v>24110082</v>
      </c>
      <c r="C211" s="1">
        <v>42508</v>
      </c>
      <c r="D211" s="2">
        <v>181423</v>
      </c>
      <c r="E211" s="1">
        <v>42529</v>
      </c>
    </row>
    <row r="212" spans="1:5" x14ac:dyDescent="0.25">
      <c r="A212">
        <v>8167005</v>
      </c>
      <c r="B212">
        <v>27609725</v>
      </c>
      <c r="C212" s="1">
        <v>42508</v>
      </c>
      <c r="D212" s="2">
        <v>11709</v>
      </c>
      <c r="E212" s="1">
        <v>42530</v>
      </c>
    </row>
    <row r="213" spans="1:5" x14ac:dyDescent="0.25">
      <c r="A213">
        <v>8169102</v>
      </c>
      <c r="B213">
        <v>25450537</v>
      </c>
      <c r="C213" s="1">
        <v>42508</v>
      </c>
      <c r="D213" s="2">
        <v>103698</v>
      </c>
      <c r="E213" s="1">
        <v>42531</v>
      </c>
    </row>
    <row r="214" spans="1:5" x14ac:dyDescent="0.25">
      <c r="A214">
        <v>8170382</v>
      </c>
      <c r="B214">
        <v>28063744</v>
      </c>
      <c r="C214" s="1">
        <v>42508</v>
      </c>
      <c r="D214" s="2">
        <v>427254</v>
      </c>
      <c r="E214" s="1">
        <v>42522</v>
      </c>
    </row>
    <row r="215" spans="1:5" x14ac:dyDescent="0.25">
      <c r="A215">
        <v>8171975</v>
      </c>
      <c r="B215">
        <v>25481844</v>
      </c>
      <c r="C215" s="1">
        <v>42508</v>
      </c>
      <c r="D215" s="2">
        <v>285747</v>
      </c>
      <c r="E215" s="1">
        <v>42523</v>
      </c>
    </row>
    <row r="216" spans="1:5" x14ac:dyDescent="0.25">
      <c r="A216">
        <v>8172545</v>
      </c>
      <c r="B216">
        <v>26004598</v>
      </c>
      <c r="C216" s="1">
        <v>42508</v>
      </c>
      <c r="D216" s="2">
        <v>970410</v>
      </c>
      <c r="E216" s="1">
        <v>42524</v>
      </c>
    </row>
    <row r="217" spans="1:5" x14ac:dyDescent="0.25">
      <c r="A217">
        <v>8172884</v>
      </c>
      <c r="B217">
        <v>23312798</v>
      </c>
      <c r="C217" s="1">
        <v>42508</v>
      </c>
      <c r="D217" s="2">
        <v>238589</v>
      </c>
      <c r="E217" s="1">
        <v>42525</v>
      </c>
    </row>
    <row r="218" spans="1:5" x14ac:dyDescent="0.25">
      <c r="A218">
        <v>8174059</v>
      </c>
      <c r="B218">
        <v>22099246</v>
      </c>
      <c r="C218" s="1">
        <v>42508</v>
      </c>
      <c r="D218" s="2">
        <v>74041</v>
      </c>
      <c r="E218" s="1">
        <v>42526</v>
      </c>
    </row>
    <row r="219" spans="1:5" x14ac:dyDescent="0.25">
      <c r="A219">
        <v>8175087</v>
      </c>
      <c r="B219">
        <v>26656234</v>
      </c>
      <c r="C219" s="1">
        <v>42508</v>
      </c>
      <c r="D219" s="2">
        <v>2177151</v>
      </c>
      <c r="E219" s="1">
        <v>42527</v>
      </c>
    </row>
    <row r="220" spans="1:5" x14ac:dyDescent="0.25">
      <c r="A220">
        <v>8182453</v>
      </c>
      <c r="B220">
        <v>10408712</v>
      </c>
      <c r="C220" s="1">
        <v>42508</v>
      </c>
      <c r="D220" s="2">
        <v>338481</v>
      </c>
      <c r="E220" s="1">
        <v>42528</v>
      </c>
    </row>
    <row r="221" spans="1:5" x14ac:dyDescent="0.25">
      <c r="A221">
        <v>8260027</v>
      </c>
      <c r="B221">
        <v>24186163</v>
      </c>
      <c r="C221" s="1">
        <v>42508</v>
      </c>
      <c r="D221" s="2">
        <v>111844</v>
      </c>
      <c r="E221" s="1">
        <v>42529</v>
      </c>
    </row>
    <row r="222" spans="1:5" x14ac:dyDescent="0.25">
      <c r="A222">
        <v>8261154</v>
      </c>
      <c r="B222">
        <v>27689534</v>
      </c>
      <c r="C222" s="1">
        <v>42508</v>
      </c>
      <c r="D222" s="2">
        <v>1828818</v>
      </c>
      <c r="E222" s="1">
        <v>42530</v>
      </c>
    </row>
    <row r="223" spans="1:5" x14ac:dyDescent="0.25">
      <c r="A223">
        <v>8263349</v>
      </c>
      <c r="B223">
        <v>21676069</v>
      </c>
      <c r="C223" s="1">
        <v>42508</v>
      </c>
      <c r="D223" s="2">
        <v>913479</v>
      </c>
      <c r="E223" s="1">
        <v>42531</v>
      </c>
    </row>
    <row r="224" spans="1:5" x14ac:dyDescent="0.25">
      <c r="A224">
        <v>8291666</v>
      </c>
      <c r="B224">
        <v>25136314</v>
      </c>
      <c r="C224" s="1">
        <v>42508</v>
      </c>
      <c r="D224" s="2">
        <v>152117</v>
      </c>
      <c r="E224" s="1">
        <v>42522</v>
      </c>
    </row>
    <row r="225" spans="1:5" x14ac:dyDescent="0.25">
      <c r="A225">
        <v>8292243</v>
      </c>
      <c r="B225">
        <v>25479795</v>
      </c>
      <c r="C225" s="1">
        <v>42508</v>
      </c>
      <c r="D225" s="2">
        <v>51918</v>
      </c>
      <c r="E225" s="1">
        <v>42523</v>
      </c>
    </row>
    <row r="226" spans="1:5" x14ac:dyDescent="0.25">
      <c r="A226">
        <v>8293228</v>
      </c>
      <c r="B226">
        <v>25179756</v>
      </c>
      <c r="C226" s="1">
        <v>42508</v>
      </c>
      <c r="D226" s="2">
        <v>39411</v>
      </c>
      <c r="E226" s="1">
        <v>42524</v>
      </c>
    </row>
    <row r="227" spans="1:5" x14ac:dyDescent="0.25">
      <c r="A227">
        <v>8294211</v>
      </c>
      <c r="B227">
        <v>20249908</v>
      </c>
      <c r="C227" s="1">
        <v>42508</v>
      </c>
      <c r="D227" s="2">
        <v>63006</v>
      </c>
      <c r="E227" s="1">
        <v>42525</v>
      </c>
    </row>
    <row r="228" spans="1:5" x14ac:dyDescent="0.25">
      <c r="A228">
        <v>8307776</v>
      </c>
      <c r="B228">
        <v>26204227</v>
      </c>
      <c r="C228" s="1">
        <v>42508</v>
      </c>
      <c r="D228" s="2">
        <v>145567</v>
      </c>
      <c r="E228" s="1">
        <v>42526</v>
      </c>
    </row>
    <row r="229" spans="1:5" x14ac:dyDescent="0.25">
      <c r="A229">
        <v>8365097</v>
      </c>
      <c r="B229">
        <v>3651053</v>
      </c>
      <c r="C229" s="1">
        <v>42508</v>
      </c>
      <c r="D229" s="2">
        <v>170782</v>
      </c>
      <c r="E229" s="1">
        <v>42527</v>
      </c>
    </row>
    <row r="230" spans="1:5" x14ac:dyDescent="0.25">
      <c r="A230">
        <v>8373802</v>
      </c>
      <c r="B230">
        <v>15812251</v>
      </c>
      <c r="C230" s="1">
        <v>42508</v>
      </c>
      <c r="D230" s="2">
        <v>2079277</v>
      </c>
      <c r="E230" s="1">
        <v>42528</v>
      </c>
    </row>
    <row r="231" spans="1:5" x14ac:dyDescent="0.25">
      <c r="A231">
        <v>8373802</v>
      </c>
      <c r="B231">
        <v>27399471</v>
      </c>
      <c r="C231" s="1">
        <v>42508</v>
      </c>
      <c r="D231" s="2">
        <v>43510</v>
      </c>
      <c r="E231" s="1">
        <v>42529</v>
      </c>
    </row>
    <row r="232" spans="1:5" x14ac:dyDescent="0.25">
      <c r="A232">
        <v>8377227</v>
      </c>
      <c r="B232">
        <v>24816925</v>
      </c>
      <c r="C232" s="1">
        <v>42508</v>
      </c>
      <c r="D232" s="2">
        <v>93147</v>
      </c>
      <c r="E232" s="1">
        <v>42530</v>
      </c>
    </row>
    <row r="233" spans="1:5" x14ac:dyDescent="0.25">
      <c r="A233">
        <v>8381515</v>
      </c>
      <c r="B233">
        <v>14729284</v>
      </c>
      <c r="C233" s="1">
        <v>42508</v>
      </c>
      <c r="D233" s="2">
        <v>70819</v>
      </c>
      <c r="E233" s="1">
        <v>42531</v>
      </c>
    </row>
    <row r="234" spans="1:5" x14ac:dyDescent="0.25">
      <c r="A234">
        <v>8381568</v>
      </c>
      <c r="B234">
        <v>16242367</v>
      </c>
      <c r="C234" s="1">
        <v>42508</v>
      </c>
      <c r="D234" s="2">
        <v>965132</v>
      </c>
      <c r="E234" s="1">
        <v>42522</v>
      </c>
    </row>
    <row r="235" spans="1:5" x14ac:dyDescent="0.25">
      <c r="A235">
        <v>8471455</v>
      </c>
      <c r="B235">
        <v>22923812</v>
      </c>
      <c r="C235" s="1">
        <v>42508</v>
      </c>
      <c r="D235" s="2">
        <v>11709</v>
      </c>
      <c r="E235" s="1">
        <v>42523</v>
      </c>
    </row>
    <row r="236" spans="1:5" x14ac:dyDescent="0.25">
      <c r="A236">
        <v>8489892</v>
      </c>
      <c r="B236">
        <v>20521084</v>
      </c>
      <c r="C236" s="1">
        <v>42508</v>
      </c>
      <c r="D236" s="2">
        <v>548033</v>
      </c>
      <c r="E236" s="1">
        <v>42524</v>
      </c>
    </row>
    <row r="237" spans="1:5" x14ac:dyDescent="0.25">
      <c r="A237">
        <v>8490649</v>
      </c>
      <c r="B237">
        <v>21553476</v>
      </c>
      <c r="C237" s="1">
        <v>42508</v>
      </c>
      <c r="D237" s="2">
        <v>28996</v>
      </c>
      <c r="E237" s="1">
        <v>42525</v>
      </c>
    </row>
    <row r="238" spans="1:5" x14ac:dyDescent="0.25">
      <c r="A238">
        <v>8492200</v>
      </c>
      <c r="B238">
        <v>28216922</v>
      </c>
      <c r="C238" s="1">
        <v>42508</v>
      </c>
      <c r="D238" s="2">
        <v>72793</v>
      </c>
      <c r="E238" s="1">
        <v>42526</v>
      </c>
    </row>
    <row r="239" spans="1:5" x14ac:dyDescent="0.25">
      <c r="A239">
        <v>8549511</v>
      </c>
      <c r="B239">
        <v>27542907</v>
      </c>
      <c r="C239" s="1">
        <v>42508</v>
      </c>
      <c r="D239" s="2">
        <v>290924</v>
      </c>
      <c r="E239" s="1">
        <v>42527</v>
      </c>
    </row>
    <row r="240" spans="1:5" x14ac:dyDescent="0.25">
      <c r="A240">
        <v>8550284</v>
      </c>
      <c r="B240">
        <v>21382277</v>
      </c>
      <c r="C240" s="1">
        <v>42508</v>
      </c>
      <c r="D240" s="2">
        <v>94249</v>
      </c>
      <c r="E240" s="1">
        <v>42528</v>
      </c>
    </row>
    <row r="241" spans="1:5" x14ac:dyDescent="0.25">
      <c r="A241">
        <v>8550332</v>
      </c>
      <c r="B241">
        <v>24814717</v>
      </c>
      <c r="C241" s="1">
        <v>42508</v>
      </c>
      <c r="D241" s="2">
        <v>674054</v>
      </c>
      <c r="E241" s="1">
        <v>42529</v>
      </c>
    </row>
    <row r="242" spans="1:5" x14ac:dyDescent="0.25">
      <c r="A242">
        <v>8555825</v>
      </c>
      <c r="B242">
        <v>23416027</v>
      </c>
      <c r="C242" s="1">
        <v>42508</v>
      </c>
      <c r="D242" s="2">
        <v>8041</v>
      </c>
      <c r="E242" s="1">
        <v>42530</v>
      </c>
    </row>
    <row r="243" spans="1:5" x14ac:dyDescent="0.25">
      <c r="A243">
        <v>8557015</v>
      </c>
      <c r="B243">
        <v>27004164</v>
      </c>
      <c r="C243" s="1">
        <v>42508</v>
      </c>
      <c r="D243" s="2">
        <v>904862</v>
      </c>
      <c r="E243" s="1">
        <v>42531</v>
      </c>
    </row>
    <row r="244" spans="1:5" x14ac:dyDescent="0.25">
      <c r="A244">
        <v>8558498</v>
      </c>
      <c r="B244">
        <v>23317795</v>
      </c>
      <c r="C244" s="1">
        <v>42508</v>
      </c>
      <c r="D244" s="2">
        <v>284489</v>
      </c>
      <c r="E244" s="1">
        <v>42522</v>
      </c>
    </row>
    <row r="245" spans="1:5" x14ac:dyDescent="0.25">
      <c r="A245">
        <v>8145532</v>
      </c>
      <c r="B245">
        <v>27445813</v>
      </c>
      <c r="C245" s="1">
        <v>42509</v>
      </c>
      <c r="D245" s="2">
        <v>1626526</v>
      </c>
      <c r="E245" s="1">
        <v>42523</v>
      </c>
    </row>
    <row r="246" spans="1:5" x14ac:dyDescent="0.25">
      <c r="A246">
        <v>8172550</v>
      </c>
      <c r="B246">
        <v>25277134</v>
      </c>
      <c r="C246" s="1">
        <v>42509</v>
      </c>
      <c r="D246" s="2">
        <v>3649333</v>
      </c>
      <c r="E246" s="1">
        <v>42524</v>
      </c>
    </row>
    <row r="247" spans="1:5" x14ac:dyDescent="0.25">
      <c r="A247">
        <v>8357241</v>
      </c>
      <c r="B247">
        <v>22658475</v>
      </c>
      <c r="C247" s="1">
        <v>42509</v>
      </c>
      <c r="D247" s="2">
        <v>987539</v>
      </c>
      <c r="E247" s="1">
        <v>42525</v>
      </c>
    </row>
    <row r="248" spans="1:5" x14ac:dyDescent="0.25">
      <c r="A248">
        <v>8381582</v>
      </c>
      <c r="B248">
        <v>1600919</v>
      </c>
      <c r="C248" s="1">
        <v>42509</v>
      </c>
      <c r="D248" s="2">
        <v>2147931</v>
      </c>
      <c r="E248" s="1">
        <v>42526</v>
      </c>
    </row>
    <row r="249" spans="1:5" x14ac:dyDescent="0.25">
      <c r="A249">
        <v>8489786</v>
      </c>
      <c r="B249">
        <v>26575860</v>
      </c>
      <c r="C249" s="1">
        <v>42509</v>
      </c>
      <c r="D249" s="2">
        <v>4539422</v>
      </c>
      <c r="E249" s="1">
        <v>42527</v>
      </c>
    </row>
    <row r="250" spans="1:5" x14ac:dyDescent="0.25">
      <c r="A250">
        <v>8554529</v>
      </c>
      <c r="B250">
        <v>27523507</v>
      </c>
      <c r="C250" s="1">
        <v>42509</v>
      </c>
      <c r="D250" s="2">
        <v>5255044</v>
      </c>
      <c r="E250" s="1">
        <v>42528</v>
      </c>
    </row>
    <row r="251" spans="1:5" x14ac:dyDescent="0.25">
      <c r="A251">
        <v>8088899</v>
      </c>
      <c r="B251">
        <v>26370037</v>
      </c>
      <c r="C251" s="1">
        <v>42509</v>
      </c>
      <c r="D251" s="2">
        <v>653296</v>
      </c>
      <c r="E251" s="1">
        <v>42529</v>
      </c>
    </row>
    <row r="252" spans="1:5" x14ac:dyDescent="0.25">
      <c r="A252">
        <v>8122348</v>
      </c>
      <c r="B252">
        <v>23138110</v>
      </c>
      <c r="C252" s="1">
        <v>42509</v>
      </c>
      <c r="D252" s="2">
        <v>17602</v>
      </c>
      <c r="E252" s="1">
        <v>42530</v>
      </c>
    </row>
    <row r="253" spans="1:5" x14ac:dyDescent="0.25">
      <c r="A253">
        <v>8146254</v>
      </c>
      <c r="B253">
        <v>25426056</v>
      </c>
      <c r="C253" s="1">
        <v>42509</v>
      </c>
      <c r="D253" s="2">
        <v>20829</v>
      </c>
      <c r="E253" s="1">
        <v>42531</v>
      </c>
    </row>
    <row r="254" spans="1:5" x14ac:dyDescent="0.25">
      <c r="A254">
        <v>8159304</v>
      </c>
      <c r="B254">
        <v>25008009</v>
      </c>
      <c r="C254" s="1">
        <v>42509</v>
      </c>
      <c r="D254" s="2">
        <v>66</v>
      </c>
      <c r="E254" s="1">
        <v>42522</v>
      </c>
    </row>
    <row r="255" spans="1:5" x14ac:dyDescent="0.25">
      <c r="A255">
        <v>8170829</v>
      </c>
      <c r="B255">
        <v>27287702</v>
      </c>
      <c r="C255" s="1">
        <v>42509</v>
      </c>
      <c r="D255" s="2">
        <v>185894</v>
      </c>
      <c r="E255" s="1">
        <v>42523</v>
      </c>
    </row>
    <row r="256" spans="1:5" x14ac:dyDescent="0.25">
      <c r="A256">
        <v>8172884</v>
      </c>
      <c r="B256">
        <v>23313640</v>
      </c>
      <c r="C256" s="1">
        <v>42509</v>
      </c>
      <c r="D256" s="2">
        <v>50715</v>
      </c>
      <c r="E256" s="1">
        <v>42524</v>
      </c>
    </row>
    <row r="257" spans="1:5" x14ac:dyDescent="0.25">
      <c r="A257">
        <v>8261433</v>
      </c>
      <c r="B257">
        <v>23671002</v>
      </c>
      <c r="C257" s="1">
        <v>42509</v>
      </c>
      <c r="D257" s="2">
        <v>51827</v>
      </c>
      <c r="E257" s="1">
        <v>42525</v>
      </c>
    </row>
    <row r="258" spans="1:5" x14ac:dyDescent="0.25">
      <c r="A258">
        <v>8293228</v>
      </c>
      <c r="B258">
        <v>21674961</v>
      </c>
      <c r="C258" s="1">
        <v>42509</v>
      </c>
      <c r="D258" s="2">
        <v>327933</v>
      </c>
      <c r="E258" s="1">
        <v>42526</v>
      </c>
    </row>
    <row r="259" spans="1:5" x14ac:dyDescent="0.25">
      <c r="A259">
        <v>8360977</v>
      </c>
      <c r="B259">
        <v>26011555</v>
      </c>
      <c r="C259" s="1">
        <v>42509</v>
      </c>
      <c r="D259" s="2">
        <v>10995</v>
      </c>
      <c r="E259" s="1">
        <v>42527</v>
      </c>
    </row>
    <row r="260" spans="1:5" x14ac:dyDescent="0.25">
      <c r="A260">
        <v>8372256</v>
      </c>
      <c r="B260">
        <v>24368698</v>
      </c>
      <c r="C260" s="1">
        <v>42509</v>
      </c>
      <c r="D260" s="2">
        <v>16199</v>
      </c>
      <c r="E260" s="1">
        <v>42528</v>
      </c>
    </row>
    <row r="261" spans="1:5" x14ac:dyDescent="0.25">
      <c r="A261">
        <v>8378400</v>
      </c>
      <c r="B261">
        <v>26843927</v>
      </c>
      <c r="C261" s="1">
        <v>42509</v>
      </c>
      <c r="D261" s="2">
        <v>186009</v>
      </c>
      <c r="E261" s="1">
        <v>42529</v>
      </c>
    </row>
    <row r="262" spans="1:5" x14ac:dyDescent="0.25">
      <c r="A262">
        <v>8382938</v>
      </c>
      <c r="B262">
        <v>25819135</v>
      </c>
      <c r="C262" s="1">
        <v>42509</v>
      </c>
      <c r="D262" s="2">
        <v>115899</v>
      </c>
      <c r="E262" s="1">
        <v>42530</v>
      </c>
    </row>
    <row r="263" spans="1:5" x14ac:dyDescent="0.25">
      <c r="A263">
        <v>8486068</v>
      </c>
      <c r="B263">
        <v>25445221</v>
      </c>
      <c r="C263" s="1">
        <v>42509</v>
      </c>
      <c r="D263" s="2">
        <v>300614</v>
      </c>
      <c r="E263" s="1">
        <v>42531</v>
      </c>
    </row>
    <row r="264" spans="1:5" x14ac:dyDescent="0.25">
      <c r="A264">
        <v>8488151</v>
      </c>
      <c r="B264">
        <v>27177262</v>
      </c>
      <c r="C264" s="1">
        <v>42509</v>
      </c>
      <c r="D264" s="2">
        <v>110926</v>
      </c>
      <c r="E264" s="1">
        <v>42522</v>
      </c>
    </row>
    <row r="265" spans="1:5" x14ac:dyDescent="0.25">
      <c r="A265">
        <v>8490527</v>
      </c>
      <c r="B265">
        <v>20854953</v>
      </c>
      <c r="C265" s="1">
        <v>42509</v>
      </c>
      <c r="D265" s="2">
        <v>1095175</v>
      </c>
      <c r="E265" s="1">
        <v>42523</v>
      </c>
    </row>
    <row r="266" spans="1:5" x14ac:dyDescent="0.25">
      <c r="A266">
        <v>8492224</v>
      </c>
      <c r="B266">
        <v>24128447</v>
      </c>
      <c r="C266" s="1">
        <v>42509</v>
      </c>
      <c r="D266" s="2">
        <v>328509</v>
      </c>
      <c r="E266" s="1">
        <v>42524</v>
      </c>
    </row>
    <row r="267" spans="1:5" x14ac:dyDescent="0.25">
      <c r="A267">
        <v>8552611</v>
      </c>
      <c r="B267">
        <v>27290206</v>
      </c>
      <c r="C267" s="1">
        <v>42509</v>
      </c>
      <c r="D267" s="2">
        <v>524680</v>
      </c>
      <c r="E267" s="1">
        <v>42525</v>
      </c>
    </row>
    <row r="268" spans="1:5" x14ac:dyDescent="0.25">
      <c r="A268">
        <v>8556457</v>
      </c>
      <c r="B268">
        <v>27021386</v>
      </c>
      <c r="C268" s="1">
        <v>42509</v>
      </c>
      <c r="D268" s="2">
        <v>78249</v>
      </c>
      <c r="E268" s="1">
        <v>42526</v>
      </c>
    </row>
    <row r="269" spans="1:5" x14ac:dyDescent="0.25">
      <c r="A269">
        <v>8557907</v>
      </c>
      <c r="B269">
        <v>16362152</v>
      </c>
      <c r="C269" s="1">
        <v>42509</v>
      </c>
      <c r="D269" s="2">
        <v>28831</v>
      </c>
      <c r="E269" s="1">
        <v>42527</v>
      </c>
    </row>
    <row r="270" spans="1:5" x14ac:dyDescent="0.25">
      <c r="A270">
        <v>8089696</v>
      </c>
      <c r="B270">
        <v>20146321</v>
      </c>
      <c r="C270" s="1">
        <v>42509</v>
      </c>
      <c r="D270" s="2">
        <v>91643</v>
      </c>
      <c r="E270" s="1">
        <v>42528</v>
      </c>
    </row>
    <row r="271" spans="1:5" x14ac:dyDescent="0.25">
      <c r="A271">
        <v>8120642</v>
      </c>
      <c r="B271">
        <v>27997023</v>
      </c>
      <c r="C271" s="1">
        <v>42509</v>
      </c>
      <c r="D271" s="2">
        <v>268763</v>
      </c>
      <c r="E271" s="1">
        <v>42529</v>
      </c>
    </row>
    <row r="272" spans="1:5" x14ac:dyDescent="0.25">
      <c r="A272">
        <v>8143941</v>
      </c>
      <c r="B272">
        <v>28177048</v>
      </c>
      <c r="C272" s="1">
        <v>42509</v>
      </c>
      <c r="D272" s="2">
        <v>208</v>
      </c>
      <c r="E272" s="1">
        <v>42530</v>
      </c>
    </row>
    <row r="273" spans="1:5" x14ac:dyDescent="0.25">
      <c r="A273">
        <v>8163501</v>
      </c>
      <c r="B273">
        <v>21618226</v>
      </c>
      <c r="C273" s="1">
        <v>42509</v>
      </c>
      <c r="D273" s="2">
        <v>306548</v>
      </c>
      <c r="E273" s="1">
        <v>42531</v>
      </c>
    </row>
    <row r="274" spans="1:5" x14ac:dyDescent="0.25">
      <c r="A274">
        <v>8170439</v>
      </c>
      <c r="B274">
        <v>27843990</v>
      </c>
      <c r="C274" s="1">
        <v>42509</v>
      </c>
      <c r="D274" s="2">
        <v>342226</v>
      </c>
      <c r="E274" s="1">
        <v>42522</v>
      </c>
    </row>
    <row r="275" spans="1:5" x14ac:dyDescent="0.25">
      <c r="A275">
        <v>8171628</v>
      </c>
      <c r="B275">
        <v>25979102</v>
      </c>
      <c r="C275" s="1">
        <v>42509</v>
      </c>
      <c r="D275" s="2">
        <v>121021</v>
      </c>
      <c r="E275" s="1">
        <v>42523</v>
      </c>
    </row>
    <row r="276" spans="1:5" x14ac:dyDescent="0.25">
      <c r="A276">
        <v>8262517</v>
      </c>
      <c r="B276">
        <v>2978036</v>
      </c>
      <c r="C276" s="1">
        <v>42509</v>
      </c>
      <c r="D276" s="2">
        <v>35412</v>
      </c>
      <c r="E276" s="1">
        <v>42524</v>
      </c>
    </row>
    <row r="277" spans="1:5" x14ac:dyDescent="0.25">
      <c r="A277">
        <v>8292896</v>
      </c>
      <c r="B277">
        <v>26273017</v>
      </c>
      <c r="C277" s="1">
        <v>42509</v>
      </c>
      <c r="D277" s="2">
        <v>58441</v>
      </c>
      <c r="E277" s="1">
        <v>42525</v>
      </c>
    </row>
    <row r="278" spans="1:5" x14ac:dyDescent="0.25">
      <c r="A278">
        <v>8351047</v>
      </c>
      <c r="B278">
        <v>24368978</v>
      </c>
      <c r="C278" s="1">
        <v>42509</v>
      </c>
      <c r="D278" s="2">
        <v>119355</v>
      </c>
      <c r="E278" s="1">
        <v>42526</v>
      </c>
    </row>
    <row r="279" spans="1:5" x14ac:dyDescent="0.25">
      <c r="A279">
        <v>8372876</v>
      </c>
      <c r="B279">
        <v>27056383</v>
      </c>
      <c r="C279" s="1">
        <v>42509</v>
      </c>
      <c r="D279" s="2">
        <v>40907</v>
      </c>
      <c r="E279" s="1">
        <v>42527</v>
      </c>
    </row>
    <row r="280" spans="1:5" x14ac:dyDescent="0.25">
      <c r="A280">
        <v>8378400</v>
      </c>
      <c r="B280">
        <v>26843926</v>
      </c>
      <c r="C280" s="1">
        <v>42509</v>
      </c>
      <c r="D280" s="2">
        <v>410874</v>
      </c>
      <c r="E280" s="1">
        <v>42528</v>
      </c>
    </row>
    <row r="281" spans="1:5" x14ac:dyDescent="0.25">
      <c r="A281">
        <v>8380316</v>
      </c>
      <c r="B281">
        <v>27691424</v>
      </c>
      <c r="C281" s="1">
        <v>42509</v>
      </c>
      <c r="D281" s="2">
        <v>73266</v>
      </c>
      <c r="E281" s="1">
        <v>42529</v>
      </c>
    </row>
    <row r="282" spans="1:5" x14ac:dyDescent="0.25">
      <c r="A282">
        <v>8486068</v>
      </c>
      <c r="B282">
        <v>27085828</v>
      </c>
      <c r="C282" s="1">
        <v>42509</v>
      </c>
      <c r="D282" s="2">
        <v>426685</v>
      </c>
      <c r="E282" s="1">
        <v>42530</v>
      </c>
    </row>
    <row r="283" spans="1:5" x14ac:dyDescent="0.25">
      <c r="A283">
        <v>8488114</v>
      </c>
      <c r="B283">
        <v>25929542</v>
      </c>
      <c r="C283" s="1">
        <v>42509</v>
      </c>
      <c r="D283" s="2">
        <v>61182</v>
      </c>
      <c r="E283" s="1">
        <v>42531</v>
      </c>
    </row>
    <row r="284" spans="1:5" x14ac:dyDescent="0.25">
      <c r="A284">
        <v>8489458</v>
      </c>
      <c r="B284">
        <v>26251506</v>
      </c>
      <c r="C284" s="1">
        <v>42509</v>
      </c>
      <c r="D284" s="2">
        <v>251315</v>
      </c>
      <c r="E284" s="1">
        <v>42522</v>
      </c>
    </row>
    <row r="285" spans="1:5" x14ac:dyDescent="0.25">
      <c r="A285">
        <v>8520309</v>
      </c>
      <c r="B285">
        <v>27065353</v>
      </c>
      <c r="C285" s="1">
        <v>42509</v>
      </c>
      <c r="D285" s="2">
        <v>5307028</v>
      </c>
      <c r="E285" s="1">
        <v>42523</v>
      </c>
    </row>
    <row r="286" spans="1:5" x14ac:dyDescent="0.25">
      <c r="A286">
        <v>8552611</v>
      </c>
      <c r="B286">
        <v>26725212</v>
      </c>
      <c r="C286" s="1">
        <v>42509</v>
      </c>
      <c r="D286" s="2">
        <v>274768</v>
      </c>
      <c r="E286" s="1">
        <v>42524</v>
      </c>
    </row>
    <row r="287" spans="1:5" x14ac:dyDescent="0.25">
      <c r="A287">
        <v>8553693</v>
      </c>
      <c r="B287">
        <v>23663051</v>
      </c>
      <c r="C287" s="1">
        <v>42509</v>
      </c>
      <c r="D287" s="2">
        <v>164408</v>
      </c>
      <c r="E287" s="1">
        <v>42525</v>
      </c>
    </row>
    <row r="288" spans="1:5" x14ac:dyDescent="0.25">
      <c r="A288">
        <v>8558638</v>
      </c>
      <c r="B288">
        <v>25962746</v>
      </c>
      <c r="C288" s="1">
        <v>42509</v>
      </c>
      <c r="D288" s="2">
        <v>21760</v>
      </c>
      <c r="E288" s="1">
        <v>42526</v>
      </c>
    </row>
    <row r="289" spans="1:5" x14ac:dyDescent="0.25">
      <c r="A289">
        <v>8559026</v>
      </c>
      <c r="B289">
        <v>25934012</v>
      </c>
      <c r="C289" s="1">
        <v>42510</v>
      </c>
      <c r="D289" s="2">
        <v>723950</v>
      </c>
      <c r="E289" s="1">
        <v>42527</v>
      </c>
    </row>
    <row r="290" spans="1:5" x14ac:dyDescent="0.25">
      <c r="A290">
        <v>8293228</v>
      </c>
      <c r="B290">
        <v>27864553</v>
      </c>
      <c r="C290" s="1">
        <v>42510</v>
      </c>
      <c r="D290" s="2">
        <v>577427</v>
      </c>
      <c r="E290" s="1">
        <v>42528</v>
      </c>
    </row>
    <row r="291" spans="1:5" x14ac:dyDescent="0.25">
      <c r="A291">
        <v>8153448</v>
      </c>
      <c r="B291">
        <v>26125116</v>
      </c>
      <c r="C291" s="1">
        <v>42511</v>
      </c>
      <c r="D291" s="2">
        <v>2972446</v>
      </c>
      <c r="E291" s="1">
        <v>42529</v>
      </c>
    </row>
    <row r="292" spans="1:5" x14ac:dyDescent="0.25">
      <c r="A292">
        <v>8153448</v>
      </c>
      <c r="B292">
        <v>26129875</v>
      </c>
      <c r="C292" s="1">
        <v>42511</v>
      </c>
      <c r="D292" s="2">
        <v>389117</v>
      </c>
      <c r="E292" s="1">
        <v>42530</v>
      </c>
    </row>
    <row r="293" spans="1:5" x14ac:dyDescent="0.25">
      <c r="A293">
        <v>8556030</v>
      </c>
      <c r="B293">
        <v>24292654</v>
      </c>
      <c r="C293" s="1">
        <v>42511</v>
      </c>
      <c r="D293" s="2">
        <v>823190</v>
      </c>
      <c r="E293" s="1">
        <v>42531</v>
      </c>
    </row>
    <row r="294" spans="1:5" x14ac:dyDescent="0.25">
      <c r="A294">
        <v>8144093</v>
      </c>
      <c r="B294">
        <v>25328215</v>
      </c>
      <c r="C294" s="1">
        <v>42511</v>
      </c>
      <c r="D294" s="2">
        <v>1248521</v>
      </c>
      <c r="E294" s="1">
        <v>42522</v>
      </c>
    </row>
    <row r="295" spans="1:5" x14ac:dyDescent="0.25">
      <c r="A295">
        <v>8357219</v>
      </c>
      <c r="B295">
        <v>27217004</v>
      </c>
      <c r="C295" s="1">
        <v>42514</v>
      </c>
      <c r="D295" s="2">
        <v>994366</v>
      </c>
      <c r="E295" s="1">
        <v>42523</v>
      </c>
    </row>
    <row r="296" spans="1:5" x14ac:dyDescent="0.25">
      <c r="A296">
        <v>8491409</v>
      </c>
      <c r="B296">
        <v>25336921</v>
      </c>
      <c r="C296" s="1">
        <v>42515</v>
      </c>
      <c r="D296" s="2">
        <v>118008</v>
      </c>
      <c r="E296" s="1">
        <v>42524</v>
      </c>
    </row>
    <row r="297" spans="1:5" x14ac:dyDescent="0.25">
      <c r="A297">
        <v>8372484</v>
      </c>
      <c r="B297">
        <v>19916641</v>
      </c>
      <c r="C297" s="1">
        <v>42515</v>
      </c>
      <c r="D297" s="2">
        <v>782788</v>
      </c>
      <c r="E297" s="1">
        <v>42525</v>
      </c>
    </row>
    <row r="298" spans="1:5" x14ac:dyDescent="0.25">
      <c r="A298">
        <v>8120848</v>
      </c>
      <c r="B298">
        <v>27351285</v>
      </c>
      <c r="C298" s="1">
        <v>42518</v>
      </c>
      <c r="D298" s="2">
        <v>83158465</v>
      </c>
      <c r="E298" s="1">
        <v>42526</v>
      </c>
    </row>
    <row r="299" spans="1:5" x14ac:dyDescent="0.25">
      <c r="A299">
        <v>8366056</v>
      </c>
      <c r="B299">
        <v>27054787</v>
      </c>
      <c r="C299" s="1">
        <v>42518</v>
      </c>
      <c r="D299" s="2">
        <v>1671314</v>
      </c>
      <c r="E299" s="1">
        <v>42527</v>
      </c>
    </row>
    <row r="300" spans="1:5" x14ac:dyDescent="0.25">
      <c r="A300">
        <v>8122438</v>
      </c>
      <c r="B300">
        <v>25825719</v>
      </c>
      <c r="C300" s="1">
        <v>42518</v>
      </c>
      <c r="D300" s="2">
        <v>38195</v>
      </c>
      <c r="E300" s="1">
        <v>42528</v>
      </c>
    </row>
    <row r="301" spans="1:5" x14ac:dyDescent="0.25">
      <c r="A301">
        <v>8167005</v>
      </c>
      <c r="B301">
        <v>25382403</v>
      </c>
      <c r="C301" s="1">
        <v>42518</v>
      </c>
      <c r="D301" s="2">
        <v>2602</v>
      </c>
      <c r="E301" s="1">
        <v>42529</v>
      </c>
    </row>
    <row r="302" spans="1:5" x14ac:dyDescent="0.25">
      <c r="A302">
        <v>8292187</v>
      </c>
      <c r="B302">
        <v>27077731</v>
      </c>
      <c r="C302" s="1">
        <v>42518</v>
      </c>
      <c r="D302" s="2">
        <v>268554</v>
      </c>
      <c r="E302" s="1">
        <v>42530</v>
      </c>
    </row>
    <row r="303" spans="1:5" x14ac:dyDescent="0.25">
      <c r="A303">
        <v>8375343</v>
      </c>
      <c r="B303">
        <v>22513953</v>
      </c>
      <c r="C303" s="1">
        <v>42518</v>
      </c>
      <c r="D303" s="2">
        <v>822815</v>
      </c>
      <c r="E303" s="1">
        <v>42531</v>
      </c>
    </row>
    <row r="304" spans="1:5" x14ac:dyDescent="0.25">
      <c r="A304">
        <v>8550305</v>
      </c>
      <c r="B304">
        <v>23926491</v>
      </c>
      <c r="C304" s="1">
        <v>42518</v>
      </c>
      <c r="D304" s="2">
        <v>1032927</v>
      </c>
      <c r="E304" s="1">
        <v>42522</v>
      </c>
    </row>
    <row r="305" spans="1:5" x14ac:dyDescent="0.25">
      <c r="A305">
        <v>8120848</v>
      </c>
      <c r="B305">
        <v>25950361</v>
      </c>
      <c r="C305" s="1">
        <v>42518</v>
      </c>
      <c r="D305" s="2">
        <v>919131</v>
      </c>
      <c r="E305" s="1">
        <v>42523</v>
      </c>
    </row>
    <row r="306" spans="1:5" x14ac:dyDescent="0.25">
      <c r="A306">
        <v>8170763</v>
      </c>
      <c r="B306">
        <v>27233973</v>
      </c>
      <c r="C306" s="1">
        <v>42518</v>
      </c>
      <c r="D306" s="2">
        <v>546248</v>
      </c>
      <c r="E306" s="1">
        <v>42524</v>
      </c>
    </row>
    <row r="307" spans="1:5" x14ac:dyDescent="0.25">
      <c r="A307">
        <v>8263081</v>
      </c>
      <c r="B307">
        <v>25950581</v>
      </c>
      <c r="C307" s="1">
        <v>42518</v>
      </c>
      <c r="D307" s="2">
        <v>666612</v>
      </c>
      <c r="E307" s="1">
        <v>42525</v>
      </c>
    </row>
    <row r="308" spans="1:5" x14ac:dyDescent="0.25">
      <c r="A308">
        <v>8361878</v>
      </c>
      <c r="B308">
        <v>1051371</v>
      </c>
      <c r="C308" s="1">
        <v>42518</v>
      </c>
      <c r="D308" s="2">
        <v>140760</v>
      </c>
      <c r="E308" s="1">
        <v>42526</v>
      </c>
    </row>
    <row r="309" spans="1:5" x14ac:dyDescent="0.25">
      <c r="A309">
        <v>8551082</v>
      </c>
      <c r="B309">
        <v>26878877</v>
      </c>
      <c r="C309" s="1">
        <v>42518</v>
      </c>
      <c r="D309" s="2">
        <v>144042</v>
      </c>
      <c r="E309" s="1">
        <v>42527</v>
      </c>
    </row>
    <row r="310" spans="1:5" x14ac:dyDescent="0.25">
      <c r="A310">
        <v>8169305</v>
      </c>
      <c r="B310">
        <v>23981315</v>
      </c>
      <c r="C310" s="1">
        <v>42519</v>
      </c>
      <c r="D310" s="2">
        <v>4095822</v>
      </c>
      <c r="E310" s="1">
        <v>42528</v>
      </c>
    </row>
    <row r="311" spans="1:5" x14ac:dyDescent="0.25">
      <c r="A311">
        <v>8322484</v>
      </c>
      <c r="B311">
        <v>16140274</v>
      </c>
      <c r="C311" s="1">
        <v>42519</v>
      </c>
      <c r="D311" s="2">
        <v>781273</v>
      </c>
      <c r="E311" s="1">
        <v>42529</v>
      </c>
    </row>
    <row r="312" spans="1:5" x14ac:dyDescent="0.25">
      <c r="A312">
        <v>8466023</v>
      </c>
      <c r="B312">
        <v>23657673</v>
      </c>
      <c r="C312" s="1">
        <v>42519</v>
      </c>
      <c r="D312" s="2">
        <v>5631857</v>
      </c>
      <c r="E312" s="1">
        <v>42530</v>
      </c>
    </row>
    <row r="313" spans="1:5" x14ac:dyDescent="0.25">
      <c r="A313">
        <v>8162090</v>
      </c>
      <c r="B313">
        <v>20736069</v>
      </c>
      <c r="C313" s="1">
        <v>42519</v>
      </c>
      <c r="D313" s="2">
        <v>74006</v>
      </c>
      <c r="E313" s="1">
        <v>42531</v>
      </c>
    </row>
    <row r="314" spans="1:5" x14ac:dyDescent="0.25">
      <c r="A314">
        <v>8171800</v>
      </c>
      <c r="B314">
        <v>26378227</v>
      </c>
      <c r="C314" s="1">
        <v>42519</v>
      </c>
      <c r="D314" s="2">
        <v>629740</v>
      </c>
      <c r="E314" s="1">
        <v>42522</v>
      </c>
    </row>
    <row r="315" spans="1:5" x14ac:dyDescent="0.25">
      <c r="A315">
        <v>8260069</v>
      </c>
      <c r="B315">
        <v>25090532</v>
      </c>
      <c r="C315" s="1">
        <v>42519</v>
      </c>
      <c r="D315" s="2">
        <v>652735</v>
      </c>
      <c r="E315" s="1">
        <v>42523</v>
      </c>
    </row>
    <row r="316" spans="1:5" x14ac:dyDescent="0.25">
      <c r="A316">
        <v>8291401</v>
      </c>
      <c r="B316">
        <v>27049838</v>
      </c>
      <c r="C316" s="1">
        <v>42519</v>
      </c>
      <c r="D316" s="2">
        <v>56419</v>
      </c>
      <c r="E316" s="1">
        <v>42524</v>
      </c>
    </row>
    <row r="317" spans="1:5" x14ac:dyDescent="0.25">
      <c r="A317">
        <v>8322484</v>
      </c>
      <c r="B317">
        <v>21785894</v>
      </c>
      <c r="C317" s="1">
        <v>42519</v>
      </c>
      <c r="D317" s="2">
        <v>282019</v>
      </c>
      <c r="E317" s="1">
        <v>42525</v>
      </c>
    </row>
    <row r="318" spans="1:5" x14ac:dyDescent="0.25">
      <c r="A318">
        <v>8372113</v>
      </c>
      <c r="B318">
        <v>20852636</v>
      </c>
      <c r="C318" s="1">
        <v>42519</v>
      </c>
      <c r="D318" s="2">
        <v>956985</v>
      </c>
      <c r="E318" s="1">
        <v>42526</v>
      </c>
    </row>
    <row r="319" spans="1:5" x14ac:dyDescent="0.25">
      <c r="A319">
        <v>8457400</v>
      </c>
      <c r="B319">
        <v>21487456</v>
      </c>
      <c r="C319" s="1">
        <v>42519</v>
      </c>
      <c r="D319" s="2">
        <v>117805</v>
      </c>
      <c r="E319" s="1">
        <v>42527</v>
      </c>
    </row>
    <row r="320" spans="1:5" x14ac:dyDescent="0.25">
      <c r="A320">
        <v>8487332</v>
      </c>
      <c r="B320">
        <v>4441692</v>
      </c>
      <c r="C320" s="1">
        <v>42519</v>
      </c>
      <c r="D320" s="2">
        <v>1029376</v>
      </c>
      <c r="E320" s="1">
        <v>42528</v>
      </c>
    </row>
    <row r="321" spans="1:5" x14ac:dyDescent="0.25">
      <c r="A321">
        <v>8491306</v>
      </c>
      <c r="B321">
        <v>25320990</v>
      </c>
      <c r="C321" s="1">
        <v>42519</v>
      </c>
      <c r="D321" s="2">
        <v>44344</v>
      </c>
      <c r="E321" s="1">
        <v>42529</v>
      </c>
    </row>
    <row r="322" spans="1:5" x14ac:dyDescent="0.25">
      <c r="A322">
        <v>8120338</v>
      </c>
      <c r="B322">
        <v>27451233</v>
      </c>
      <c r="C322" s="1">
        <v>42519</v>
      </c>
      <c r="D322" s="2">
        <v>335289</v>
      </c>
      <c r="E322" s="1">
        <v>42530</v>
      </c>
    </row>
    <row r="323" spans="1:5" x14ac:dyDescent="0.25">
      <c r="A323">
        <v>8166389</v>
      </c>
      <c r="B323">
        <v>26935836</v>
      </c>
      <c r="C323" s="1">
        <v>42519</v>
      </c>
      <c r="D323" s="2">
        <v>248728</v>
      </c>
      <c r="E323" s="1">
        <v>42531</v>
      </c>
    </row>
    <row r="324" spans="1:5" x14ac:dyDescent="0.25">
      <c r="A324">
        <v>8261115</v>
      </c>
      <c r="B324">
        <v>21710750</v>
      </c>
      <c r="C324" s="1">
        <v>42519</v>
      </c>
      <c r="D324" s="2">
        <v>4767348</v>
      </c>
      <c r="E324" s="1">
        <v>42522</v>
      </c>
    </row>
    <row r="325" spans="1:5" x14ac:dyDescent="0.25">
      <c r="A325">
        <v>8290480</v>
      </c>
      <c r="B325">
        <v>25411228</v>
      </c>
      <c r="C325" s="1">
        <v>42519</v>
      </c>
      <c r="D325" s="2">
        <v>88795</v>
      </c>
      <c r="E325" s="1">
        <v>42523</v>
      </c>
    </row>
    <row r="326" spans="1:5" x14ac:dyDescent="0.25">
      <c r="A326">
        <v>8293662</v>
      </c>
      <c r="B326">
        <v>25834952</v>
      </c>
      <c r="C326" s="1">
        <v>42519</v>
      </c>
      <c r="D326" s="2">
        <v>46398</v>
      </c>
      <c r="E326" s="1">
        <v>42524</v>
      </c>
    </row>
    <row r="327" spans="1:5" x14ac:dyDescent="0.25">
      <c r="A327">
        <v>8372852</v>
      </c>
      <c r="B327">
        <v>23768795</v>
      </c>
      <c r="C327" s="1">
        <v>42519</v>
      </c>
      <c r="D327" s="2">
        <v>465555</v>
      </c>
      <c r="E327" s="1">
        <v>42525</v>
      </c>
    </row>
    <row r="328" spans="1:5" x14ac:dyDescent="0.25">
      <c r="A328">
        <v>8380807</v>
      </c>
      <c r="B328">
        <v>26376544</v>
      </c>
      <c r="C328" s="1">
        <v>42519</v>
      </c>
      <c r="D328" s="2">
        <v>158760</v>
      </c>
      <c r="E328" s="1">
        <v>42526</v>
      </c>
    </row>
    <row r="329" spans="1:5" x14ac:dyDescent="0.25">
      <c r="A329">
        <v>8457400</v>
      </c>
      <c r="B329">
        <v>26023265</v>
      </c>
      <c r="C329" s="1">
        <v>42519</v>
      </c>
      <c r="D329" s="2">
        <v>188847</v>
      </c>
      <c r="E329" s="1">
        <v>42527</v>
      </c>
    </row>
    <row r="330" spans="1:5" x14ac:dyDescent="0.25">
      <c r="A330">
        <v>8491409</v>
      </c>
      <c r="B330">
        <v>27153393</v>
      </c>
      <c r="C330" s="1">
        <v>42519</v>
      </c>
      <c r="D330" s="2">
        <v>32376</v>
      </c>
      <c r="E330" s="1">
        <v>42528</v>
      </c>
    </row>
    <row r="331" spans="1:5" x14ac:dyDescent="0.25">
      <c r="A331">
        <v>8558545</v>
      </c>
      <c r="B331">
        <v>26572022</v>
      </c>
      <c r="C331" s="1">
        <v>42519</v>
      </c>
      <c r="D331" s="2">
        <v>1212100</v>
      </c>
      <c r="E331" s="1">
        <v>42529</v>
      </c>
    </row>
    <row r="332" spans="1:5" x14ac:dyDescent="0.25">
      <c r="A332">
        <v>8092203</v>
      </c>
      <c r="B332">
        <v>27368714</v>
      </c>
      <c r="C332" s="1">
        <v>42521</v>
      </c>
      <c r="D332" s="2">
        <v>1640018</v>
      </c>
      <c r="E332" s="1">
        <v>42530</v>
      </c>
    </row>
    <row r="333" spans="1:5" x14ac:dyDescent="0.25">
      <c r="A333">
        <v>8146356</v>
      </c>
      <c r="B333">
        <v>15560641</v>
      </c>
      <c r="C333" s="1">
        <v>42521</v>
      </c>
      <c r="D333" s="2">
        <v>2786841</v>
      </c>
      <c r="E333" s="1">
        <v>42531</v>
      </c>
    </row>
    <row r="334" spans="1:5" x14ac:dyDescent="0.25">
      <c r="A334">
        <v>8163541</v>
      </c>
      <c r="B334">
        <v>24920834</v>
      </c>
      <c r="C334" s="1">
        <v>42521</v>
      </c>
      <c r="D334" s="2">
        <v>809042</v>
      </c>
      <c r="E334" s="1">
        <v>42522</v>
      </c>
    </row>
    <row r="335" spans="1:5" x14ac:dyDescent="0.25">
      <c r="A335">
        <v>8166205</v>
      </c>
      <c r="B335">
        <v>20943764</v>
      </c>
      <c r="C335" s="1">
        <v>42521</v>
      </c>
      <c r="D335" s="2">
        <v>1365396</v>
      </c>
      <c r="E335" s="1">
        <v>42523</v>
      </c>
    </row>
    <row r="336" spans="1:5" x14ac:dyDescent="0.25">
      <c r="A336">
        <v>8170851</v>
      </c>
      <c r="B336">
        <v>27057377</v>
      </c>
      <c r="C336" s="1">
        <v>42521</v>
      </c>
      <c r="D336" s="2">
        <v>1341555</v>
      </c>
      <c r="E336" s="1">
        <v>42524</v>
      </c>
    </row>
    <row r="337" spans="1:5" x14ac:dyDescent="0.25">
      <c r="A337">
        <v>8175094</v>
      </c>
      <c r="B337">
        <v>25678340</v>
      </c>
      <c r="C337" s="1">
        <v>42521</v>
      </c>
      <c r="D337" s="2">
        <v>1028114</v>
      </c>
      <c r="E337" s="1">
        <v>42525</v>
      </c>
    </row>
    <row r="338" spans="1:5" x14ac:dyDescent="0.25">
      <c r="A338">
        <v>8260719</v>
      </c>
      <c r="B338">
        <v>20150113</v>
      </c>
      <c r="C338" s="1">
        <v>42521</v>
      </c>
      <c r="D338" s="2">
        <v>540083</v>
      </c>
      <c r="E338" s="1">
        <v>42526</v>
      </c>
    </row>
    <row r="339" spans="1:5" x14ac:dyDescent="0.25">
      <c r="A339">
        <v>8292287</v>
      </c>
      <c r="B339">
        <v>25270652</v>
      </c>
      <c r="C339" s="1">
        <v>42521</v>
      </c>
      <c r="D339" s="2">
        <v>806442</v>
      </c>
      <c r="E339" s="1">
        <v>42527</v>
      </c>
    </row>
    <row r="340" spans="1:5" x14ac:dyDescent="0.25">
      <c r="A340">
        <v>8363386</v>
      </c>
      <c r="B340">
        <v>27479573</v>
      </c>
      <c r="C340" s="1">
        <v>42521</v>
      </c>
      <c r="D340" s="2">
        <v>388367</v>
      </c>
      <c r="E340" s="1">
        <v>42528</v>
      </c>
    </row>
    <row r="341" spans="1:5" x14ac:dyDescent="0.25">
      <c r="A341">
        <v>8373922</v>
      </c>
      <c r="B341">
        <v>15452026</v>
      </c>
      <c r="C341" s="1">
        <v>42521</v>
      </c>
      <c r="D341" s="2">
        <v>1205113</v>
      </c>
      <c r="E341" s="1">
        <v>42529</v>
      </c>
    </row>
    <row r="342" spans="1:5" x14ac:dyDescent="0.25">
      <c r="A342">
        <v>8380657</v>
      </c>
      <c r="B342">
        <v>20821058</v>
      </c>
      <c r="C342" s="1">
        <v>42521</v>
      </c>
      <c r="D342" s="2">
        <v>286792</v>
      </c>
      <c r="E342" s="1">
        <v>42530</v>
      </c>
    </row>
    <row r="343" spans="1:5" x14ac:dyDescent="0.25">
      <c r="A343">
        <v>8490949</v>
      </c>
      <c r="B343">
        <v>25373614</v>
      </c>
      <c r="C343" s="1">
        <v>42521</v>
      </c>
      <c r="D343" s="2">
        <v>93356</v>
      </c>
      <c r="E343" s="1">
        <v>42531</v>
      </c>
    </row>
    <row r="344" spans="1:5" x14ac:dyDescent="0.25">
      <c r="A344">
        <v>8522462</v>
      </c>
      <c r="B344">
        <v>26162718</v>
      </c>
      <c r="C344" s="1">
        <v>42521</v>
      </c>
      <c r="D344" s="2">
        <v>247973</v>
      </c>
      <c r="E344" s="1">
        <v>42532</v>
      </c>
    </row>
    <row r="345" spans="1:5" x14ac:dyDescent="0.25">
      <c r="A345">
        <v>8553189</v>
      </c>
      <c r="B345">
        <v>15321950</v>
      </c>
      <c r="C345" s="1">
        <v>42521</v>
      </c>
      <c r="D345" s="2">
        <v>6245681</v>
      </c>
      <c r="E345" s="1">
        <v>42533</v>
      </c>
    </row>
    <row r="346" spans="1:5" x14ac:dyDescent="0.25">
      <c r="A346">
        <v>8558124</v>
      </c>
      <c r="B346">
        <v>26976651</v>
      </c>
      <c r="C346" s="1">
        <v>42521</v>
      </c>
      <c r="D346" s="2">
        <v>917344</v>
      </c>
      <c r="E346" s="1">
        <v>42534</v>
      </c>
    </row>
    <row r="347" spans="1:5" x14ac:dyDescent="0.25">
      <c r="A347">
        <v>8085687</v>
      </c>
      <c r="B347">
        <v>27777136</v>
      </c>
      <c r="C347" s="1">
        <v>42521</v>
      </c>
      <c r="D347" s="2">
        <v>46876</v>
      </c>
      <c r="E347" s="1">
        <v>42535</v>
      </c>
    </row>
    <row r="348" spans="1:5" x14ac:dyDescent="0.25">
      <c r="A348">
        <v>8092365</v>
      </c>
      <c r="B348">
        <v>26716493</v>
      </c>
      <c r="C348" s="1">
        <v>42521</v>
      </c>
      <c r="D348" s="2">
        <v>44616</v>
      </c>
      <c r="E348" s="1">
        <v>42536</v>
      </c>
    </row>
    <row r="349" spans="1:5" x14ac:dyDescent="0.25">
      <c r="A349">
        <v>8120504</v>
      </c>
      <c r="B349">
        <v>25516208</v>
      </c>
      <c r="C349" s="1">
        <v>42521</v>
      </c>
      <c r="D349" s="2">
        <v>215730</v>
      </c>
      <c r="E349" s="1">
        <v>42537</v>
      </c>
    </row>
    <row r="350" spans="1:5" x14ac:dyDescent="0.25">
      <c r="A350">
        <v>8143701</v>
      </c>
      <c r="B350">
        <v>21781337</v>
      </c>
      <c r="C350" s="1">
        <v>42521</v>
      </c>
      <c r="D350" s="2">
        <v>186118</v>
      </c>
      <c r="E350" s="1">
        <v>42522</v>
      </c>
    </row>
    <row r="351" spans="1:5" x14ac:dyDescent="0.25">
      <c r="A351">
        <v>8146356</v>
      </c>
      <c r="B351">
        <v>15561187</v>
      </c>
      <c r="C351" s="1">
        <v>42521</v>
      </c>
      <c r="D351" s="2">
        <v>156751</v>
      </c>
      <c r="E351" s="1">
        <v>42523</v>
      </c>
    </row>
    <row r="352" spans="1:5" x14ac:dyDescent="0.25">
      <c r="A352">
        <v>8149873</v>
      </c>
      <c r="B352">
        <v>21128782</v>
      </c>
      <c r="C352" s="1">
        <v>42521</v>
      </c>
      <c r="D352" s="2">
        <v>2602</v>
      </c>
      <c r="E352" s="1">
        <v>42524</v>
      </c>
    </row>
    <row r="353" spans="1:5" x14ac:dyDescent="0.25">
      <c r="A353">
        <v>8160270</v>
      </c>
      <c r="B353">
        <v>27760880</v>
      </c>
      <c r="C353" s="1">
        <v>42521</v>
      </c>
      <c r="D353" s="2">
        <v>9717</v>
      </c>
      <c r="E353" s="1">
        <v>42525</v>
      </c>
    </row>
    <row r="354" spans="1:5" x14ac:dyDescent="0.25">
      <c r="A354">
        <v>8163778</v>
      </c>
      <c r="B354">
        <v>27381420</v>
      </c>
      <c r="C354" s="1">
        <v>42521</v>
      </c>
      <c r="D354" s="2">
        <v>59546</v>
      </c>
      <c r="E354" s="1">
        <v>42526</v>
      </c>
    </row>
    <row r="355" spans="1:5" x14ac:dyDescent="0.25">
      <c r="A355">
        <v>8164846</v>
      </c>
      <c r="B355">
        <v>24213987</v>
      </c>
      <c r="C355" s="1">
        <v>42521</v>
      </c>
      <c r="D355" s="2">
        <v>88622</v>
      </c>
      <c r="E355" s="1">
        <v>42527</v>
      </c>
    </row>
    <row r="356" spans="1:5" x14ac:dyDescent="0.25">
      <c r="A356">
        <v>8165559</v>
      </c>
      <c r="B356">
        <v>24129857</v>
      </c>
      <c r="C356" s="1">
        <v>42521</v>
      </c>
      <c r="D356" s="2">
        <v>14645</v>
      </c>
      <c r="E356" s="1">
        <v>42522</v>
      </c>
    </row>
    <row r="357" spans="1:5" x14ac:dyDescent="0.25">
      <c r="A357">
        <v>8166205</v>
      </c>
      <c r="B357">
        <v>20946217</v>
      </c>
      <c r="C357" s="1">
        <v>42521</v>
      </c>
      <c r="D357" s="2">
        <v>124161</v>
      </c>
      <c r="E357" s="1">
        <v>42523</v>
      </c>
    </row>
    <row r="358" spans="1:5" x14ac:dyDescent="0.25">
      <c r="A358">
        <v>8167784</v>
      </c>
      <c r="B358">
        <v>21647828</v>
      </c>
      <c r="C358" s="1">
        <v>42521</v>
      </c>
      <c r="D358" s="2">
        <v>5356</v>
      </c>
      <c r="E358" s="1">
        <v>42524</v>
      </c>
    </row>
    <row r="359" spans="1:5" x14ac:dyDescent="0.25">
      <c r="A359">
        <v>8169114</v>
      </c>
      <c r="B359">
        <v>28219094</v>
      </c>
      <c r="C359" s="1">
        <v>42521</v>
      </c>
      <c r="D359" s="2">
        <v>42207</v>
      </c>
      <c r="E359" s="1">
        <v>42525</v>
      </c>
    </row>
    <row r="360" spans="1:5" x14ac:dyDescent="0.25">
      <c r="A360">
        <v>8170902</v>
      </c>
      <c r="B360">
        <v>4617082</v>
      </c>
      <c r="C360" s="1">
        <v>42521</v>
      </c>
      <c r="D360" s="2">
        <v>105891</v>
      </c>
      <c r="E360" s="1">
        <v>42526</v>
      </c>
    </row>
    <row r="361" spans="1:5" x14ac:dyDescent="0.25">
      <c r="A361">
        <v>8171824</v>
      </c>
      <c r="B361">
        <v>21483616</v>
      </c>
      <c r="C361" s="1">
        <v>42521</v>
      </c>
      <c r="D361" s="2">
        <v>37202</v>
      </c>
      <c r="E361" s="1">
        <v>42527</v>
      </c>
    </row>
    <row r="362" spans="1:5" x14ac:dyDescent="0.25">
      <c r="A362">
        <v>8173426</v>
      </c>
      <c r="B362">
        <v>27096953</v>
      </c>
      <c r="C362" s="1">
        <v>42521</v>
      </c>
      <c r="D362" s="2">
        <v>33908</v>
      </c>
      <c r="E362" s="1">
        <v>42528</v>
      </c>
    </row>
    <row r="363" spans="1:5" x14ac:dyDescent="0.25">
      <c r="A363">
        <v>8175233</v>
      </c>
      <c r="B363">
        <v>27048969</v>
      </c>
      <c r="C363" s="1">
        <v>42521</v>
      </c>
      <c r="D363" s="2">
        <v>83313</v>
      </c>
      <c r="E363" s="1">
        <v>42529</v>
      </c>
    </row>
    <row r="364" spans="1:5" x14ac:dyDescent="0.25">
      <c r="A364">
        <v>8187955</v>
      </c>
      <c r="B364">
        <v>22742458</v>
      </c>
      <c r="C364" s="1">
        <v>42521</v>
      </c>
      <c r="D364" s="2">
        <v>24530</v>
      </c>
      <c r="E364" s="1">
        <v>42530</v>
      </c>
    </row>
    <row r="365" spans="1:5" x14ac:dyDescent="0.25">
      <c r="A365">
        <v>8260160</v>
      </c>
      <c r="B365">
        <v>27607686</v>
      </c>
      <c r="C365" s="1">
        <v>42521</v>
      </c>
      <c r="D365" s="2">
        <v>127907</v>
      </c>
      <c r="E365" s="1">
        <v>42531</v>
      </c>
    </row>
    <row r="366" spans="1:5" x14ac:dyDescent="0.25">
      <c r="A366">
        <v>8261570</v>
      </c>
      <c r="B366">
        <v>27224146</v>
      </c>
      <c r="C366" s="1">
        <v>42521</v>
      </c>
      <c r="D366" s="2">
        <v>101981</v>
      </c>
      <c r="E366" s="1">
        <v>42532</v>
      </c>
    </row>
    <row r="367" spans="1:5" x14ac:dyDescent="0.25">
      <c r="A367">
        <v>8290811</v>
      </c>
      <c r="B367">
        <v>21139953</v>
      </c>
      <c r="C367" s="1">
        <v>42521</v>
      </c>
      <c r="D367" s="2">
        <v>254572</v>
      </c>
      <c r="E367" s="1">
        <v>42533</v>
      </c>
    </row>
    <row r="368" spans="1:5" x14ac:dyDescent="0.25">
      <c r="A368">
        <v>8291545</v>
      </c>
      <c r="B368">
        <v>27047202</v>
      </c>
      <c r="C368" s="1">
        <v>42521</v>
      </c>
      <c r="D368" s="2">
        <v>22075</v>
      </c>
      <c r="E368" s="1">
        <v>42534</v>
      </c>
    </row>
    <row r="369" spans="1:5" x14ac:dyDescent="0.25">
      <c r="A369">
        <v>8292460</v>
      </c>
      <c r="B369">
        <v>26369115</v>
      </c>
      <c r="C369" s="1">
        <v>42521</v>
      </c>
      <c r="D369" s="2">
        <v>125121</v>
      </c>
      <c r="E369" s="1">
        <v>42535</v>
      </c>
    </row>
    <row r="370" spans="1:5" x14ac:dyDescent="0.25">
      <c r="A370">
        <v>8292862</v>
      </c>
      <c r="B370">
        <v>19916764</v>
      </c>
      <c r="C370" s="1">
        <v>42521</v>
      </c>
      <c r="D370" s="2">
        <v>6135</v>
      </c>
      <c r="E370" s="1">
        <v>42522</v>
      </c>
    </row>
    <row r="371" spans="1:5" x14ac:dyDescent="0.25">
      <c r="A371">
        <v>8293815</v>
      </c>
      <c r="B371">
        <v>26238609</v>
      </c>
      <c r="C371" s="1">
        <v>42521</v>
      </c>
      <c r="D371" s="2">
        <v>74185</v>
      </c>
      <c r="E371" s="1">
        <v>42523</v>
      </c>
    </row>
    <row r="372" spans="1:5" x14ac:dyDescent="0.25">
      <c r="A372">
        <v>8364712</v>
      </c>
      <c r="B372">
        <v>1460358</v>
      </c>
      <c r="C372" s="1">
        <v>42521</v>
      </c>
      <c r="D372" s="2">
        <v>7320</v>
      </c>
      <c r="E372" s="1">
        <v>42524</v>
      </c>
    </row>
    <row r="373" spans="1:5" x14ac:dyDescent="0.25">
      <c r="A373">
        <v>8368470</v>
      </c>
      <c r="B373">
        <v>25990958</v>
      </c>
      <c r="C373" s="1">
        <v>42521</v>
      </c>
      <c r="D373" s="2">
        <v>16746</v>
      </c>
      <c r="E373" s="1">
        <v>42522</v>
      </c>
    </row>
    <row r="374" spans="1:5" x14ac:dyDescent="0.25">
      <c r="A374">
        <v>8373109</v>
      </c>
      <c r="B374">
        <v>25110940</v>
      </c>
      <c r="C374" s="1">
        <v>42521</v>
      </c>
      <c r="D374" s="2">
        <v>15674</v>
      </c>
      <c r="E374" s="1">
        <v>42523</v>
      </c>
    </row>
    <row r="375" spans="1:5" x14ac:dyDescent="0.25">
      <c r="A375">
        <v>8374957</v>
      </c>
      <c r="B375">
        <v>26344716</v>
      </c>
      <c r="C375" s="1">
        <v>42521</v>
      </c>
      <c r="D375" s="2">
        <v>107495</v>
      </c>
      <c r="E375" s="1">
        <v>42524</v>
      </c>
    </row>
    <row r="376" spans="1:5" x14ac:dyDescent="0.25">
      <c r="A376">
        <v>8375899</v>
      </c>
      <c r="B376">
        <v>25529213</v>
      </c>
      <c r="C376" s="1">
        <v>42521</v>
      </c>
      <c r="D376" s="2">
        <v>7381</v>
      </c>
      <c r="E376" s="1">
        <v>42525</v>
      </c>
    </row>
    <row r="377" spans="1:5" x14ac:dyDescent="0.25">
      <c r="A377">
        <v>8377815</v>
      </c>
      <c r="B377">
        <v>23968455</v>
      </c>
      <c r="C377" s="1">
        <v>42521</v>
      </c>
      <c r="D377" s="2">
        <v>45397</v>
      </c>
      <c r="E377" s="1">
        <v>42526</v>
      </c>
    </row>
    <row r="378" spans="1:5" x14ac:dyDescent="0.25">
      <c r="A378">
        <v>8381332</v>
      </c>
      <c r="B378">
        <v>20591909</v>
      </c>
      <c r="C378" s="1">
        <v>42521</v>
      </c>
      <c r="D378" s="2">
        <v>18541</v>
      </c>
      <c r="E378" s="1">
        <v>42522</v>
      </c>
    </row>
    <row r="379" spans="1:5" x14ac:dyDescent="0.25">
      <c r="A379">
        <v>8443989</v>
      </c>
      <c r="B379">
        <v>28249575</v>
      </c>
      <c r="C379" s="1">
        <v>42521</v>
      </c>
      <c r="D379" s="2">
        <v>41008</v>
      </c>
      <c r="E379" s="1">
        <v>42523</v>
      </c>
    </row>
    <row r="380" spans="1:5" x14ac:dyDescent="0.25">
      <c r="A380">
        <v>8487795</v>
      </c>
      <c r="B380">
        <v>25989548</v>
      </c>
      <c r="C380" s="1">
        <v>42521</v>
      </c>
      <c r="D380" s="2">
        <v>39301</v>
      </c>
      <c r="E380" s="1">
        <v>42524</v>
      </c>
    </row>
    <row r="381" spans="1:5" x14ac:dyDescent="0.25">
      <c r="A381">
        <v>8491092</v>
      </c>
      <c r="B381">
        <v>22418324</v>
      </c>
      <c r="C381" s="1">
        <v>42521</v>
      </c>
      <c r="D381" s="2">
        <v>233768</v>
      </c>
      <c r="E381" s="1">
        <v>42525</v>
      </c>
    </row>
    <row r="382" spans="1:5" x14ac:dyDescent="0.25">
      <c r="A382">
        <v>8491910</v>
      </c>
      <c r="B382">
        <v>27575915</v>
      </c>
      <c r="C382" s="1">
        <v>42521</v>
      </c>
      <c r="D382" s="2">
        <v>47436</v>
      </c>
      <c r="E382" s="1">
        <v>42526</v>
      </c>
    </row>
    <row r="383" spans="1:5" x14ac:dyDescent="0.25">
      <c r="A383">
        <v>8521432</v>
      </c>
      <c r="B383">
        <v>25260267</v>
      </c>
      <c r="C383" s="1">
        <v>42521</v>
      </c>
      <c r="D383" s="2">
        <v>68466</v>
      </c>
      <c r="E383" s="1">
        <v>42527</v>
      </c>
    </row>
    <row r="384" spans="1:5" x14ac:dyDescent="0.25">
      <c r="A384">
        <v>8522957</v>
      </c>
      <c r="B384">
        <v>22516258</v>
      </c>
      <c r="C384" s="1">
        <v>42521</v>
      </c>
      <c r="D384" s="2">
        <v>15850</v>
      </c>
      <c r="E384" s="1">
        <v>42528</v>
      </c>
    </row>
    <row r="385" spans="1:5" x14ac:dyDescent="0.25">
      <c r="A385">
        <v>8524805</v>
      </c>
      <c r="B385">
        <v>21648150</v>
      </c>
      <c r="C385" s="1">
        <v>42521</v>
      </c>
      <c r="D385" s="2">
        <v>31585</v>
      </c>
      <c r="E385" s="1">
        <v>42522</v>
      </c>
    </row>
    <row r="386" spans="1:5" x14ac:dyDescent="0.25">
      <c r="A386">
        <v>8550513</v>
      </c>
      <c r="B386">
        <v>23977900</v>
      </c>
      <c r="C386" s="1">
        <v>42521</v>
      </c>
      <c r="D386" s="2">
        <v>6261</v>
      </c>
      <c r="E386" s="1">
        <v>42523</v>
      </c>
    </row>
    <row r="387" spans="1:5" x14ac:dyDescent="0.25">
      <c r="A387">
        <v>8554278</v>
      </c>
      <c r="B387">
        <v>20987702</v>
      </c>
      <c r="C387" s="1">
        <v>42521</v>
      </c>
      <c r="D387" s="2">
        <v>130848</v>
      </c>
      <c r="E387" s="1">
        <v>42522</v>
      </c>
    </row>
    <row r="388" spans="1:5" x14ac:dyDescent="0.25">
      <c r="A388">
        <v>8555675</v>
      </c>
      <c r="B388">
        <v>14868002</v>
      </c>
      <c r="C388" s="1">
        <v>42521</v>
      </c>
      <c r="D388" s="2">
        <v>83553</v>
      </c>
      <c r="E388" s="1">
        <v>42523</v>
      </c>
    </row>
    <row r="389" spans="1:5" x14ac:dyDescent="0.25">
      <c r="A389">
        <v>8556874</v>
      </c>
      <c r="B389">
        <v>22431746</v>
      </c>
      <c r="C389" s="1">
        <v>42521</v>
      </c>
      <c r="D389" s="2">
        <v>3853</v>
      </c>
      <c r="E389" s="1">
        <v>42524</v>
      </c>
    </row>
    <row r="390" spans="1:5" x14ac:dyDescent="0.25">
      <c r="A390">
        <v>8558900</v>
      </c>
      <c r="B390">
        <v>25301860</v>
      </c>
      <c r="C390" s="1">
        <v>42521</v>
      </c>
      <c r="D390" s="2">
        <v>36649</v>
      </c>
      <c r="E390" s="1">
        <v>42525</v>
      </c>
    </row>
    <row r="391" spans="1:5" x14ac:dyDescent="0.25">
      <c r="A391">
        <v>8089371</v>
      </c>
      <c r="B391">
        <v>24378718</v>
      </c>
      <c r="C391" s="1">
        <v>42521</v>
      </c>
      <c r="D391" s="2">
        <v>213568</v>
      </c>
      <c r="E391" s="1">
        <v>42526</v>
      </c>
    </row>
    <row r="392" spans="1:5" x14ac:dyDescent="0.25">
      <c r="A392">
        <v>8120977</v>
      </c>
      <c r="B392">
        <v>25568684</v>
      </c>
      <c r="C392" s="1">
        <v>42521</v>
      </c>
      <c r="D392" s="2">
        <v>226541</v>
      </c>
      <c r="E392" s="1">
        <v>42527</v>
      </c>
    </row>
    <row r="393" spans="1:5" x14ac:dyDescent="0.25">
      <c r="A393">
        <v>8121787</v>
      </c>
      <c r="B393">
        <v>28250237</v>
      </c>
      <c r="C393" s="1">
        <v>42521</v>
      </c>
      <c r="D393" s="2">
        <v>38527</v>
      </c>
      <c r="E393" s="1">
        <v>42528</v>
      </c>
    </row>
    <row r="394" spans="1:5" x14ac:dyDescent="0.25">
      <c r="A394">
        <v>8146356</v>
      </c>
      <c r="B394">
        <v>15560223</v>
      </c>
      <c r="C394" s="1">
        <v>42521</v>
      </c>
      <c r="D394" s="2">
        <v>344074</v>
      </c>
      <c r="E394" s="1">
        <v>42522</v>
      </c>
    </row>
    <row r="395" spans="1:5" x14ac:dyDescent="0.25">
      <c r="A395">
        <v>8149873</v>
      </c>
      <c r="B395">
        <v>21130021</v>
      </c>
      <c r="C395" s="1">
        <v>42521</v>
      </c>
      <c r="D395" s="2">
        <v>3902</v>
      </c>
      <c r="E395" s="1">
        <v>42523</v>
      </c>
    </row>
    <row r="396" spans="1:5" x14ac:dyDescent="0.25">
      <c r="A396">
        <v>8160167</v>
      </c>
      <c r="B396">
        <v>2861483</v>
      </c>
      <c r="C396" s="1">
        <v>42521</v>
      </c>
      <c r="D396" s="2">
        <v>108136</v>
      </c>
      <c r="E396" s="1">
        <v>42522</v>
      </c>
    </row>
    <row r="397" spans="1:5" x14ac:dyDescent="0.25">
      <c r="A397">
        <v>8163268</v>
      </c>
      <c r="B397">
        <v>27339206</v>
      </c>
      <c r="C397" s="1">
        <v>42521</v>
      </c>
      <c r="D397" s="2">
        <v>128466</v>
      </c>
      <c r="E397" s="1">
        <v>42523</v>
      </c>
    </row>
    <row r="398" spans="1:5" x14ac:dyDescent="0.25">
      <c r="A398">
        <v>8164974</v>
      </c>
      <c r="B398">
        <v>25826418</v>
      </c>
      <c r="C398" s="1">
        <v>42521</v>
      </c>
      <c r="D398" s="2">
        <v>59970</v>
      </c>
      <c r="E398" s="1">
        <v>42524</v>
      </c>
    </row>
    <row r="399" spans="1:5" x14ac:dyDescent="0.25">
      <c r="A399">
        <v>8165423</v>
      </c>
      <c r="B399">
        <v>27019405</v>
      </c>
      <c r="C399" s="1">
        <v>42521</v>
      </c>
      <c r="D399" s="2">
        <v>54703</v>
      </c>
      <c r="E399" s="1">
        <v>42525</v>
      </c>
    </row>
    <row r="400" spans="1:5" x14ac:dyDescent="0.25">
      <c r="A400">
        <v>8166018</v>
      </c>
      <c r="B400">
        <v>26407894</v>
      </c>
      <c r="C400" s="1">
        <v>42521</v>
      </c>
      <c r="D400" s="2">
        <v>70129</v>
      </c>
      <c r="E400" s="1">
        <v>42526</v>
      </c>
    </row>
    <row r="401" spans="1:5" x14ac:dyDescent="0.25">
      <c r="A401">
        <v>8167985</v>
      </c>
      <c r="B401">
        <v>21128781</v>
      </c>
      <c r="C401" s="1">
        <v>42521</v>
      </c>
      <c r="D401" s="2">
        <v>154225</v>
      </c>
      <c r="E401" s="1">
        <v>42527</v>
      </c>
    </row>
    <row r="402" spans="1:5" x14ac:dyDescent="0.25">
      <c r="A402">
        <v>8168905</v>
      </c>
      <c r="B402">
        <v>27915388</v>
      </c>
      <c r="C402" s="1">
        <v>42521</v>
      </c>
      <c r="D402" s="2">
        <v>266325</v>
      </c>
      <c r="E402" s="1">
        <v>42528</v>
      </c>
    </row>
    <row r="403" spans="1:5" x14ac:dyDescent="0.25">
      <c r="A403">
        <v>8170036</v>
      </c>
      <c r="B403">
        <v>21447860</v>
      </c>
      <c r="C403" s="1">
        <v>42521</v>
      </c>
      <c r="D403" s="2">
        <v>91656</v>
      </c>
      <c r="E403" s="1">
        <v>42522</v>
      </c>
    </row>
    <row r="404" spans="1:5" x14ac:dyDescent="0.25">
      <c r="A404">
        <v>8172057</v>
      </c>
      <c r="B404">
        <v>26227202</v>
      </c>
      <c r="C404" s="1">
        <v>42521</v>
      </c>
      <c r="D404" s="2">
        <v>12281</v>
      </c>
      <c r="E404" s="1">
        <v>42523</v>
      </c>
    </row>
    <row r="405" spans="1:5" x14ac:dyDescent="0.25">
      <c r="A405">
        <v>8172935</v>
      </c>
      <c r="B405">
        <v>27864939</v>
      </c>
      <c r="C405" s="1">
        <v>42521</v>
      </c>
      <c r="D405" s="2">
        <v>92451</v>
      </c>
      <c r="E405" s="1">
        <v>42522</v>
      </c>
    </row>
    <row r="406" spans="1:5" x14ac:dyDescent="0.25">
      <c r="A406">
        <v>8175003</v>
      </c>
      <c r="B406">
        <v>11405813</v>
      </c>
      <c r="C406" s="1">
        <v>42521</v>
      </c>
      <c r="D406" s="2">
        <v>134045</v>
      </c>
      <c r="E406" s="1">
        <v>42523</v>
      </c>
    </row>
    <row r="407" spans="1:5" x14ac:dyDescent="0.25">
      <c r="A407">
        <v>8241793</v>
      </c>
      <c r="B407">
        <v>25338590</v>
      </c>
      <c r="C407" s="1">
        <v>42521</v>
      </c>
      <c r="D407" s="2">
        <v>178447</v>
      </c>
      <c r="E407" s="1">
        <v>42524</v>
      </c>
    </row>
    <row r="408" spans="1:5" x14ac:dyDescent="0.25">
      <c r="A408">
        <v>8259637</v>
      </c>
      <c r="B408">
        <v>22944995</v>
      </c>
      <c r="C408" s="1">
        <v>42521</v>
      </c>
      <c r="D408" s="2">
        <v>102265</v>
      </c>
      <c r="E408" s="1">
        <v>42525</v>
      </c>
    </row>
    <row r="409" spans="1:5" x14ac:dyDescent="0.25">
      <c r="A409">
        <v>8260654</v>
      </c>
      <c r="B409">
        <v>25097727</v>
      </c>
      <c r="C409" s="1">
        <v>42521</v>
      </c>
      <c r="D409" s="2">
        <v>409175</v>
      </c>
      <c r="E409" s="1">
        <v>42526</v>
      </c>
    </row>
    <row r="410" spans="1:5" x14ac:dyDescent="0.25">
      <c r="A410">
        <v>8290882</v>
      </c>
      <c r="B410">
        <v>23606029</v>
      </c>
      <c r="C410" s="1">
        <v>42521</v>
      </c>
      <c r="D410" s="2">
        <v>239524</v>
      </c>
      <c r="E410" s="1">
        <v>42527</v>
      </c>
    </row>
    <row r="411" spans="1:5" x14ac:dyDescent="0.25">
      <c r="A411">
        <v>8291467</v>
      </c>
      <c r="B411">
        <v>27243058</v>
      </c>
      <c r="C411" s="1">
        <v>42521</v>
      </c>
      <c r="D411" s="2">
        <v>45624</v>
      </c>
      <c r="E411" s="1">
        <v>42528</v>
      </c>
    </row>
    <row r="412" spans="1:5" x14ac:dyDescent="0.25">
      <c r="A412">
        <v>8291748</v>
      </c>
      <c r="B412">
        <v>26162028</v>
      </c>
      <c r="C412" s="1">
        <v>42521</v>
      </c>
      <c r="D412" s="2">
        <v>119200</v>
      </c>
      <c r="E412" s="1">
        <v>42522</v>
      </c>
    </row>
    <row r="413" spans="1:5" x14ac:dyDescent="0.25">
      <c r="A413">
        <v>8292902</v>
      </c>
      <c r="B413">
        <v>27040978</v>
      </c>
      <c r="C413" s="1">
        <v>42521</v>
      </c>
      <c r="D413" s="2">
        <v>76736</v>
      </c>
      <c r="E413" s="1">
        <v>42523</v>
      </c>
    </row>
    <row r="414" spans="1:5" x14ac:dyDescent="0.25">
      <c r="A414">
        <v>8293546</v>
      </c>
      <c r="B414">
        <v>21634560</v>
      </c>
      <c r="C414" s="1">
        <v>42521</v>
      </c>
      <c r="D414" s="2">
        <v>102842</v>
      </c>
      <c r="E414" s="1">
        <v>42522</v>
      </c>
    </row>
    <row r="415" spans="1:5" x14ac:dyDescent="0.25">
      <c r="A415">
        <v>8357227</v>
      </c>
      <c r="B415">
        <v>26369502</v>
      </c>
      <c r="C415" s="1">
        <v>42521</v>
      </c>
      <c r="D415" s="2">
        <v>164287</v>
      </c>
      <c r="E415" s="1">
        <v>42523</v>
      </c>
    </row>
    <row r="416" spans="1:5" x14ac:dyDescent="0.25">
      <c r="A416">
        <v>8369921</v>
      </c>
      <c r="B416">
        <v>18804236</v>
      </c>
      <c r="C416" s="1">
        <v>42521</v>
      </c>
      <c r="D416" s="2">
        <v>48927</v>
      </c>
      <c r="E416" s="1">
        <v>42524</v>
      </c>
    </row>
    <row r="417" spans="1:5" x14ac:dyDescent="0.25">
      <c r="A417">
        <v>8371020</v>
      </c>
      <c r="B417">
        <v>26228993</v>
      </c>
      <c r="C417" s="1">
        <v>42521</v>
      </c>
      <c r="D417" s="2">
        <v>272465</v>
      </c>
      <c r="E417" s="1">
        <v>42525</v>
      </c>
    </row>
    <row r="418" spans="1:5" x14ac:dyDescent="0.25">
      <c r="A418">
        <v>8373922</v>
      </c>
      <c r="B418">
        <v>15451183</v>
      </c>
      <c r="C418" s="1">
        <v>42521</v>
      </c>
      <c r="D418" s="2">
        <v>117938</v>
      </c>
      <c r="E418" s="1">
        <v>42526</v>
      </c>
    </row>
    <row r="419" spans="1:5" x14ac:dyDescent="0.25">
      <c r="A419">
        <v>8376469</v>
      </c>
      <c r="B419">
        <v>27404462</v>
      </c>
      <c r="C419" s="1">
        <v>42521</v>
      </c>
      <c r="D419" s="2">
        <v>27236</v>
      </c>
      <c r="E419" s="1">
        <v>42527</v>
      </c>
    </row>
    <row r="420" spans="1:5" x14ac:dyDescent="0.25">
      <c r="A420">
        <v>8377729</v>
      </c>
      <c r="B420">
        <v>21626178</v>
      </c>
      <c r="C420" s="1">
        <v>42521</v>
      </c>
      <c r="D420" s="2">
        <v>3902</v>
      </c>
      <c r="E420" s="1">
        <v>42528</v>
      </c>
    </row>
    <row r="421" spans="1:5" x14ac:dyDescent="0.25">
      <c r="A421">
        <v>8379238</v>
      </c>
      <c r="B421">
        <v>27262178</v>
      </c>
      <c r="C421" s="1">
        <v>42521</v>
      </c>
      <c r="D421" s="2">
        <v>88299</v>
      </c>
      <c r="E421" s="1">
        <v>42522</v>
      </c>
    </row>
    <row r="422" spans="1:5" x14ac:dyDescent="0.25">
      <c r="A422">
        <v>8470835</v>
      </c>
      <c r="B422">
        <v>27193657</v>
      </c>
      <c r="C422" s="1">
        <v>42521</v>
      </c>
      <c r="D422" s="2">
        <v>8263</v>
      </c>
      <c r="E422" s="1">
        <v>42523</v>
      </c>
    </row>
    <row r="423" spans="1:5" x14ac:dyDescent="0.25">
      <c r="A423">
        <v>8487669</v>
      </c>
      <c r="B423">
        <v>24385491</v>
      </c>
      <c r="C423" s="1">
        <v>42521</v>
      </c>
      <c r="D423" s="2">
        <v>242146</v>
      </c>
      <c r="E423" s="1">
        <v>42522</v>
      </c>
    </row>
    <row r="424" spans="1:5" x14ac:dyDescent="0.25">
      <c r="A424">
        <v>8490839</v>
      </c>
      <c r="B424">
        <v>19557175</v>
      </c>
      <c r="C424" s="1">
        <v>42521</v>
      </c>
      <c r="D424" s="2">
        <v>63489</v>
      </c>
      <c r="E424" s="1">
        <v>42523</v>
      </c>
    </row>
    <row r="425" spans="1:5" x14ac:dyDescent="0.25">
      <c r="A425">
        <v>8519500</v>
      </c>
      <c r="B425">
        <v>16702203</v>
      </c>
      <c r="C425" s="1">
        <v>42521</v>
      </c>
      <c r="D425" s="2">
        <v>125286</v>
      </c>
      <c r="E425" s="1">
        <v>42524</v>
      </c>
    </row>
    <row r="426" spans="1:5" x14ac:dyDescent="0.25">
      <c r="A426">
        <v>8521432</v>
      </c>
      <c r="B426">
        <v>25258052</v>
      </c>
      <c r="C426" s="1">
        <v>42521</v>
      </c>
      <c r="D426" s="2">
        <v>126587</v>
      </c>
      <c r="E426" s="1">
        <v>42525</v>
      </c>
    </row>
    <row r="427" spans="1:5" x14ac:dyDescent="0.25">
      <c r="A427">
        <v>8522309</v>
      </c>
      <c r="B427">
        <v>27447199</v>
      </c>
      <c r="C427" s="1">
        <v>42521</v>
      </c>
      <c r="D427" s="2">
        <v>226270</v>
      </c>
      <c r="E427" s="1">
        <v>42526</v>
      </c>
    </row>
    <row r="428" spans="1:5" x14ac:dyDescent="0.25">
      <c r="A428">
        <v>8524847</v>
      </c>
      <c r="B428">
        <v>22738834</v>
      </c>
      <c r="C428" s="1">
        <v>42521</v>
      </c>
      <c r="D428" s="2">
        <v>269093</v>
      </c>
      <c r="E428" s="1">
        <v>42527</v>
      </c>
    </row>
    <row r="429" spans="1:5" x14ac:dyDescent="0.25">
      <c r="A429">
        <v>8550513</v>
      </c>
      <c r="B429">
        <v>12130935</v>
      </c>
      <c r="C429" s="1">
        <v>42521</v>
      </c>
      <c r="D429" s="2">
        <v>521974</v>
      </c>
      <c r="E429" s="1">
        <v>42528</v>
      </c>
    </row>
    <row r="430" spans="1:5" x14ac:dyDescent="0.25">
      <c r="A430">
        <v>8552479</v>
      </c>
      <c r="B430">
        <v>25963393</v>
      </c>
      <c r="C430" s="1">
        <v>42521</v>
      </c>
      <c r="D430" s="2">
        <v>19516</v>
      </c>
      <c r="E430" s="1">
        <v>42522</v>
      </c>
    </row>
    <row r="431" spans="1:5" x14ac:dyDescent="0.25">
      <c r="A431">
        <v>8555868</v>
      </c>
      <c r="B431">
        <v>10788626</v>
      </c>
      <c r="C431" s="1">
        <v>42521</v>
      </c>
      <c r="D431" s="2">
        <v>7806</v>
      </c>
      <c r="E431" s="1">
        <v>42523</v>
      </c>
    </row>
    <row r="432" spans="1:5" x14ac:dyDescent="0.25">
      <c r="A432">
        <v>8556668</v>
      </c>
      <c r="B432">
        <v>23262163</v>
      </c>
      <c r="C432" s="1">
        <v>42521</v>
      </c>
      <c r="D432" s="2">
        <v>78256</v>
      </c>
      <c r="E432" s="1">
        <v>42524</v>
      </c>
    </row>
    <row r="433" spans="1:5" x14ac:dyDescent="0.25">
      <c r="A433">
        <v>8558072</v>
      </c>
      <c r="B433">
        <v>4392423</v>
      </c>
      <c r="C433" s="1">
        <v>42521</v>
      </c>
      <c r="D433" s="2">
        <v>36158</v>
      </c>
      <c r="E433" s="1">
        <v>42525</v>
      </c>
    </row>
    <row r="434" spans="1:5" x14ac:dyDescent="0.25">
      <c r="A434">
        <v>8290119</v>
      </c>
      <c r="B434">
        <v>27817138</v>
      </c>
      <c r="C434" s="1">
        <v>42522</v>
      </c>
      <c r="D434" s="2">
        <v>9206994</v>
      </c>
      <c r="E434" s="1">
        <v>42523</v>
      </c>
    </row>
    <row r="435" spans="1:5" x14ac:dyDescent="0.25">
      <c r="A435">
        <v>8490841</v>
      </c>
      <c r="B435">
        <v>19490815</v>
      </c>
      <c r="C435" s="1">
        <v>42522</v>
      </c>
      <c r="D435" s="2">
        <v>2267242</v>
      </c>
      <c r="E435" s="1">
        <v>42524</v>
      </c>
    </row>
    <row r="436" spans="1:5" x14ac:dyDescent="0.25">
      <c r="A436">
        <v>8168200</v>
      </c>
      <c r="B436">
        <v>24390372</v>
      </c>
      <c r="C436" s="1">
        <v>42522</v>
      </c>
      <c r="D436" s="2">
        <v>156191</v>
      </c>
      <c r="E436" s="1">
        <v>42523</v>
      </c>
    </row>
    <row r="437" spans="1:5" x14ac:dyDescent="0.25">
      <c r="A437">
        <v>8263672</v>
      </c>
      <c r="B437">
        <v>20692962</v>
      </c>
      <c r="C437" s="1">
        <v>42522</v>
      </c>
      <c r="D437" s="2">
        <v>125819</v>
      </c>
      <c r="E437" s="1">
        <v>42524</v>
      </c>
    </row>
    <row r="438" spans="1:5" x14ac:dyDescent="0.25">
      <c r="A438">
        <v>8293793</v>
      </c>
      <c r="B438">
        <v>27730431</v>
      </c>
      <c r="C438" s="1">
        <v>42522</v>
      </c>
      <c r="D438" s="2">
        <v>77087</v>
      </c>
      <c r="E438" s="1">
        <v>42523</v>
      </c>
    </row>
    <row r="439" spans="1:5" x14ac:dyDescent="0.25">
      <c r="A439">
        <v>8368568</v>
      </c>
      <c r="B439">
        <v>23353967</v>
      </c>
      <c r="C439" s="1">
        <v>42522</v>
      </c>
      <c r="D439" s="2">
        <v>98473</v>
      </c>
      <c r="E439" s="1">
        <v>42524</v>
      </c>
    </row>
    <row r="440" spans="1:5" x14ac:dyDescent="0.25">
      <c r="A440">
        <v>8470894</v>
      </c>
      <c r="B440">
        <v>24320598</v>
      </c>
      <c r="C440" s="1">
        <v>42522</v>
      </c>
      <c r="D440" s="2">
        <v>23571</v>
      </c>
      <c r="E440" s="1">
        <v>42523</v>
      </c>
    </row>
    <row r="441" spans="1:5" x14ac:dyDescent="0.25">
      <c r="A441">
        <v>8491006</v>
      </c>
      <c r="B441">
        <v>24075863</v>
      </c>
      <c r="C441" s="1">
        <v>42522</v>
      </c>
      <c r="D441" s="2">
        <v>78658</v>
      </c>
      <c r="E441" s="1">
        <v>42524</v>
      </c>
    </row>
    <row r="442" spans="1:5" x14ac:dyDescent="0.25">
      <c r="A442">
        <v>8553292</v>
      </c>
      <c r="B442">
        <v>26038478</v>
      </c>
      <c r="C442" s="1">
        <v>42522</v>
      </c>
      <c r="D442" s="2">
        <v>803</v>
      </c>
      <c r="E442" s="1">
        <v>42523</v>
      </c>
    </row>
    <row r="443" spans="1:5" x14ac:dyDescent="0.25">
      <c r="A443">
        <v>8184681</v>
      </c>
      <c r="B443">
        <v>21188298</v>
      </c>
      <c r="C443" s="1">
        <v>42522</v>
      </c>
      <c r="D443" s="2">
        <v>65115</v>
      </c>
      <c r="E443" s="1">
        <v>42524</v>
      </c>
    </row>
    <row r="444" spans="1:5" x14ac:dyDescent="0.25">
      <c r="A444">
        <v>8261611</v>
      </c>
      <c r="B444">
        <v>26389240</v>
      </c>
      <c r="C444" s="1">
        <v>42522</v>
      </c>
      <c r="D444" s="2">
        <v>133727</v>
      </c>
      <c r="E444" s="1">
        <v>42523</v>
      </c>
    </row>
    <row r="445" spans="1:5" x14ac:dyDescent="0.25">
      <c r="A445">
        <v>8290119</v>
      </c>
      <c r="B445">
        <v>27571222</v>
      </c>
      <c r="C445" s="1">
        <v>42522</v>
      </c>
      <c r="D445" s="2">
        <v>868343</v>
      </c>
      <c r="E445" s="1">
        <v>42524</v>
      </c>
    </row>
    <row r="446" spans="1:5" x14ac:dyDescent="0.25">
      <c r="A446">
        <v>8371487</v>
      </c>
      <c r="B446">
        <v>14446684</v>
      </c>
      <c r="C446" s="1">
        <v>42522</v>
      </c>
      <c r="D446" s="2">
        <v>206599</v>
      </c>
      <c r="E446" s="1">
        <v>42523</v>
      </c>
    </row>
    <row r="447" spans="1:5" x14ac:dyDescent="0.25">
      <c r="A447">
        <v>8466082</v>
      </c>
      <c r="B447">
        <v>21029378</v>
      </c>
      <c r="C447" s="1">
        <v>42522</v>
      </c>
      <c r="D447" s="2">
        <v>552834</v>
      </c>
      <c r="E447" s="1">
        <v>42524</v>
      </c>
    </row>
    <row r="448" spans="1:5" x14ac:dyDescent="0.25">
      <c r="A448">
        <v>8489935</v>
      </c>
      <c r="B448">
        <v>21568705</v>
      </c>
      <c r="C448" s="1">
        <v>42522</v>
      </c>
      <c r="D448" s="2">
        <v>63829</v>
      </c>
      <c r="E448" s="1">
        <v>42523</v>
      </c>
    </row>
    <row r="449" spans="1:5" x14ac:dyDescent="0.25">
      <c r="A449">
        <v>8555181</v>
      </c>
      <c r="B449">
        <v>28267368</v>
      </c>
      <c r="C449" s="1">
        <v>42522</v>
      </c>
      <c r="D449" s="2">
        <v>296881</v>
      </c>
      <c r="E449" s="1">
        <v>42524</v>
      </c>
    </row>
    <row r="450" spans="1:5" x14ac:dyDescent="0.25">
      <c r="A450">
        <v>8173554</v>
      </c>
      <c r="B450">
        <v>28584103</v>
      </c>
      <c r="C450" s="1">
        <v>42523</v>
      </c>
      <c r="D450" s="2">
        <v>1089535</v>
      </c>
      <c r="E450" s="1">
        <v>42524</v>
      </c>
    </row>
    <row r="451" spans="1:5" x14ac:dyDescent="0.25">
      <c r="A451">
        <v>8558545</v>
      </c>
      <c r="B451">
        <v>28583662</v>
      </c>
      <c r="C451" s="1">
        <v>42523</v>
      </c>
      <c r="D451" s="2">
        <v>1066840</v>
      </c>
      <c r="E451" s="1">
        <v>42525</v>
      </c>
    </row>
    <row r="452" spans="1:5" x14ac:dyDescent="0.25">
      <c r="A452">
        <v>8120848</v>
      </c>
      <c r="B452">
        <v>28586063</v>
      </c>
      <c r="C452" s="1">
        <v>42523</v>
      </c>
      <c r="D452" s="2">
        <v>151898</v>
      </c>
      <c r="E452" s="1">
        <v>42524</v>
      </c>
    </row>
    <row r="453" spans="1:5" x14ac:dyDescent="0.25">
      <c r="A453">
        <v>8188190</v>
      </c>
      <c r="B453">
        <v>22079343</v>
      </c>
      <c r="C453" s="1">
        <v>42523</v>
      </c>
      <c r="D453" s="2">
        <v>709693</v>
      </c>
      <c r="E453" s="1">
        <v>42525</v>
      </c>
    </row>
    <row r="454" spans="1:5" x14ac:dyDescent="0.25">
      <c r="A454">
        <v>8293244</v>
      </c>
      <c r="B454">
        <v>19738680</v>
      </c>
      <c r="C454" s="1">
        <v>42523</v>
      </c>
      <c r="D454" s="2">
        <v>44121</v>
      </c>
      <c r="E454" s="1">
        <v>42524</v>
      </c>
    </row>
    <row r="455" spans="1:5" x14ac:dyDescent="0.25">
      <c r="A455">
        <v>8381475</v>
      </c>
      <c r="B455">
        <v>28582935</v>
      </c>
      <c r="C455" s="1">
        <v>42523</v>
      </c>
      <c r="D455" s="2">
        <v>489829</v>
      </c>
      <c r="E455" s="1">
        <v>42525</v>
      </c>
    </row>
    <row r="456" spans="1:5" x14ac:dyDescent="0.25">
      <c r="A456">
        <v>8120773</v>
      </c>
      <c r="B456">
        <v>19003063</v>
      </c>
      <c r="C456" s="1">
        <v>42523</v>
      </c>
      <c r="D456" s="2">
        <v>269289</v>
      </c>
      <c r="E456" s="1">
        <v>42524</v>
      </c>
    </row>
    <row r="457" spans="1:5" x14ac:dyDescent="0.25">
      <c r="A457">
        <v>8165995</v>
      </c>
      <c r="B457">
        <v>28584115</v>
      </c>
      <c r="C457" s="1">
        <v>42523</v>
      </c>
      <c r="D457" s="2">
        <v>623889</v>
      </c>
      <c r="E457" s="1">
        <v>42525</v>
      </c>
    </row>
    <row r="458" spans="1:5" x14ac:dyDescent="0.25">
      <c r="A458">
        <v>8316522</v>
      </c>
      <c r="B458">
        <v>25377657</v>
      </c>
      <c r="C458" s="1">
        <v>42523</v>
      </c>
      <c r="D458" s="2">
        <v>254533</v>
      </c>
      <c r="E458" s="1">
        <v>42524</v>
      </c>
    </row>
    <row r="459" spans="1:5" x14ac:dyDescent="0.25">
      <c r="A459">
        <v>8375436</v>
      </c>
      <c r="B459">
        <v>28584174</v>
      </c>
      <c r="C459" s="1">
        <v>42523</v>
      </c>
      <c r="D459" s="2">
        <v>48193</v>
      </c>
      <c r="E459" s="1">
        <v>42525</v>
      </c>
    </row>
    <row r="460" spans="1:5" x14ac:dyDescent="0.25">
      <c r="A460">
        <v>8556391</v>
      </c>
      <c r="B460">
        <v>28582736</v>
      </c>
      <c r="C460" s="1">
        <v>42523</v>
      </c>
      <c r="D460" s="2">
        <v>259560</v>
      </c>
      <c r="E460" s="1">
        <v>42524</v>
      </c>
    </row>
    <row r="461" spans="1:5" x14ac:dyDescent="0.25">
      <c r="A461">
        <v>8381475</v>
      </c>
      <c r="B461">
        <v>14190251</v>
      </c>
      <c r="C461" s="1">
        <v>42524</v>
      </c>
      <c r="D461" s="2">
        <v>2922025</v>
      </c>
      <c r="E461" s="1">
        <v>42525</v>
      </c>
    </row>
    <row r="462" spans="1:5" x14ac:dyDescent="0.25">
      <c r="A462">
        <v>8120613</v>
      </c>
      <c r="B462">
        <v>15453603</v>
      </c>
      <c r="C462" s="1">
        <v>42524</v>
      </c>
      <c r="D462" s="2">
        <v>721638</v>
      </c>
      <c r="E462" s="1">
        <v>42525</v>
      </c>
    </row>
    <row r="463" spans="1:5" x14ac:dyDescent="0.25">
      <c r="A463">
        <v>8168429</v>
      </c>
      <c r="B463">
        <v>28586542</v>
      </c>
      <c r="C463" s="1">
        <v>42524</v>
      </c>
      <c r="D463" s="2">
        <v>31055</v>
      </c>
      <c r="E463" s="1">
        <v>42526</v>
      </c>
    </row>
    <row r="464" spans="1:5" x14ac:dyDescent="0.25">
      <c r="A464">
        <v>8293299</v>
      </c>
      <c r="B464">
        <v>27039509</v>
      </c>
      <c r="C464" s="1">
        <v>42524</v>
      </c>
      <c r="D464" s="2">
        <v>131596</v>
      </c>
      <c r="E464" s="1">
        <v>42525</v>
      </c>
    </row>
    <row r="465" spans="1:5" x14ac:dyDescent="0.25">
      <c r="A465">
        <v>8383131</v>
      </c>
      <c r="B465">
        <v>28586777</v>
      </c>
      <c r="C465" s="1">
        <v>42524</v>
      </c>
      <c r="D465" s="2">
        <v>107828</v>
      </c>
      <c r="E465" s="1">
        <v>42526</v>
      </c>
    </row>
    <row r="466" spans="1:5" x14ac:dyDescent="0.25">
      <c r="A466">
        <v>8430812</v>
      </c>
      <c r="B466">
        <v>28586366</v>
      </c>
      <c r="C466" s="1">
        <v>42524</v>
      </c>
      <c r="D466" s="2">
        <v>44485</v>
      </c>
      <c r="E466" s="1">
        <v>42525</v>
      </c>
    </row>
    <row r="467" spans="1:5" x14ac:dyDescent="0.25">
      <c r="A467">
        <v>8552858</v>
      </c>
      <c r="B467">
        <v>28584622</v>
      </c>
      <c r="C467" s="1">
        <v>42524</v>
      </c>
      <c r="D467" s="2">
        <v>112226</v>
      </c>
      <c r="E467" s="1">
        <v>42526</v>
      </c>
    </row>
    <row r="468" spans="1:5" x14ac:dyDescent="0.25">
      <c r="A468">
        <v>8175521</v>
      </c>
      <c r="B468">
        <v>28584078</v>
      </c>
      <c r="C468" s="1">
        <v>42524</v>
      </c>
      <c r="D468" s="2">
        <v>82164</v>
      </c>
      <c r="E468" s="1">
        <v>42525</v>
      </c>
    </row>
    <row r="469" spans="1:5" x14ac:dyDescent="0.25">
      <c r="A469">
        <v>8293153</v>
      </c>
      <c r="B469">
        <v>28586833</v>
      </c>
      <c r="C469" s="1">
        <v>42524</v>
      </c>
      <c r="D469" s="2">
        <v>283258</v>
      </c>
      <c r="E469" s="1">
        <v>42526</v>
      </c>
    </row>
    <row r="470" spans="1:5" x14ac:dyDescent="0.25">
      <c r="A470">
        <v>8377292</v>
      </c>
      <c r="B470">
        <v>26246020</v>
      </c>
      <c r="C470" s="1">
        <v>42524</v>
      </c>
      <c r="D470" s="2">
        <v>369898</v>
      </c>
      <c r="E470" s="1">
        <v>42525</v>
      </c>
    </row>
    <row r="471" spans="1:5" x14ac:dyDescent="0.25">
      <c r="A471">
        <v>8444004</v>
      </c>
      <c r="B471">
        <v>2718004</v>
      </c>
      <c r="C471" s="1">
        <v>42524</v>
      </c>
      <c r="D471" s="2">
        <v>351957</v>
      </c>
      <c r="E471" s="1">
        <v>42526</v>
      </c>
    </row>
    <row r="472" spans="1:5" x14ac:dyDescent="0.25">
      <c r="A472">
        <v>8550484</v>
      </c>
      <c r="B472">
        <v>26911994</v>
      </c>
      <c r="C472" s="1">
        <v>42524</v>
      </c>
      <c r="D472" s="2">
        <v>585663</v>
      </c>
      <c r="E472" s="1">
        <v>42525</v>
      </c>
    </row>
    <row r="473" spans="1:5" x14ac:dyDescent="0.25">
      <c r="A473">
        <v>8558545</v>
      </c>
      <c r="B473">
        <v>23658040</v>
      </c>
      <c r="C473" s="1">
        <v>42524</v>
      </c>
      <c r="D473" s="2">
        <v>538676</v>
      </c>
      <c r="E473" s="1">
        <v>42526</v>
      </c>
    </row>
    <row r="474" spans="1:5" x14ac:dyDescent="0.25">
      <c r="A474">
        <v>8160623</v>
      </c>
      <c r="B474">
        <v>21313010</v>
      </c>
      <c r="C474" s="1">
        <v>42528</v>
      </c>
      <c r="D474" s="2">
        <v>2290843</v>
      </c>
      <c r="E474" s="1">
        <v>42529</v>
      </c>
    </row>
    <row r="475" spans="1:5" x14ac:dyDescent="0.25">
      <c r="A475">
        <v>8160623</v>
      </c>
      <c r="B475">
        <v>27645067</v>
      </c>
      <c r="C475" s="1">
        <v>42528</v>
      </c>
      <c r="D475" s="2">
        <v>165641</v>
      </c>
      <c r="E475" s="1">
        <v>42530</v>
      </c>
    </row>
    <row r="476" spans="1:5" x14ac:dyDescent="0.25">
      <c r="A476">
        <v>8293546</v>
      </c>
      <c r="B476">
        <v>26029145</v>
      </c>
      <c r="C476" s="1">
        <v>42529</v>
      </c>
      <c r="D476" s="2">
        <v>12869495</v>
      </c>
      <c r="E476" s="1">
        <v>42530</v>
      </c>
    </row>
    <row r="477" spans="1:5" x14ac:dyDescent="0.25">
      <c r="A477">
        <v>8165993</v>
      </c>
      <c r="B477">
        <v>4366591</v>
      </c>
      <c r="C477" s="1">
        <v>42529</v>
      </c>
      <c r="D477" s="2">
        <v>221480</v>
      </c>
      <c r="E477" s="1">
        <v>42531</v>
      </c>
    </row>
    <row r="478" spans="1:5" x14ac:dyDescent="0.25">
      <c r="A478">
        <v>8172884</v>
      </c>
      <c r="B478">
        <v>21348233</v>
      </c>
      <c r="C478" s="1">
        <v>42529</v>
      </c>
      <c r="D478" s="2">
        <v>43082</v>
      </c>
      <c r="E478" s="1">
        <v>42530</v>
      </c>
    </row>
    <row r="479" spans="1:5" x14ac:dyDescent="0.25">
      <c r="A479">
        <v>8381369</v>
      </c>
      <c r="B479">
        <v>18458736</v>
      </c>
      <c r="C479" s="1">
        <v>42529</v>
      </c>
      <c r="D479" s="2">
        <v>313807</v>
      </c>
      <c r="E479" s="1">
        <v>42531</v>
      </c>
    </row>
    <row r="480" spans="1:5" x14ac:dyDescent="0.25">
      <c r="A480">
        <v>8381369</v>
      </c>
      <c r="B480">
        <v>25783645</v>
      </c>
      <c r="C480" s="1">
        <v>42529</v>
      </c>
      <c r="D480" s="2">
        <v>73454</v>
      </c>
      <c r="E480" s="1">
        <v>42530</v>
      </c>
    </row>
    <row r="481" spans="1:5" x14ac:dyDescent="0.25">
      <c r="A481">
        <v>8549511</v>
      </c>
      <c r="B481">
        <v>15077029</v>
      </c>
      <c r="C481" s="1">
        <v>42529</v>
      </c>
      <c r="D481" s="2">
        <v>185240</v>
      </c>
      <c r="E481" s="1">
        <v>42531</v>
      </c>
    </row>
    <row r="482" spans="1:5" x14ac:dyDescent="0.25">
      <c r="A482">
        <v>8170382</v>
      </c>
      <c r="B482">
        <v>26499265</v>
      </c>
      <c r="C482" s="1">
        <v>42529</v>
      </c>
      <c r="D482" s="2">
        <v>389043</v>
      </c>
      <c r="E482" s="1">
        <v>42530</v>
      </c>
    </row>
    <row r="483" spans="1:5" x14ac:dyDescent="0.25">
      <c r="A483">
        <v>8171572</v>
      </c>
      <c r="B483">
        <v>27858009</v>
      </c>
      <c r="C483" s="1">
        <v>42529</v>
      </c>
      <c r="D483" s="2">
        <v>1782848</v>
      </c>
      <c r="E483" s="1">
        <v>42531</v>
      </c>
    </row>
    <row r="484" spans="1:5" x14ac:dyDescent="0.25">
      <c r="A484">
        <v>8290811</v>
      </c>
      <c r="B484">
        <v>22295364</v>
      </c>
      <c r="C484" s="1">
        <v>42529</v>
      </c>
      <c r="D484" s="2">
        <v>646898</v>
      </c>
      <c r="E484" s="1">
        <v>42530</v>
      </c>
    </row>
    <row r="485" spans="1:5" x14ac:dyDescent="0.25">
      <c r="A485">
        <v>8381369</v>
      </c>
      <c r="B485">
        <v>26266777</v>
      </c>
      <c r="C485" s="1">
        <v>42529</v>
      </c>
      <c r="D485" s="2">
        <v>81748</v>
      </c>
      <c r="E485" s="1">
        <v>42531</v>
      </c>
    </row>
    <row r="486" spans="1:5" x14ac:dyDescent="0.25">
      <c r="A486">
        <v>8488549</v>
      </c>
      <c r="B486">
        <v>26419172</v>
      </c>
      <c r="C486" s="1">
        <v>42529</v>
      </c>
      <c r="D486" s="2">
        <v>11709</v>
      </c>
      <c r="E486" s="1">
        <v>42530</v>
      </c>
    </row>
    <row r="487" spans="1:5" x14ac:dyDescent="0.25">
      <c r="E487" s="1"/>
    </row>
  </sheetData>
  <autoFilter ref="A1:C486" xr:uid="{00000000-0009-0000-0000-000002000000}"/>
  <sortState xmlns:xlrd2="http://schemas.microsoft.com/office/spreadsheetml/2017/richdata2" ref="A2:D486">
    <sortCondition ref="C2:C486"/>
  </sortState>
  <pageMargins left="0.7" right="0.7" top="0.75" bottom="0.75" header="0.3" footer="0.3"/>
  <pageSetup orientation="portrait" verticalDpi="599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G971"/>
  <sheetViews>
    <sheetView workbookViewId="0">
      <selection activeCell="G1" sqref="G1"/>
    </sheetView>
  </sheetViews>
  <sheetFormatPr baseColWidth="10" defaultRowHeight="15" x14ac:dyDescent="0.25"/>
  <sheetData>
    <row r="1" spans="1:7" x14ac:dyDescent="0.25">
      <c r="A1" t="s">
        <v>0</v>
      </c>
      <c r="B1" t="s">
        <v>15</v>
      </c>
      <c r="C1" t="s">
        <v>2</v>
      </c>
      <c r="D1" t="s">
        <v>1</v>
      </c>
      <c r="E1" t="s">
        <v>23</v>
      </c>
      <c r="F1" t="s">
        <v>22</v>
      </c>
      <c r="G1" t="s">
        <v>42</v>
      </c>
    </row>
    <row r="2" spans="1:7" x14ac:dyDescent="0.25">
      <c r="A2">
        <v>8159304</v>
      </c>
      <c r="B2" t="s">
        <v>18</v>
      </c>
      <c r="C2">
        <v>25008009</v>
      </c>
      <c r="D2" t="s">
        <v>7</v>
      </c>
      <c r="E2" s="2">
        <v>789051</v>
      </c>
      <c r="F2" s="2">
        <v>132</v>
      </c>
      <c r="G2">
        <v>1</v>
      </c>
    </row>
    <row r="3" spans="1:7" x14ac:dyDescent="0.25">
      <c r="A3">
        <v>8143941</v>
      </c>
      <c r="B3" t="s">
        <v>17</v>
      </c>
      <c r="C3">
        <v>28177048</v>
      </c>
      <c r="D3" t="s">
        <v>7</v>
      </c>
      <c r="E3" s="2">
        <v>537953</v>
      </c>
      <c r="F3" s="2">
        <v>208</v>
      </c>
      <c r="G3">
        <v>0</v>
      </c>
    </row>
    <row r="4" spans="1:7" x14ac:dyDescent="0.25">
      <c r="A4">
        <v>8553292</v>
      </c>
      <c r="B4" t="s">
        <v>18</v>
      </c>
      <c r="C4">
        <v>26038478</v>
      </c>
      <c r="D4" t="s">
        <v>7</v>
      </c>
      <c r="E4" s="2">
        <v>450302</v>
      </c>
      <c r="F4" s="2">
        <v>1605</v>
      </c>
      <c r="G4">
        <v>1</v>
      </c>
    </row>
    <row r="5" spans="1:7" x14ac:dyDescent="0.25">
      <c r="A5">
        <v>8148012</v>
      </c>
      <c r="B5" t="s">
        <v>18</v>
      </c>
      <c r="C5">
        <v>26918957</v>
      </c>
      <c r="D5" t="s">
        <v>7</v>
      </c>
      <c r="E5" s="2">
        <v>1745</v>
      </c>
      <c r="F5" s="2">
        <v>1985</v>
      </c>
      <c r="G5">
        <v>29</v>
      </c>
    </row>
    <row r="6" spans="1:7" x14ac:dyDescent="0.25">
      <c r="A6">
        <v>8490699</v>
      </c>
      <c r="B6" t="s">
        <v>18</v>
      </c>
      <c r="C6">
        <v>18460872</v>
      </c>
      <c r="D6" t="s">
        <v>7</v>
      </c>
      <c r="E6" s="2">
        <v>1254381</v>
      </c>
      <c r="F6" s="2">
        <v>3309</v>
      </c>
      <c r="G6">
        <v>30</v>
      </c>
    </row>
    <row r="7" spans="1:7" x14ac:dyDescent="0.25">
      <c r="A7">
        <v>8149873</v>
      </c>
      <c r="B7" t="s">
        <v>18</v>
      </c>
      <c r="C7">
        <v>21128782</v>
      </c>
      <c r="D7" t="s">
        <v>7</v>
      </c>
      <c r="E7" s="2">
        <v>838275</v>
      </c>
      <c r="F7" s="2">
        <v>7806</v>
      </c>
      <c r="G7">
        <v>30</v>
      </c>
    </row>
    <row r="8" spans="1:7" x14ac:dyDescent="0.25">
      <c r="A8">
        <v>8167005</v>
      </c>
      <c r="B8" t="s">
        <v>17</v>
      </c>
      <c r="C8">
        <v>25382403</v>
      </c>
      <c r="D8" t="s">
        <v>7</v>
      </c>
      <c r="E8" s="2">
        <v>645967</v>
      </c>
      <c r="F8" s="2">
        <v>7806</v>
      </c>
      <c r="G8">
        <v>30</v>
      </c>
    </row>
    <row r="9" spans="1:7" x14ac:dyDescent="0.25">
      <c r="A9">
        <v>8373802</v>
      </c>
      <c r="B9" t="s">
        <v>16</v>
      </c>
      <c r="C9">
        <v>27745139</v>
      </c>
      <c r="D9" t="s">
        <v>12</v>
      </c>
      <c r="E9" s="2">
        <v>273655</v>
      </c>
      <c r="F9" s="2">
        <v>9298</v>
      </c>
      <c r="G9">
        <v>29</v>
      </c>
    </row>
    <row r="10" spans="1:7" x14ac:dyDescent="0.25">
      <c r="A10">
        <v>8160956</v>
      </c>
      <c r="B10" t="s">
        <v>17</v>
      </c>
      <c r="C10">
        <v>21942759</v>
      </c>
      <c r="D10" t="s">
        <v>7</v>
      </c>
      <c r="E10" s="2">
        <v>1119968</v>
      </c>
      <c r="F10" s="2">
        <v>3429</v>
      </c>
      <c r="G10">
        <v>0</v>
      </c>
    </row>
    <row r="11" spans="1:7" x14ac:dyDescent="0.25">
      <c r="A11">
        <v>8294415</v>
      </c>
      <c r="B11" t="s">
        <v>16</v>
      </c>
      <c r="C11">
        <v>28151320</v>
      </c>
      <c r="D11" t="s">
        <v>12</v>
      </c>
      <c r="E11" s="2">
        <v>243511</v>
      </c>
      <c r="F11" s="2">
        <v>10851</v>
      </c>
      <c r="G11">
        <v>29</v>
      </c>
    </row>
    <row r="12" spans="1:7" x14ac:dyDescent="0.25">
      <c r="A12">
        <v>8556874</v>
      </c>
      <c r="B12" t="s">
        <v>18</v>
      </c>
      <c r="C12">
        <v>22431746</v>
      </c>
      <c r="D12" t="s">
        <v>7</v>
      </c>
      <c r="E12" s="2">
        <v>1286185</v>
      </c>
      <c r="F12" s="2">
        <v>7706</v>
      </c>
      <c r="G12">
        <v>1</v>
      </c>
    </row>
    <row r="13" spans="1:7" x14ac:dyDescent="0.25">
      <c r="A13">
        <v>8149873</v>
      </c>
      <c r="B13" t="s">
        <v>18</v>
      </c>
      <c r="C13">
        <v>21130021</v>
      </c>
      <c r="D13" t="s">
        <v>7</v>
      </c>
      <c r="E13" s="2">
        <v>853978</v>
      </c>
      <c r="F13" s="2">
        <v>3902</v>
      </c>
      <c r="G13">
        <v>0</v>
      </c>
    </row>
    <row r="14" spans="1:7" x14ac:dyDescent="0.25">
      <c r="A14">
        <v>8160956</v>
      </c>
      <c r="B14" t="s">
        <v>17</v>
      </c>
      <c r="C14">
        <v>21943359</v>
      </c>
      <c r="D14" t="s">
        <v>7</v>
      </c>
      <c r="E14" s="2">
        <v>1006389</v>
      </c>
      <c r="F14" s="2">
        <v>3902</v>
      </c>
      <c r="G14">
        <v>0</v>
      </c>
    </row>
    <row r="15" spans="1:7" x14ac:dyDescent="0.25">
      <c r="A15">
        <v>8377729</v>
      </c>
      <c r="B15" t="s">
        <v>17</v>
      </c>
      <c r="C15">
        <v>21626178</v>
      </c>
      <c r="D15" t="s">
        <v>7</v>
      </c>
      <c r="E15" s="2">
        <v>2961815</v>
      </c>
      <c r="F15" s="2">
        <v>3902</v>
      </c>
      <c r="G15">
        <v>0</v>
      </c>
    </row>
    <row r="16" spans="1:7" x14ac:dyDescent="0.25">
      <c r="A16">
        <v>8167784</v>
      </c>
      <c r="B16" t="s">
        <v>18</v>
      </c>
      <c r="C16">
        <v>21647828</v>
      </c>
      <c r="D16" t="s">
        <v>7</v>
      </c>
      <c r="E16" s="2">
        <v>20648</v>
      </c>
      <c r="F16" s="2">
        <v>16068</v>
      </c>
      <c r="G16">
        <v>30</v>
      </c>
    </row>
    <row r="17" spans="1:7" x14ac:dyDescent="0.25">
      <c r="A17">
        <v>8372819</v>
      </c>
      <c r="B17" t="s">
        <v>17</v>
      </c>
      <c r="C17">
        <v>23753030</v>
      </c>
      <c r="D17" t="s">
        <v>7</v>
      </c>
      <c r="E17" s="2">
        <v>1559480</v>
      </c>
      <c r="F17" s="2">
        <v>11709</v>
      </c>
      <c r="G17">
        <v>5</v>
      </c>
    </row>
    <row r="18" spans="1:7" x14ac:dyDescent="0.25">
      <c r="A18">
        <v>8292862</v>
      </c>
      <c r="B18" t="s">
        <v>18</v>
      </c>
      <c r="C18">
        <v>19916764</v>
      </c>
      <c r="D18" t="s">
        <v>7</v>
      </c>
      <c r="E18" s="2">
        <v>31756</v>
      </c>
      <c r="F18" s="2">
        <v>18404</v>
      </c>
      <c r="G18">
        <v>30</v>
      </c>
    </row>
    <row r="19" spans="1:7" x14ac:dyDescent="0.25">
      <c r="A19">
        <v>8550513</v>
      </c>
      <c r="B19" t="s">
        <v>18</v>
      </c>
      <c r="C19">
        <v>23977900</v>
      </c>
      <c r="D19" t="s">
        <v>7</v>
      </c>
      <c r="E19" s="2">
        <v>82179</v>
      </c>
      <c r="F19" s="2">
        <v>18783</v>
      </c>
      <c r="G19">
        <v>30</v>
      </c>
    </row>
    <row r="20" spans="1:7" x14ac:dyDescent="0.25">
      <c r="A20">
        <v>8364712</v>
      </c>
      <c r="B20" t="s">
        <v>18</v>
      </c>
      <c r="C20">
        <v>1460358</v>
      </c>
      <c r="D20" t="s">
        <v>7</v>
      </c>
      <c r="E20" s="2">
        <v>455324</v>
      </c>
      <c r="F20" s="2">
        <v>21962</v>
      </c>
      <c r="G20">
        <v>30</v>
      </c>
    </row>
    <row r="21" spans="1:7" x14ac:dyDescent="0.25">
      <c r="A21">
        <v>8375899</v>
      </c>
      <c r="B21" t="s">
        <v>18</v>
      </c>
      <c r="C21">
        <v>25529213</v>
      </c>
      <c r="D21" t="s">
        <v>7</v>
      </c>
      <c r="E21" s="2">
        <v>249816</v>
      </c>
      <c r="F21" s="2">
        <v>22144</v>
      </c>
      <c r="G21">
        <v>30</v>
      </c>
    </row>
    <row r="22" spans="1:7" x14ac:dyDescent="0.25">
      <c r="A22">
        <v>8555868</v>
      </c>
      <c r="B22" t="s">
        <v>18</v>
      </c>
      <c r="C22">
        <v>10788626</v>
      </c>
      <c r="D22" t="s">
        <v>7</v>
      </c>
      <c r="E22" s="2">
        <v>493191</v>
      </c>
      <c r="F22" s="2">
        <v>7806</v>
      </c>
      <c r="G22">
        <v>0</v>
      </c>
    </row>
    <row r="23" spans="1:7" x14ac:dyDescent="0.25">
      <c r="A23">
        <v>8555825</v>
      </c>
      <c r="B23" t="s">
        <v>18</v>
      </c>
      <c r="C23">
        <v>23416027</v>
      </c>
      <c r="D23" t="s">
        <v>7</v>
      </c>
      <c r="E23" s="2">
        <v>167161</v>
      </c>
      <c r="F23" s="2">
        <v>8041</v>
      </c>
      <c r="G23">
        <v>0</v>
      </c>
    </row>
    <row r="24" spans="1:7" x14ac:dyDescent="0.25">
      <c r="A24">
        <v>8470835</v>
      </c>
      <c r="B24" t="s">
        <v>17</v>
      </c>
      <c r="C24">
        <v>27193657</v>
      </c>
      <c r="D24" t="s">
        <v>7</v>
      </c>
      <c r="E24" s="2">
        <v>1655070</v>
      </c>
      <c r="F24" s="2">
        <v>8263</v>
      </c>
      <c r="G24">
        <v>0</v>
      </c>
    </row>
    <row r="25" spans="1:7" x14ac:dyDescent="0.25">
      <c r="A25">
        <v>8122348</v>
      </c>
      <c r="B25" t="s">
        <v>17</v>
      </c>
      <c r="C25">
        <v>27354461</v>
      </c>
      <c r="D25" t="s">
        <v>7</v>
      </c>
      <c r="E25" s="2">
        <v>878711</v>
      </c>
      <c r="F25" s="2">
        <v>28207</v>
      </c>
      <c r="G25">
        <v>30</v>
      </c>
    </row>
    <row r="26" spans="1:7" x14ac:dyDescent="0.25">
      <c r="A26">
        <v>8160270</v>
      </c>
      <c r="B26" t="s">
        <v>18</v>
      </c>
      <c r="C26">
        <v>27760880</v>
      </c>
      <c r="D26" t="s">
        <v>7</v>
      </c>
      <c r="E26" s="2">
        <v>706760</v>
      </c>
      <c r="F26" s="2">
        <v>19433</v>
      </c>
      <c r="G26">
        <v>5</v>
      </c>
    </row>
    <row r="27" spans="1:7" x14ac:dyDescent="0.25">
      <c r="A27">
        <v>8294211</v>
      </c>
      <c r="B27" t="s">
        <v>18</v>
      </c>
      <c r="C27">
        <v>20248889</v>
      </c>
      <c r="D27" t="s">
        <v>7</v>
      </c>
      <c r="E27" s="2">
        <v>344003</v>
      </c>
      <c r="F27" s="2">
        <v>29849</v>
      </c>
      <c r="G27">
        <v>30</v>
      </c>
    </row>
    <row r="28" spans="1:7" x14ac:dyDescent="0.25">
      <c r="A28">
        <v>8360977</v>
      </c>
      <c r="B28" t="s">
        <v>18</v>
      </c>
      <c r="C28">
        <v>26011555</v>
      </c>
      <c r="D28" t="s">
        <v>7</v>
      </c>
      <c r="E28" s="2">
        <v>167529</v>
      </c>
      <c r="F28" s="2">
        <v>32985</v>
      </c>
      <c r="G28">
        <v>30</v>
      </c>
    </row>
    <row r="29" spans="1:7" x14ac:dyDescent="0.25">
      <c r="A29">
        <v>8167005</v>
      </c>
      <c r="B29" t="s">
        <v>17</v>
      </c>
      <c r="C29">
        <v>27609725</v>
      </c>
      <c r="D29" t="s">
        <v>7</v>
      </c>
      <c r="E29" s="2">
        <v>912153</v>
      </c>
      <c r="F29" s="2">
        <v>11709</v>
      </c>
      <c r="G29">
        <v>0</v>
      </c>
    </row>
    <row r="30" spans="1:7" x14ac:dyDescent="0.25">
      <c r="A30">
        <v>8175412</v>
      </c>
      <c r="B30" t="s">
        <v>18</v>
      </c>
      <c r="C30">
        <v>27722229</v>
      </c>
      <c r="D30" t="s">
        <v>7</v>
      </c>
      <c r="E30" s="2">
        <v>1081924</v>
      </c>
      <c r="F30" s="2">
        <v>11709</v>
      </c>
      <c r="G30">
        <v>0</v>
      </c>
    </row>
    <row r="31" spans="1:7" x14ac:dyDescent="0.25">
      <c r="A31">
        <v>8471455</v>
      </c>
      <c r="B31" t="s">
        <v>18</v>
      </c>
      <c r="C31">
        <v>22923812</v>
      </c>
      <c r="D31" t="s">
        <v>7</v>
      </c>
      <c r="E31" s="2">
        <v>1046756</v>
      </c>
      <c r="F31" s="2">
        <v>11709</v>
      </c>
      <c r="G31">
        <v>0</v>
      </c>
    </row>
    <row r="32" spans="1:7" x14ac:dyDescent="0.25">
      <c r="A32">
        <v>8488549</v>
      </c>
      <c r="B32" t="s">
        <v>16</v>
      </c>
      <c r="C32">
        <v>26419172</v>
      </c>
      <c r="D32" t="s">
        <v>7</v>
      </c>
      <c r="E32" s="2">
        <v>10360026</v>
      </c>
      <c r="F32" s="2">
        <v>11709</v>
      </c>
      <c r="G32">
        <v>0</v>
      </c>
    </row>
    <row r="33" spans="1:7" x14ac:dyDescent="0.25">
      <c r="A33">
        <v>8172057</v>
      </c>
      <c r="B33" t="s">
        <v>18</v>
      </c>
      <c r="C33">
        <v>26227202</v>
      </c>
      <c r="D33" t="s">
        <v>7</v>
      </c>
      <c r="E33" s="2">
        <v>555550</v>
      </c>
      <c r="F33" s="2">
        <v>12281</v>
      </c>
      <c r="G33">
        <v>0</v>
      </c>
    </row>
    <row r="34" spans="1:7" x14ac:dyDescent="0.25">
      <c r="A34">
        <v>8172906</v>
      </c>
      <c r="B34" t="s">
        <v>18</v>
      </c>
      <c r="C34">
        <v>25709096</v>
      </c>
      <c r="D34" t="s">
        <v>7</v>
      </c>
      <c r="E34" s="2">
        <v>12486</v>
      </c>
      <c r="F34" s="2">
        <v>8825</v>
      </c>
      <c r="G34">
        <v>0</v>
      </c>
    </row>
    <row r="35" spans="1:7" x14ac:dyDescent="0.25">
      <c r="A35">
        <v>8165559</v>
      </c>
      <c r="B35" t="s">
        <v>18</v>
      </c>
      <c r="C35">
        <v>24129857</v>
      </c>
      <c r="D35" t="s">
        <v>7</v>
      </c>
      <c r="E35" s="2">
        <v>1597870</v>
      </c>
      <c r="F35" s="2">
        <v>43937</v>
      </c>
      <c r="G35">
        <v>30</v>
      </c>
    </row>
    <row r="36" spans="1:7" x14ac:dyDescent="0.25">
      <c r="A36">
        <v>8373109</v>
      </c>
      <c r="B36" t="s">
        <v>18</v>
      </c>
      <c r="C36">
        <v>25110940</v>
      </c>
      <c r="D36" t="s">
        <v>7</v>
      </c>
      <c r="E36" s="2">
        <v>50282</v>
      </c>
      <c r="F36" s="2">
        <v>47021</v>
      </c>
      <c r="G36">
        <v>30</v>
      </c>
    </row>
    <row r="37" spans="1:7" x14ac:dyDescent="0.25">
      <c r="A37">
        <v>8522957</v>
      </c>
      <c r="B37" t="s">
        <v>18</v>
      </c>
      <c r="C37">
        <v>22516258</v>
      </c>
      <c r="D37" t="s">
        <v>7</v>
      </c>
      <c r="E37" s="2">
        <v>596940</v>
      </c>
      <c r="F37" s="2">
        <v>47550</v>
      </c>
      <c r="G37">
        <v>30</v>
      </c>
    </row>
    <row r="38" spans="1:7" x14ac:dyDescent="0.25">
      <c r="A38">
        <v>8372256</v>
      </c>
      <c r="B38" t="s">
        <v>18</v>
      </c>
      <c r="C38">
        <v>24368698</v>
      </c>
      <c r="D38" t="s">
        <v>7</v>
      </c>
      <c r="E38" s="2">
        <v>1700332</v>
      </c>
      <c r="F38" s="2">
        <v>32397</v>
      </c>
      <c r="G38">
        <v>1</v>
      </c>
    </row>
    <row r="39" spans="1:7" x14ac:dyDescent="0.25">
      <c r="A39">
        <v>8368470</v>
      </c>
      <c r="B39" t="s">
        <v>18</v>
      </c>
      <c r="C39">
        <v>25990958</v>
      </c>
      <c r="D39" t="s">
        <v>7</v>
      </c>
      <c r="E39" s="2">
        <v>753183</v>
      </c>
      <c r="F39" s="2">
        <v>33493</v>
      </c>
      <c r="G39">
        <v>1</v>
      </c>
    </row>
    <row r="40" spans="1:7" x14ac:dyDescent="0.25">
      <c r="A40">
        <v>8122348</v>
      </c>
      <c r="B40" t="s">
        <v>17</v>
      </c>
      <c r="C40">
        <v>23138110</v>
      </c>
      <c r="D40" t="s">
        <v>7</v>
      </c>
      <c r="E40" s="2">
        <v>1153729</v>
      </c>
      <c r="F40" s="2">
        <v>35203</v>
      </c>
      <c r="G40">
        <v>5</v>
      </c>
    </row>
    <row r="41" spans="1:7" x14ac:dyDescent="0.25">
      <c r="A41">
        <v>8292285</v>
      </c>
      <c r="B41" t="s">
        <v>17</v>
      </c>
      <c r="C41">
        <v>21276240</v>
      </c>
      <c r="D41" t="s">
        <v>7</v>
      </c>
      <c r="E41" s="2">
        <v>4765005</v>
      </c>
      <c r="F41" s="2">
        <v>53029</v>
      </c>
      <c r="G41">
        <v>30</v>
      </c>
    </row>
    <row r="42" spans="1:7" x14ac:dyDescent="0.25">
      <c r="A42">
        <v>8294415</v>
      </c>
      <c r="B42" t="s">
        <v>16</v>
      </c>
      <c r="C42">
        <v>28151154</v>
      </c>
      <c r="D42" t="s">
        <v>12</v>
      </c>
      <c r="E42" s="2">
        <v>405853</v>
      </c>
      <c r="F42" s="2">
        <v>18084</v>
      </c>
      <c r="G42">
        <v>0</v>
      </c>
    </row>
    <row r="43" spans="1:7" x14ac:dyDescent="0.25">
      <c r="A43">
        <v>8381332</v>
      </c>
      <c r="B43" t="s">
        <v>18</v>
      </c>
      <c r="C43">
        <v>20591909</v>
      </c>
      <c r="D43" t="s">
        <v>7</v>
      </c>
      <c r="E43" s="2">
        <v>484629</v>
      </c>
      <c r="F43" s="2">
        <v>55623</v>
      </c>
      <c r="G43">
        <v>30</v>
      </c>
    </row>
    <row r="44" spans="1:7" x14ac:dyDescent="0.25">
      <c r="A44">
        <v>8552479</v>
      </c>
      <c r="B44" t="s">
        <v>18</v>
      </c>
      <c r="C44">
        <v>25963393</v>
      </c>
      <c r="D44" t="s">
        <v>7</v>
      </c>
      <c r="E44" s="2">
        <v>1485049</v>
      </c>
      <c r="F44" s="2">
        <v>19516</v>
      </c>
      <c r="G44">
        <v>0</v>
      </c>
    </row>
    <row r="45" spans="1:7" x14ac:dyDescent="0.25">
      <c r="A45">
        <v>8364034</v>
      </c>
      <c r="B45" t="s">
        <v>17</v>
      </c>
      <c r="C45">
        <v>2328145</v>
      </c>
      <c r="D45" t="s">
        <v>10</v>
      </c>
      <c r="E45" s="2">
        <v>18294</v>
      </c>
      <c r="F45" s="2">
        <v>20809</v>
      </c>
      <c r="G45">
        <v>0</v>
      </c>
    </row>
    <row r="46" spans="1:7" x14ac:dyDescent="0.25">
      <c r="A46">
        <v>8146254</v>
      </c>
      <c r="B46" t="s">
        <v>18</v>
      </c>
      <c r="C46">
        <v>25426056</v>
      </c>
      <c r="D46" t="s">
        <v>7</v>
      </c>
      <c r="E46" s="2">
        <v>394338</v>
      </c>
      <c r="F46" s="2">
        <v>62487</v>
      </c>
      <c r="G46">
        <v>30</v>
      </c>
    </row>
    <row r="47" spans="1:7" x14ac:dyDescent="0.25">
      <c r="A47">
        <v>8558638</v>
      </c>
      <c r="B47" t="s">
        <v>17</v>
      </c>
      <c r="C47">
        <v>25962746</v>
      </c>
      <c r="D47" t="s">
        <v>7</v>
      </c>
      <c r="E47" s="2">
        <v>109336</v>
      </c>
      <c r="F47" s="2">
        <v>21760</v>
      </c>
      <c r="G47">
        <v>0</v>
      </c>
    </row>
    <row r="48" spans="1:7" x14ac:dyDescent="0.25">
      <c r="A48">
        <v>8291545</v>
      </c>
      <c r="B48" t="s">
        <v>18</v>
      </c>
      <c r="C48">
        <v>27047202</v>
      </c>
      <c r="D48" t="s">
        <v>7</v>
      </c>
      <c r="E48" s="2">
        <v>1813368</v>
      </c>
      <c r="F48" s="2">
        <v>66225</v>
      </c>
      <c r="G48">
        <v>30</v>
      </c>
    </row>
    <row r="49" spans="1:7" x14ac:dyDescent="0.25">
      <c r="A49">
        <v>8470894</v>
      </c>
      <c r="B49" t="s">
        <v>18</v>
      </c>
      <c r="C49">
        <v>24320598</v>
      </c>
      <c r="D49" t="s">
        <v>7</v>
      </c>
      <c r="E49" s="2">
        <v>609120</v>
      </c>
      <c r="F49" s="2">
        <v>47142</v>
      </c>
      <c r="G49">
        <v>1</v>
      </c>
    </row>
    <row r="50" spans="1:7" x14ac:dyDescent="0.25">
      <c r="A50">
        <v>8491599</v>
      </c>
      <c r="B50" t="s">
        <v>17</v>
      </c>
      <c r="C50">
        <v>27386020</v>
      </c>
      <c r="D50" t="s">
        <v>12</v>
      </c>
      <c r="E50" s="2">
        <v>2222004</v>
      </c>
      <c r="F50" s="2">
        <v>72239</v>
      </c>
      <c r="G50">
        <v>29</v>
      </c>
    </row>
    <row r="51" spans="1:7" x14ac:dyDescent="0.25">
      <c r="A51">
        <v>8187955</v>
      </c>
      <c r="B51" t="s">
        <v>18</v>
      </c>
      <c r="C51">
        <v>22742458</v>
      </c>
      <c r="D51" t="s">
        <v>7</v>
      </c>
      <c r="E51" s="2">
        <v>309655</v>
      </c>
      <c r="F51" s="2">
        <v>73589</v>
      </c>
      <c r="G51">
        <v>30</v>
      </c>
    </row>
    <row r="52" spans="1:7" x14ac:dyDescent="0.25">
      <c r="A52">
        <v>8166876</v>
      </c>
      <c r="B52" t="s">
        <v>17</v>
      </c>
      <c r="C52">
        <v>25427986</v>
      </c>
      <c r="D52" t="s">
        <v>7</v>
      </c>
      <c r="E52" s="2">
        <v>1250995</v>
      </c>
      <c r="F52" s="2">
        <v>49461</v>
      </c>
      <c r="G52">
        <v>1</v>
      </c>
    </row>
    <row r="53" spans="1:7" x14ac:dyDescent="0.25">
      <c r="A53">
        <v>8241775</v>
      </c>
      <c r="B53" t="s">
        <v>18</v>
      </c>
      <c r="C53">
        <v>25340462</v>
      </c>
      <c r="D53" t="s">
        <v>7</v>
      </c>
      <c r="E53" s="2">
        <v>998999</v>
      </c>
      <c r="F53" s="2">
        <v>25878</v>
      </c>
      <c r="G53">
        <v>0</v>
      </c>
    </row>
    <row r="54" spans="1:7" x14ac:dyDescent="0.25">
      <c r="A54">
        <v>8251177</v>
      </c>
      <c r="B54" t="s">
        <v>18</v>
      </c>
      <c r="C54">
        <v>21131643</v>
      </c>
      <c r="D54" t="s">
        <v>7</v>
      </c>
      <c r="E54" s="2">
        <v>22964</v>
      </c>
      <c r="F54" s="2">
        <v>26121</v>
      </c>
      <c r="G54">
        <v>0</v>
      </c>
    </row>
    <row r="55" spans="1:7" x14ac:dyDescent="0.25">
      <c r="A55">
        <v>8523520</v>
      </c>
      <c r="B55" t="s">
        <v>18</v>
      </c>
      <c r="C55">
        <v>1377705</v>
      </c>
      <c r="D55" t="s">
        <v>7</v>
      </c>
      <c r="E55" s="2">
        <v>487907</v>
      </c>
      <c r="F55" s="2">
        <v>79798</v>
      </c>
      <c r="G55">
        <v>60</v>
      </c>
    </row>
    <row r="56" spans="1:7" x14ac:dyDescent="0.25">
      <c r="A56">
        <v>8376469</v>
      </c>
      <c r="B56" t="s">
        <v>18</v>
      </c>
      <c r="C56">
        <v>27404462</v>
      </c>
      <c r="D56" t="s">
        <v>7</v>
      </c>
      <c r="E56" s="2">
        <v>1466418</v>
      </c>
      <c r="F56" s="2">
        <v>27236</v>
      </c>
      <c r="G56">
        <v>0</v>
      </c>
    </row>
    <row r="57" spans="1:7" x14ac:dyDescent="0.25">
      <c r="A57">
        <v>8557907</v>
      </c>
      <c r="B57" t="s">
        <v>18</v>
      </c>
      <c r="C57">
        <v>16362152</v>
      </c>
      <c r="D57" t="s">
        <v>7</v>
      </c>
      <c r="E57" s="2">
        <v>808964</v>
      </c>
      <c r="F57" s="2">
        <v>86491</v>
      </c>
      <c r="G57">
        <v>30</v>
      </c>
    </row>
    <row r="58" spans="1:7" x14ac:dyDescent="0.25">
      <c r="A58">
        <v>8490649</v>
      </c>
      <c r="B58" t="s">
        <v>18</v>
      </c>
      <c r="C58">
        <v>21553476</v>
      </c>
      <c r="D58" t="s">
        <v>7</v>
      </c>
      <c r="E58" s="2">
        <v>54113</v>
      </c>
      <c r="F58" s="2">
        <v>28996</v>
      </c>
      <c r="G58">
        <v>0</v>
      </c>
    </row>
    <row r="59" spans="1:7" x14ac:dyDescent="0.25">
      <c r="A59">
        <v>8168429</v>
      </c>
      <c r="B59" t="s">
        <v>17</v>
      </c>
      <c r="C59">
        <v>28586542</v>
      </c>
      <c r="D59" t="s">
        <v>7</v>
      </c>
      <c r="E59" s="2">
        <v>1994564</v>
      </c>
      <c r="F59" s="2">
        <v>62110</v>
      </c>
      <c r="G59">
        <v>1</v>
      </c>
    </row>
    <row r="60" spans="1:7" x14ac:dyDescent="0.25">
      <c r="A60">
        <v>8524805</v>
      </c>
      <c r="B60" t="s">
        <v>18</v>
      </c>
      <c r="C60">
        <v>21648150</v>
      </c>
      <c r="D60" t="s">
        <v>7</v>
      </c>
      <c r="E60" s="2">
        <v>720290</v>
      </c>
      <c r="F60" s="2">
        <v>63170</v>
      </c>
      <c r="G60">
        <v>1</v>
      </c>
    </row>
    <row r="61" spans="1:7" x14ac:dyDescent="0.25">
      <c r="A61">
        <v>8491409</v>
      </c>
      <c r="B61" t="s">
        <v>17</v>
      </c>
      <c r="C61">
        <v>27153393</v>
      </c>
      <c r="D61" t="s">
        <v>7</v>
      </c>
      <c r="E61" s="2">
        <v>821279</v>
      </c>
      <c r="F61" s="2">
        <v>32376</v>
      </c>
      <c r="G61">
        <v>0</v>
      </c>
    </row>
    <row r="62" spans="1:7" x14ac:dyDescent="0.25">
      <c r="A62">
        <v>8489781</v>
      </c>
      <c r="B62" t="s">
        <v>18</v>
      </c>
      <c r="C62">
        <v>21416984</v>
      </c>
      <c r="D62" t="s">
        <v>7</v>
      </c>
      <c r="E62" s="2">
        <v>545680</v>
      </c>
      <c r="F62" s="2">
        <v>66377</v>
      </c>
      <c r="G62">
        <v>1</v>
      </c>
    </row>
    <row r="63" spans="1:7" x14ac:dyDescent="0.25">
      <c r="A63">
        <v>8173426</v>
      </c>
      <c r="B63" t="s">
        <v>18</v>
      </c>
      <c r="C63">
        <v>27096953</v>
      </c>
      <c r="D63" t="s">
        <v>7</v>
      </c>
      <c r="E63" s="2">
        <v>1080895</v>
      </c>
      <c r="F63" s="2">
        <v>101724</v>
      </c>
      <c r="G63">
        <v>30</v>
      </c>
    </row>
    <row r="64" spans="1:7" x14ac:dyDescent="0.25">
      <c r="A64">
        <v>8524404</v>
      </c>
      <c r="B64" t="s">
        <v>17</v>
      </c>
      <c r="C64">
        <v>19536723</v>
      </c>
      <c r="D64" t="s">
        <v>7</v>
      </c>
      <c r="E64" s="2">
        <v>3184484</v>
      </c>
      <c r="F64" s="2">
        <v>106020</v>
      </c>
      <c r="G64">
        <v>30</v>
      </c>
    </row>
    <row r="65" spans="1:7" x14ac:dyDescent="0.25">
      <c r="A65">
        <v>8262517</v>
      </c>
      <c r="B65" t="s">
        <v>17</v>
      </c>
      <c r="C65">
        <v>2978036</v>
      </c>
      <c r="D65" t="s">
        <v>7</v>
      </c>
      <c r="E65" s="2">
        <v>1014353</v>
      </c>
      <c r="F65" s="2">
        <v>35412</v>
      </c>
      <c r="G65">
        <v>0</v>
      </c>
    </row>
    <row r="66" spans="1:7" x14ac:dyDescent="0.25">
      <c r="A66">
        <v>8558072</v>
      </c>
      <c r="B66" t="s">
        <v>18</v>
      </c>
      <c r="C66">
        <v>4392423</v>
      </c>
      <c r="D66" t="s">
        <v>7</v>
      </c>
      <c r="E66" s="2">
        <v>1584328</v>
      </c>
      <c r="F66" s="2">
        <v>36158</v>
      </c>
      <c r="G66">
        <v>0</v>
      </c>
    </row>
    <row r="67" spans="1:7" x14ac:dyDescent="0.25">
      <c r="A67">
        <v>8558900</v>
      </c>
      <c r="B67" t="s">
        <v>18</v>
      </c>
      <c r="C67">
        <v>25301860</v>
      </c>
      <c r="D67" t="s">
        <v>7</v>
      </c>
      <c r="E67" s="2">
        <v>2379982</v>
      </c>
      <c r="F67" s="2">
        <v>109945</v>
      </c>
      <c r="G67">
        <v>30</v>
      </c>
    </row>
    <row r="68" spans="1:7" x14ac:dyDescent="0.25">
      <c r="A68">
        <v>8166533</v>
      </c>
      <c r="B68" t="s">
        <v>18</v>
      </c>
      <c r="C68">
        <v>27048470</v>
      </c>
      <c r="D68" t="s">
        <v>7</v>
      </c>
      <c r="E68" s="2">
        <v>325941</v>
      </c>
      <c r="F68" s="2">
        <v>36789</v>
      </c>
      <c r="G68">
        <v>0</v>
      </c>
    </row>
    <row r="69" spans="1:7" x14ac:dyDescent="0.25">
      <c r="A69">
        <v>8171824</v>
      </c>
      <c r="B69" t="s">
        <v>18</v>
      </c>
      <c r="C69">
        <v>21483616</v>
      </c>
      <c r="D69" t="s">
        <v>7</v>
      </c>
      <c r="E69" s="2">
        <v>498681</v>
      </c>
      <c r="F69" s="2">
        <v>74403</v>
      </c>
      <c r="G69">
        <v>5</v>
      </c>
    </row>
    <row r="70" spans="1:7" x14ac:dyDescent="0.25">
      <c r="A70">
        <v>8122438</v>
      </c>
      <c r="B70" t="s">
        <v>16</v>
      </c>
      <c r="C70">
        <v>25825719</v>
      </c>
      <c r="D70" t="s">
        <v>7</v>
      </c>
      <c r="E70" s="2">
        <v>419516</v>
      </c>
      <c r="F70" s="2">
        <v>76390</v>
      </c>
      <c r="G70">
        <v>1</v>
      </c>
    </row>
    <row r="71" spans="1:7" x14ac:dyDescent="0.25">
      <c r="A71">
        <v>8121787</v>
      </c>
      <c r="B71" t="s">
        <v>18</v>
      </c>
      <c r="C71">
        <v>28250237</v>
      </c>
      <c r="D71" t="s">
        <v>7</v>
      </c>
      <c r="E71" s="2">
        <v>261433</v>
      </c>
      <c r="F71" s="2">
        <v>38527</v>
      </c>
      <c r="G71">
        <v>0</v>
      </c>
    </row>
    <row r="72" spans="1:7" x14ac:dyDescent="0.25">
      <c r="A72">
        <v>8487795</v>
      </c>
      <c r="B72" t="s">
        <v>18</v>
      </c>
      <c r="C72">
        <v>25989548</v>
      </c>
      <c r="D72" t="s">
        <v>7</v>
      </c>
      <c r="E72" s="2">
        <v>1185167</v>
      </c>
      <c r="F72" s="2">
        <v>117902</v>
      </c>
      <c r="G72">
        <v>30</v>
      </c>
    </row>
    <row r="73" spans="1:7" x14ac:dyDescent="0.25">
      <c r="A73">
        <v>8293228</v>
      </c>
      <c r="B73" t="s">
        <v>16</v>
      </c>
      <c r="C73">
        <v>25179756</v>
      </c>
      <c r="D73" t="s">
        <v>7</v>
      </c>
      <c r="E73" s="2">
        <v>2243676</v>
      </c>
      <c r="F73" s="2">
        <v>39411</v>
      </c>
      <c r="G73">
        <v>0</v>
      </c>
    </row>
    <row r="74" spans="1:7" x14ac:dyDescent="0.25">
      <c r="A74">
        <v>8383790</v>
      </c>
      <c r="B74" t="s">
        <v>17</v>
      </c>
      <c r="C74">
        <v>20615340</v>
      </c>
      <c r="D74" t="s">
        <v>7</v>
      </c>
      <c r="E74" s="2">
        <v>3113208</v>
      </c>
      <c r="F74" s="2">
        <v>80090</v>
      </c>
      <c r="G74">
        <v>1</v>
      </c>
    </row>
    <row r="75" spans="1:7" x14ac:dyDescent="0.25">
      <c r="A75">
        <v>8372876</v>
      </c>
      <c r="B75" t="s">
        <v>18</v>
      </c>
      <c r="C75">
        <v>27056383</v>
      </c>
      <c r="D75" t="s">
        <v>7</v>
      </c>
      <c r="E75" s="2">
        <v>359916</v>
      </c>
      <c r="F75" s="2">
        <v>40907</v>
      </c>
      <c r="G75">
        <v>0</v>
      </c>
    </row>
    <row r="76" spans="1:7" x14ac:dyDescent="0.25">
      <c r="A76">
        <v>8443989</v>
      </c>
      <c r="B76" t="s">
        <v>18</v>
      </c>
      <c r="C76">
        <v>28249575</v>
      </c>
      <c r="D76" t="s">
        <v>7</v>
      </c>
      <c r="E76" s="2">
        <v>2971553</v>
      </c>
      <c r="F76" s="2">
        <v>82017</v>
      </c>
      <c r="G76">
        <v>1</v>
      </c>
    </row>
    <row r="77" spans="1:7" x14ac:dyDescent="0.25">
      <c r="A77">
        <v>8169114</v>
      </c>
      <c r="B77" t="s">
        <v>17</v>
      </c>
      <c r="C77">
        <v>28219094</v>
      </c>
      <c r="D77" t="s">
        <v>7</v>
      </c>
      <c r="E77" s="2">
        <v>3651773</v>
      </c>
      <c r="F77" s="2">
        <v>84414</v>
      </c>
      <c r="G77">
        <v>5</v>
      </c>
    </row>
    <row r="78" spans="1:7" x14ac:dyDescent="0.25">
      <c r="A78">
        <v>8172884</v>
      </c>
      <c r="B78" t="s">
        <v>17</v>
      </c>
      <c r="C78">
        <v>21348233</v>
      </c>
      <c r="D78" t="s">
        <v>11</v>
      </c>
      <c r="E78" s="2">
        <v>2080730</v>
      </c>
      <c r="F78" s="2">
        <v>129247</v>
      </c>
      <c r="G78">
        <v>29</v>
      </c>
    </row>
    <row r="79" spans="1:7" x14ac:dyDescent="0.25">
      <c r="A79">
        <v>8373802</v>
      </c>
      <c r="B79" t="s">
        <v>16</v>
      </c>
      <c r="C79">
        <v>27399471</v>
      </c>
      <c r="D79" t="s">
        <v>12</v>
      </c>
      <c r="E79" s="2">
        <v>1263196</v>
      </c>
      <c r="F79" s="2">
        <v>43510</v>
      </c>
      <c r="G79">
        <v>0</v>
      </c>
    </row>
    <row r="80" spans="1:7" x14ac:dyDescent="0.25">
      <c r="A80">
        <v>8293244</v>
      </c>
      <c r="B80" t="s">
        <v>18</v>
      </c>
      <c r="C80">
        <v>19738680</v>
      </c>
      <c r="D80" t="s">
        <v>9</v>
      </c>
      <c r="E80" s="2">
        <v>116364</v>
      </c>
      <c r="F80" s="2">
        <v>132364</v>
      </c>
      <c r="G80">
        <v>29</v>
      </c>
    </row>
    <row r="81" spans="1:7" x14ac:dyDescent="0.25">
      <c r="A81">
        <v>8491306</v>
      </c>
      <c r="B81" t="s">
        <v>17</v>
      </c>
      <c r="C81">
        <v>25320990</v>
      </c>
      <c r="D81" t="s">
        <v>7</v>
      </c>
      <c r="E81" s="2">
        <v>814900</v>
      </c>
      <c r="F81" s="2">
        <v>133031</v>
      </c>
      <c r="G81">
        <v>30</v>
      </c>
    </row>
    <row r="82" spans="1:7" x14ac:dyDescent="0.25">
      <c r="A82">
        <v>8430812</v>
      </c>
      <c r="B82" t="s">
        <v>18</v>
      </c>
      <c r="C82">
        <v>28586366</v>
      </c>
      <c r="D82" t="s">
        <v>7</v>
      </c>
      <c r="E82" s="2">
        <v>1273059</v>
      </c>
      <c r="F82" s="2">
        <v>133457</v>
      </c>
      <c r="G82">
        <v>30</v>
      </c>
    </row>
    <row r="83" spans="1:7" x14ac:dyDescent="0.25">
      <c r="A83">
        <v>8092365</v>
      </c>
      <c r="B83" t="s">
        <v>18</v>
      </c>
      <c r="C83">
        <v>26716493</v>
      </c>
      <c r="D83" t="s">
        <v>7</v>
      </c>
      <c r="E83" s="2">
        <v>1266435</v>
      </c>
      <c r="F83" s="2">
        <v>133848</v>
      </c>
      <c r="G83">
        <v>30</v>
      </c>
    </row>
    <row r="84" spans="1:7" x14ac:dyDescent="0.25">
      <c r="A84">
        <v>8377815</v>
      </c>
      <c r="B84" t="s">
        <v>18</v>
      </c>
      <c r="C84">
        <v>23968455</v>
      </c>
      <c r="D84" t="s">
        <v>7</v>
      </c>
      <c r="E84" s="2">
        <v>248176</v>
      </c>
      <c r="F84" s="2">
        <v>90793</v>
      </c>
      <c r="G84">
        <v>5</v>
      </c>
    </row>
    <row r="85" spans="1:7" x14ac:dyDescent="0.25">
      <c r="A85">
        <v>8291467</v>
      </c>
      <c r="B85" t="s">
        <v>18</v>
      </c>
      <c r="C85">
        <v>27243058</v>
      </c>
      <c r="D85" t="s">
        <v>7</v>
      </c>
      <c r="E85" s="2">
        <v>1789222</v>
      </c>
      <c r="F85" s="2">
        <v>45624</v>
      </c>
      <c r="G85">
        <v>0</v>
      </c>
    </row>
    <row r="86" spans="1:7" x14ac:dyDescent="0.25">
      <c r="A86">
        <v>8293662</v>
      </c>
      <c r="B86" t="s">
        <v>18</v>
      </c>
      <c r="C86">
        <v>25834952</v>
      </c>
      <c r="D86" t="s">
        <v>7</v>
      </c>
      <c r="E86" s="2">
        <v>51313</v>
      </c>
      <c r="F86" s="2">
        <v>46398</v>
      </c>
      <c r="G86">
        <v>0</v>
      </c>
    </row>
    <row r="87" spans="1:7" x14ac:dyDescent="0.25">
      <c r="A87">
        <v>8085687</v>
      </c>
      <c r="B87" t="s">
        <v>18</v>
      </c>
      <c r="C87">
        <v>27777136</v>
      </c>
      <c r="D87" t="s">
        <v>7</v>
      </c>
      <c r="E87" s="2">
        <v>499895</v>
      </c>
      <c r="F87" s="2">
        <v>93751</v>
      </c>
      <c r="G87">
        <v>1</v>
      </c>
    </row>
    <row r="88" spans="1:7" x14ac:dyDescent="0.25">
      <c r="A88">
        <v>8491910</v>
      </c>
      <c r="B88" t="s">
        <v>18</v>
      </c>
      <c r="C88">
        <v>27575915</v>
      </c>
      <c r="D88" t="s">
        <v>7</v>
      </c>
      <c r="E88" s="2">
        <v>722535</v>
      </c>
      <c r="F88" s="2">
        <v>142310</v>
      </c>
      <c r="G88">
        <v>30</v>
      </c>
    </row>
    <row r="89" spans="1:7" x14ac:dyDescent="0.25">
      <c r="A89">
        <v>8375436</v>
      </c>
      <c r="B89" t="s">
        <v>16</v>
      </c>
      <c r="C89">
        <v>28584174</v>
      </c>
      <c r="D89" t="s">
        <v>7</v>
      </c>
      <c r="E89" s="2">
        <v>2263225</v>
      </c>
      <c r="F89" s="2">
        <v>48193</v>
      </c>
      <c r="G89">
        <v>0</v>
      </c>
    </row>
    <row r="90" spans="1:7" x14ac:dyDescent="0.25">
      <c r="A90">
        <v>8165415</v>
      </c>
      <c r="B90" t="s">
        <v>18</v>
      </c>
      <c r="C90">
        <v>21264525</v>
      </c>
      <c r="D90" t="s">
        <v>7</v>
      </c>
      <c r="E90" s="2">
        <v>1342942</v>
      </c>
      <c r="F90" s="2">
        <v>144873</v>
      </c>
      <c r="G90">
        <v>30</v>
      </c>
    </row>
    <row r="91" spans="1:7" x14ac:dyDescent="0.25">
      <c r="A91">
        <v>8369921</v>
      </c>
      <c r="B91" t="s">
        <v>17</v>
      </c>
      <c r="C91">
        <v>18804236</v>
      </c>
      <c r="D91" t="s">
        <v>7</v>
      </c>
      <c r="E91" s="2">
        <v>1655437</v>
      </c>
      <c r="F91" s="2">
        <v>48927</v>
      </c>
      <c r="G91">
        <v>0</v>
      </c>
    </row>
    <row r="92" spans="1:7" x14ac:dyDescent="0.25">
      <c r="A92">
        <v>8172834</v>
      </c>
      <c r="B92" t="s">
        <v>18</v>
      </c>
      <c r="C92">
        <v>21754177</v>
      </c>
      <c r="D92" t="s">
        <v>7</v>
      </c>
      <c r="E92" s="2">
        <v>418796</v>
      </c>
      <c r="F92" s="2">
        <v>98782</v>
      </c>
      <c r="G92">
        <v>1</v>
      </c>
    </row>
    <row r="93" spans="1:7" x14ac:dyDescent="0.25">
      <c r="A93">
        <v>8294415</v>
      </c>
      <c r="B93" t="s">
        <v>16</v>
      </c>
      <c r="C93">
        <v>27029677</v>
      </c>
      <c r="D93" t="s">
        <v>12</v>
      </c>
      <c r="E93" s="2">
        <v>1032952</v>
      </c>
      <c r="F93" s="2">
        <v>100313</v>
      </c>
      <c r="G93">
        <v>31</v>
      </c>
    </row>
    <row r="94" spans="1:7" x14ac:dyDescent="0.25">
      <c r="A94">
        <v>8172884</v>
      </c>
      <c r="B94" t="s">
        <v>17</v>
      </c>
      <c r="C94">
        <v>23313640</v>
      </c>
      <c r="D94" t="s">
        <v>7</v>
      </c>
      <c r="E94" s="2">
        <v>736645</v>
      </c>
      <c r="F94" s="2">
        <v>101429</v>
      </c>
      <c r="G94">
        <v>5</v>
      </c>
    </row>
    <row r="95" spans="1:7" x14ac:dyDescent="0.25">
      <c r="A95">
        <v>8261433</v>
      </c>
      <c r="B95" t="s">
        <v>16</v>
      </c>
      <c r="C95">
        <v>23671002</v>
      </c>
      <c r="D95" t="s">
        <v>7</v>
      </c>
      <c r="E95" s="2">
        <v>2335264</v>
      </c>
      <c r="F95" s="2">
        <v>155480</v>
      </c>
      <c r="G95">
        <v>30</v>
      </c>
    </row>
    <row r="96" spans="1:7" x14ac:dyDescent="0.25">
      <c r="A96">
        <v>8292243</v>
      </c>
      <c r="B96" t="s">
        <v>18</v>
      </c>
      <c r="C96">
        <v>25479795</v>
      </c>
      <c r="D96" t="s">
        <v>7</v>
      </c>
      <c r="E96" s="2">
        <v>832913</v>
      </c>
      <c r="F96" s="2">
        <v>51918</v>
      </c>
      <c r="G96">
        <v>0</v>
      </c>
    </row>
    <row r="97" spans="1:7" x14ac:dyDescent="0.25">
      <c r="A97">
        <v>8290528</v>
      </c>
      <c r="B97" t="s">
        <v>16</v>
      </c>
      <c r="C97">
        <v>24951190</v>
      </c>
      <c r="D97" t="s">
        <v>7</v>
      </c>
      <c r="E97" s="2">
        <v>484731</v>
      </c>
      <c r="F97" s="2">
        <v>162116</v>
      </c>
      <c r="G97">
        <v>60</v>
      </c>
    </row>
    <row r="98" spans="1:7" x14ac:dyDescent="0.25">
      <c r="A98">
        <v>8165423</v>
      </c>
      <c r="B98" t="s">
        <v>18</v>
      </c>
      <c r="C98">
        <v>27019405</v>
      </c>
      <c r="D98" t="s">
        <v>7</v>
      </c>
      <c r="E98" s="2">
        <v>557401</v>
      </c>
      <c r="F98" s="2">
        <v>54703</v>
      </c>
      <c r="G98">
        <v>0</v>
      </c>
    </row>
    <row r="99" spans="1:7" x14ac:dyDescent="0.25">
      <c r="A99">
        <v>8175117</v>
      </c>
      <c r="B99" t="s">
        <v>18</v>
      </c>
      <c r="C99">
        <v>21924524</v>
      </c>
      <c r="D99" t="s">
        <v>7</v>
      </c>
      <c r="E99" s="2">
        <v>1488365</v>
      </c>
      <c r="F99" s="2">
        <v>164418</v>
      </c>
      <c r="G99">
        <v>30</v>
      </c>
    </row>
    <row r="100" spans="1:7" x14ac:dyDescent="0.25">
      <c r="A100">
        <v>8524784</v>
      </c>
      <c r="B100" t="s">
        <v>18</v>
      </c>
      <c r="C100">
        <v>27962052</v>
      </c>
      <c r="D100" t="s">
        <v>7</v>
      </c>
      <c r="E100" s="2">
        <v>356783</v>
      </c>
      <c r="F100" s="2">
        <v>112801</v>
      </c>
      <c r="G100">
        <v>29</v>
      </c>
    </row>
    <row r="101" spans="1:7" x14ac:dyDescent="0.25">
      <c r="A101">
        <v>8291401</v>
      </c>
      <c r="B101" t="s">
        <v>16</v>
      </c>
      <c r="C101">
        <v>27049838</v>
      </c>
      <c r="D101" t="s">
        <v>7</v>
      </c>
      <c r="E101" s="2">
        <v>792331</v>
      </c>
      <c r="F101" s="2">
        <v>112839</v>
      </c>
      <c r="G101">
        <v>1</v>
      </c>
    </row>
    <row r="102" spans="1:7" x14ac:dyDescent="0.25">
      <c r="A102">
        <v>8292896</v>
      </c>
      <c r="B102" t="s">
        <v>18</v>
      </c>
      <c r="C102">
        <v>26273017</v>
      </c>
      <c r="D102" t="s">
        <v>7</v>
      </c>
      <c r="E102" s="2">
        <v>309677</v>
      </c>
      <c r="F102" s="2">
        <v>58441</v>
      </c>
      <c r="G102">
        <v>0</v>
      </c>
    </row>
    <row r="103" spans="1:7" x14ac:dyDescent="0.25">
      <c r="A103">
        <v>8163778</v>
      </c>
      <c r="B103" t="s">
        <v>18</v>
      </c>
      <c r="C103">
        <v>27381420</v>
      </c>
      <c r="D103" t="s">
        <v>7</v>
      </c>
      <c r="E103" s="2">
        <v>1059996</v>
      </c>
      <c r="F103" s="2">
        <v>178639</v>
      </c>
      <c r="G103">
        <v>30</v>
      </c>
    </row>
    <row r="104" spans="1:7" x14ac:dyDescent="0.25">
      <c r="A104">
        <v>8164974</v>
      </c>
      <c r="B104" t="s">
        <v>18</v>
      </c>
      <c r="C104">
        <v>25826418</v>
      </c>
      <c r="D104" t="s">
        <v>7</v>
      </c>
      <c r="E104" s="2">
        <v>1392934</v>
      </c>
      <c r="F104" s="2">
        <v>59970</v>
      </c>
      <c r="G104">
        <v>0</v>
      </c>
    </row>
    <row r="105" spans="1:7" x14ac:dyDescent="0.25">
      <c r="A105">
        <v>8488114</v>
      </c>
      <c r="B105" t="s">
        <v>18</v>
      </c>
      <c r="C105">
        <v>25929542</v>
      </c>
      <c r="D105" t="s">
        <v>7</v>
      </c>
      <c r="E105" s="2">
        <v>70616</v>
      </c>
      <c r="F105" s="2">
        <v>61182</v>
      </c>
      <c r="G105">
        <v>0</v>
      </c>
    </row>
    <row r="106" spans="1:7" x14ac:dyDescent="0.25">
      <c r="A106">
        <v>8294211</v>
      </c>
      <c r="B106" t="s">
        <v>18</v>
      </c>
      <c r="C106">
        <v>20249908</v>
      </c>
      <c r="D106" t="s">
        <v>7</v>
      </c>
      <c r="E106" s="2">
        <v>836912</v>
      </c>
      <c r="F106" s="2">
        <v>63006</v>
      </c>
      <c r="G106">
        <v>0</v>
      </c>
    </row>
    <row r="107" spans="1:7" x14ac:dyDescent="0.25">
      <c r="A107">
        <v>8490839</v>
      </c>
      <c r="B107" t="s">
        <v>18</v>
      </c>
      <c r="C107">
        <v>19557175</v>
      </c>
      <c r="D107" t="s">
        <v>7</v>
      </c>
      <c r="E107" s="2">
        <v>741253</v>
      </c>
      <c r="F107" s="2">
        <v>63489</v>
      </c>
      <c r="G107">
        <v>0</v>
      </c>
    </row>
    <row r="108" spans="1:7" x14ac:dyDescent="0.25">
      <c r="A108">
        <v>8489935</v>
      </c>
      <c r="B108" t="s">
        <v>18</v>
      </c>
      <c r="C108">
        <v>21568705</v>
      </c>
      <c r="D108" t="s">
        <v>7</v>
      </c>
      <c r="E108" s="2">
        <v>404836</v>
      </c>
      <c r="F108" s="2">
        <v>63829</v>
      </c>
      <c r="G108">
        <v>0</v>
      </c>
    </row>
    <row r="109" spans="1:7" x14ac:dyDescent="0.25">
      <c r="A109">
        <v>8184681</v>
      </c>
      <c r="B109" t="s">
        <v>18</v>
      </c>
      <c r="C109">
        <v>21188298</v>
      </c>
      <c r="D109" t="s">
        <v>7</v>
      </c>
      <c r="E109" s="2">
        <v>748426</v>
      </c>
      <c r="F109" s="2">
        <v>65115</v>
      </c>
      <c r="G109">
        <v>0</v>
      </c>
    </row>
    <row r="110" spans="1:7" x14ac:dyDescent="0.25">
      <c r="A110">
        <v>8090702</v>
      </c>
      <c r="B110" t="s">
        <v>18</v>
      </c>
      <c r="C110">
        <v>26143640</v>
      </c>
      <c r="D110" t="s">
        <v>7</v>
      </c>
      <c r="E110" s="2">
        <v>507412</v>
      </c>
      <c r="F110" s="2">
        <v>65826</v>
      </c>
      <c r="G110">
        <v>0</v>
      </c>
    </row>
    <row r="111" spans="1:7" x14ac:dyDescent="0.25">
      <c r="A111">
        <v>8153540</v>
      </c>
      <c r="B111" t="s">
        <v>16</v>
      </c>
      <c r="C111">
        <v>26813496</v>
      </c>
      <c r="D111" t="s">
        <v>7</v>
      </c>
      <c r="E111" s="2">
        <v>648780</v>
      </c>
      <c r="F111" s="2">
        <v>133769</v>
      </c>
      <c r="G111">
        <v>1</v>
      </c>
    </row>
    <row r="112" spans="1:7" x14ac:dyDescent="0.25">
      <c r="A112">
        <v>8521432</v>
      </c>
      <c r="B112" t="s">
        <v>17</v>
      </c>
      <c r="C112">
        <v>25260267</v>
      </c>
      <c r="D112" t="s">
        <v>7</v>
      </c>
      <c r="E112" s="2">
        <v>1769901</v>
      </c>
      <c r="F112" s="2">
        <v>136932</v>
      </c>
      <c r="G112">
        <v>1</v>
      </c>
    </row>
    <row r="113" spans="1:7" x14ac:dyDescent="0.25">
      <c r="A113">
        <v>8486527</v>
      </c>
      <c r="B113" t="s">
        <v>17</v>
      </c>
      <c r="C113">
        <v>23868894</v>
      </c>
      <c r="D113" t="s">
        <v>9</v>
      </c>
      <c r="E113" s="2">
        <v>1775290</v>
      </c>
      <c r="F113" s="2">
        <v>206127</v>
      </c>
      <c r="G113">
        <v>55</v>
      </c>
    </row>
    <row r="114" spans="1:7" x14ac:dyDescent="0.25">
      <c r="A114">
        <v>8558638</v>
      </c>
      <c r="B114" t="s">
        <v>17</v>
      </c>
      <c r="C114">
        <v>25963644</v>
      </c>
      <c r="D114" t="s">
        <v>7</v>
      </c>
      <c r="E114" s="2">
        <v>954827</v>
      </c>
      <c r="F114" s="2">
        <v>140128</v>
      </c>
      <c r="G114">
        <v>1</v>
      </c>
    </row>
    <row r="115" spans="1:7" x14ac:dyDescent="0.25">
      <c r="A115">
        <v>8166018</v>
      </c>
      <c r="B115" t="s">
        <v>18</v>
      </c>
      <c r="C115">
        <v>26407894</v>
      </c>
      <c r="D115" t="s">
        <v>7</v>
      </c>
      <c r="E115" s="2">
        <v>221886</v>
      </c>
      <c r="F115" s="2">
        <v>70129</v>
      </c>
      <c r="G115">
        <v>0</v>
      </c>
    </row>
    <row r="116" spans="1:7" x14ac:dyDescent="0.25">
      <c r="A116">
        <v>8381515</v>
      </c>
      <c r="B116" t="s">
        <v>18</v>
      </c>
      <c r="C116">
        <v>14729284</v>
      </c>
      <c r="D116" t="s">
        <v>7</v>
      </c>
      <c r="E116" s="2">
        <v>76333</v>
      </c>
      <c r="F116" s="2">
        <v>70819</v>
      </c>
      <c r="G116">
        <v>0</v>
      </c>
    </row>
    <row r="117" spans="1:7" x14ac:dyDescent="0.25">
      <c r="A117">
        <v>8142913</v>
      </c>
      <c r="B117" t="s">
        <v>18</v>
      </c>
      <c r="C117">
        <v>15150108</v>
      </c>
      <c r="D117" t="s">
        <v>7</v>
      </c>
      <c r="E117" s="2">
        <v>452263</v>
      </c>
      <c r="F117" s="2">
        <v>141909</v>
      </c>
      <c r="G117">
        <v>1</v>
      </c>
    </row>
    <row r="118" spans="1:7" x14ac:dyDescent="0.25">
      <c r="A118">
        <v>8492200</v>
      </c>
      <c r="B118" t="s">
        <v>16</v>
      </c>
      <c r="C118">
        <v>28216922</v>
      </c>
      <c r="D118" t="s">
        <v>12</v>
      </c>
      <c r="E118" s="2">
        <v>1211975</v>
      </c>
      <c r="F118" s="2">
        <v>72793</v>
      </c>
      <c r="G118">
        <v>0</v>
      </c>
    </row>
    <row r="119" spans="1:7" x14ac:dyDescent="0.25">
      <c r="A119">
        <v>8380316</v>
      </c>
      <c r="B119" t="s">
        <v>16</v>
      </c>
      <c r="C119">
        <v>27691424</v>
      </c>
      <c r="D119" t="s">
        <v>7</v>
      </c>
      <c r="E119" s="2">
        <v>96087</v>
      </c>
      <c r="F119" s="2">
        <v>73266</v>
      </c>
      <c r="G119">
        <v>0</v>
      </c>
    </row>
    <row r="120" spans="1:7" x14ac:dyDescent="0.25">
      <c r="A120">
        <v>8381369</v>
      </c>
      <c r="B120" t="s">
        <v>16</v>
      </c>
      <c r="C120">
        <v>25783645</v>
      </c>
      <c r="D120" t="s">
        <v>12</v>
      </c>
      <c r="E120" s="2">
        <v>2014796</v>
      </c>
      <c r="F120" s="2">
        <v>220361</v>
      </c>
      <c r="G120">
        <v>29</v>
      </c>
    </row>
    <row r="121" spans="1:7" x14ac:dyDescent="0.25">
      <c r="A121">
        <v>8162090</v>
      </c>
      <c r="B121" t="s">
        <v>17</v>
      </c>
      <c r="C121">
        <v>20736069</v>
      </c>
      <c r="D121" t="s">
        <v>7</v>
      </c>
      <c r="E121" s="2">
        <v>2509224</v>
      </c>
      <c r="F121" s="2">
        <v>222018</v>
      </c>
      <c r="G121">
        <v>30</v>
      </c>
    </row>
    <row r="122" spans="1:7" x14ac:dyDescent="0.25">
      <c r="A122">
        <v>8174059</v>
      </c>
      <c r="B122" t="s">
        <v>17</v>
      </c>
      <c r="C122">
        <v>22099246</v>
      </c>
      <c r="D122" t="s">
        <v>7</v>
      </c>
      <c r="E122" s="2">
        <v>342426</v>
      </c>
      <c r="F122" s="2">
        <v>74041</v>
      </c>
      <c r="G122">
        <v>0</v>
      </c>
    </row>
    <row r="123" spans="1:7" x14ac:dyDescent="0.25">
      <c r="A123">
        <v>8293815</v>
      </c>
      <c r="B123" t="s">
        <v>17</v>
      </c>
      <c r="C123">
        <v>26238609</v>
      </c>
      <c r="D123" t="s">
        <v>7</v>
      </c>
      <c r="E123" s="2">
        <v>1846482</v>
      </c>
      <c r="F123" s="2">
        <v>148368</v>
      </c>
      <c r="G123">
        <v>5</v>
      </c>
    </row>
    <row r="124" spans="1:7" x14ac:dyDescent="0.25">
      <c r="A124">
        <v>8292902</v>
      </c>
      <c r="B124" t="s">
        <v>18</v>
      </c>
      <c r="C124">
        <v>27040978</v>
      </c>
      <c r="D124" t="s">
        <v>7</v>
      </c>
      <c r="E124" s="2">
        <v>1991286</v>
      </c>
      <c r="F124" s="2">
        <v>76736</v>
      </c>
      <c r="G124">
        <v>0</v>
      </c>
    </row>
    <row r="125" spans="1:7" x14ac:dyDescent="0.25">
      <c r="A125">
        <v>8293793</v>
      </c>
      <c r="B125" t="s">
        <v>18</v>
      </c>
      <c r="C125">
        <v>27730431</v>
      </c>
      <c r="D125" t="s">
        <v>7</v>
      </c>
      <c r="E125" s="2">
        <v>1230412</v>
      </c>
      <c r="F125" s="2">
        <v>154173</v>
      </c>
      <c r="G125">
        <v>1</v>
      </c>
    </row>
    <row r="126" spans="1:7" x14ac:dyDescent="0.25">
      <c r="A126">
        <v>8556457</v>
      </c>
      <c r="B126" t="s">
        <v>17</v>
      </c>
      <c r="C126">
        <v>27021386</v>
      </c>
      <c r="D126" t="s">
        <v>7</v>
      </c>
      <c r="E126" s="2">
        <v>2213335</v>
      </c>
      <c r="F126" s="2">
        <v>156498</v>
      </c>
      <c r="G126">
        <v>1</v>
      </c>
    </row>
    <row r="127" spans="1:7" x14ac:dyDescent="0.25">
      <c r="A127">
        <v>8556668</v>
      </c>
      <c r="B127" t="s">
        <v>18</v>
      </c>
      <c r="C127">
        <v>23262163</v>
      </c>
      <c r="D127" t="s">
        <v>7</v>
      </c>
      <c r="E127" s="2">
        <v>425920</v>
      </c>
      <c r="F127" s="2">
        <v>78256</v>
      </c>
      <c r="G127">
        <v>0</v>
      </c>
    </row>
    <row r="128" spans="1:7" x14ac:dyDescent="0.25">
      <c r="A128">
        <v>8491006</v>
      </c>
      <c r="B128" t="s">
        <v>18</v>
      </c>
      <c r="C128">
        <v>24075863</v>
      </c>
      <c r="D128" t="s">
        <v>7</v>
      </c>
      <c r="E128" s="2">
        <v>263792</v>
      </c>
      <c r="F128" s="2">
        <v>235975</v>
      </c>
      <c r="G128">
        <v>30</v>
      </c>
    </row>
    <row r="129" spans="1:7" x14ac:dyDescent="0.25">
      <c r="A129">
        <v>8488114</v>
      </c>
      <c r="B129" t="s">
        <v>18</v>
      </c>
      <c r="C129">
        <v>25928078</v>
      </c>
      <c r="D129" t="s">
        <v>7</v>
      </c>
      <c r="E129" s="2">
        <v>70716</v>
      </c>
      <c r="F129" s="2">
        <v>42151</v>
      </c>
      <c r="G129">
        <v>0</v>
      </c>
    </row>
    <row r="130" spans="1:7" x14ac:dyDescent="0.25">
      <c r="A130">
        <v>8186426</v>
      </c>
      <c r="B130" t="s">
        <v>18</v>
      </c>
      <c r="C130">
        <v>22931031</v>
      </c>
      <c r="D130" t="s">
        <v>7</v>
      </c>
      <c r="E130" s="2">
        <v>71202</v>
      </c>
      <c r="F130" s="2">
        <v>77981</v>
      </c>
      <c r="G130">
        <v>0</v>
      </c>
    </row>
    <row r="131" spans="1:7" x14ac:dyDescent="0.25">
      <c r="A131">
        <v>8381369</v>
      </c>
      <c r="B131" t="s">
        <v>16</v>
      </c>
      <c r="C131">
        <v>26266777</v>
      </c>
      <c r="D131" t="s">
        <v>12</v>
      </c>
      <c r="E131" s="2">
        <v>154373</v>
      </c>
      <c r="F131" s="2">
        <v>81748</v>
      </c>
      <c r="G131">
        <v>0</v>
      </c>
    </row>
    <row r="132" spans="1:7" x14ac:dyDescent="0.25">
      <c r="A132">
        <v>8175521</v>
      </c>
      <c r="B132" t="s">
        <v>18</v>
      </c>
      <c r="C132">
        <v>28584078</v>
      </c>
      <c r="D132" t="s">
        <v>7</v>
      </c>
      <c r="E132" s="2">
        <v>822807</v>
      </c>
      <c r="F132" s="2">
        <v>82164</v>
      </c>
      <c r="G132">
        <v>0</v>
      </c>
    </row>
    <row r="133" spans="1:7" x14ac:dyDescent="0.25">
      <c r="A133">
        <v>8175233</v>
      </c>
      <c r="B133" t="s">
        <v>18</v>
      </c>
      <c r="C133">
        <v>27048969</v>
      </c>
      <c r="D133" t="s">
        <v>7</v>
      </c>
      <c r="E133" s="2">
        <v>1543937</v>
      </c>
      <c r="F133" s="2">
        <v>166626</v>
      </c>
      <c r="G133">
        <v>5</v>
      </c>
    </row>
    <row r="134" spans="1:7" x14ac:dyDescent="0.25">
      <c r="A134">
        <v>8555675</v>
      </c>
      <c r="B134" t="s">
        <v>17</v>
      </c>
      <c r="C134">
        <v>14868002</v>
      </c>
      <c r="D134" t="s">
        <v>7</v>
      </c>
      <c r="E134" s="2">
        <v>2015098</v>
      </c>
      <c r="F134" s="2">
        <v>250661</v>
      </c>
      <c r="G134">
        <v>30</v>
      </c>
    </row>
    <row r="135" spans="1:7" x14ac:dyDescent="0.25">
      <c r="A135">
        <v>8368826</v>
      </c>
      <c r="B135" t="s">
        <v>17</v>
      </c>
      <c r="C135">
        <v>11200552</v>
      </c>
      <c r="D135" t="s">
        <v>7</v>
      </c>
      <c r="E135" s="2">
        <v>2512951</v>
      </c>
      <c r="F135" s="2">
        <v>84289</v>
      </c>
      <c r="G135">
        <v>0</v>
      </c>
    </row>
    <row r="136" spans="1:7" x14ac:dyDescent="0.25">
      <c r="A136">
        <v>8379238</v>
      </c>
      <c r="B136" t="s">
        <v>18</v>
      </c>
      <c r="C136">
        <v>27262178</v>
      </c>
      <c r="D136" t="s">
        <v>7</v>
      </c>
      <c r="E136" s="2">
        <v>1707035</v>
      </c>
      <c r="F136" s="2">
        <v>88299</v>
      </c>
      <c r="G136">
        <v>0</v>
      </c>
    </row>
    <row r="137" spans="1:7" x14ac:dyDescent="0.25">
      <c r="A137">
        <v>8164846</v>
      </c>
      <c r="B137" t="s">
        <v>17</v>
      </c>
      <c r="C137">
        <v>24213987</v>
      </c>
      <c r="D137" t="s">
        <v>7</v>
      </c>
      <c r="E137" s="2">
        <v>1700360</v>
      </c>
      <c r="F137" s="2">
        <v>177245</v>
      </c>
      <c r="G137">
        <v>1</v>
      </c>
    </row>
    <row r="138" spans="1:7" x14ac:dyDescent="0.25">
      <c r="A138">
        <v>8290480</v>
      </c>
      <c r="B138" t="s">
        <v>17</v>
      </c>
      <c r="C138">
        <v>25411228</v>
      </c>
      <c r="D138" t="s">
        <v>7</v>
      </c>
      <c r="E138" s="2">
        <v>78655</v>
      </c>
      <c r="F138" s="2">
        <v>88795</v>
      </c>
      <c r="G138">
        <v>0</v>
      </c>
    </row>
    <row r="139" spans="1:7" x14ac:dyDescent="0.25">
      <c r="A139">
        <v>8491599</v>
      </c>
      <c r="B139" t="s">
        <v>17</v>
      </c>
      <c r="C139">
        <v>17748506</v>
      </c>
      <c r="D139" t="s">
        <v>7</v>
      </c>
      <c r="E139" s="2">
        <v>78690</v>
      </c>
      <c r="F139" s="2">
        <v>89510</v>
      </c>
      <c r="G139">
        <v>0</v>
      </c>
    </row>
    <row r="140" spans="1:7" x14ac:dyDescent="0.25">
      <c r="A140">
        <v>8089696</v>
      </c>
      <c r="B140" t="s">
        <v>17</v>
      </c>
      <c r="C140">
        <v>20146321</v>
      </c>
      <c r="D140" t="s">
        <v>7</v>
      </c>
      <c r="E140" s="2">
        <v>1857002</v>
      </c>
      <c r="F140" s="2">
        <v>91643</v>
      </c>
      <c r="G140">
        <v>0</v>
      </c>
    </row>
    <row r="141" spans="1:7" x14ac:dyDescent="0.25">
      <c r="A141">
        <v>8170036</v>
      </c>
      <c r="B141" t="s">
        <v>18</v>
      </c>
      <c r="C141">
        <v>21447860</v>
      </c>
      <c r="D141" t="s">
        <v>7</v>
      </c>
      <c r="E141" s="2">
        <v>1532129</v>
      </c>
      <c r="F141" s="2">
        <v>91656</v>
      </c>
      <c r="G141">
        <v>0</v>
      </c>
    </row>
    <row r="142" spans="1:7" x14ac:dyDescent="0.25">
      <c r="A142">
        <v>8147976</v>
      </c>
      <c r="B142" t="s">
        <v>18</v>
      </c>
      <c r="C142">
        <v>22912840</v>
      </c>
      <c r="D142" t="s">
        <v>7</v>
      </c>
      <c r="E142" s="2">
        <v>462460</v>
      </c>
      <c r="F142" s="2">
        <v>184168</v>
      </c>
      <c r="G142">
        <v>29</v>
      </c>
    </row>
    <row r="143" spans="1:7" x14ac:dyDescent="0.25">
      <c r="A143">
        <v>8145532</v>
      </c>
      <c r="B143" t="s">
        <v>17</v>
      </c>
      <c r="C143">
        <v>27443036</v>
      </c>
      <c r="D143" t="s">
        <v>7</v>
      </c>
      <c r="E143" s="2">
        <v>1188864</v>
      </c>
      <c r="F143" s="2">
        <v>92233</v>
      </c>
      <c r="G143">
        <v>0</v>
      </c>
    </row>
    <row r="144" spans="1:7" x14ac:dyDescent="0.25">
      <c r="A144">
        <v>8172935</v>
      </c>
      <c r="B144" t="s">
        <v>18</v>
      </c>
      <c r="C144">
        <v>27864939</v>
      </c>
      <c r="D144" t="s">
        <v>7</v>
      </c>
      <c r="E144" s="2">
        <v>646425</v>
      </c>
      <c r="F144" s="2">
        <v>92451</v>
      </c>
      <c r="G144">
        <v>0</v>
      </c>
    </row>
    <row r="145" spans="1:7" x14ac:dyDescent="0.25">
      <c r="A145">
        <v>8521961</v>
      </c>
      <c r="B145" t="s">
        <v>18</v>
      </c>
      <c r="C145">
        <v>20568876</v>
      </c>
      <c r="D145" t="s">
        <v>7</v>
      </c>
      <c r="E145" s="2">
        <v>1025866</v>
      </c>
      <c r="F145" s="2">
        <v>185787</v>
      </c>
      <c r="G145">
        <v>5</v>
      </c>
    </row>
    <row r="146" spans="1:7" x14ac:dyDescent="0.25">
      <c r="A146">
        <v>8377227</v>
      </c>
      <c r="B146" t="s">
        <v>18</v>
      </c>
      <c r="C146">
        <v>24816925</v>
      </c>
      <c r="D146" t="s">
        <v>7</v>
      </c>
      <c r="E146" s="2">
        <v>952756</v>
      </c>
      <c r="F146" s="2">
        <v>93147</v>
      </c>
      <c r="G146">
        <v>0</v>
      </c>
    </row>
    <row r="147" spans="1:7" x14ac:dyDescent="0.25">
      <c r="A147">
        <v>8490949</v>
      </c>
      <c r="B147" t="s">
        <v>18</v>
      </c>
      <c r="C147">
        <v>25373614</v>
      </c>
      <c r="D147" t="s">
        <v>7</v>
      </c>
      <c r="E147" s="2">
        <v>82071</v>
      </c>
      <c r="F147" s="2">
        <v>32071</v>
      </c>
      <c r="G147">
        <v>0</v>
      </c>
    </row>
    <row r="148" spans="1:7" x14ac:dyDescent="0.25">
      <c r="A148">
        <v>8488607</v>
      </c>
      <c r="B148" t="s">
        <v>16</v>
      </c>
      <c r="C148">
        <v>15630098</v>
      </c>
      <c r="D148" t="s">
        <v>7</v>
      </c>
      <c r="E148" s="2">
        <v>2530814</v>
      </c>
      <c r="F148" s="2">
        <v>281451</v>
      </c>
      <c r="G148">
        <v>30</v>
      </c>
    </row>
    <row r="149" spans="1:7" x14ac:dyDescent="0.25">
      <c r="A149">
        <v>8550284</v>
      </c>
      <c r="B149" t="s">
        <v>18</v>
      </c>
      <c r="C149">
        <v>21382277</v>
      </c>
      <c r="D149" t="s">
        <v>7</v>
      </c>
      <c r="E149" s="2">
        <v>326241</v>
      </c>
      <c r="F149" s="2">
        <v>94249</v>
      </c>
      <c r="G149">
        <v>0</v>
      </c>
    </row>
    <row r="150" spans="1:7" x14ac:dyDescent="0.25">
      <c r="A150">
        <v>8164706</v>
      </c>
      <c r="B150" t="s">
        <v>18</v>
      </c>
      <c r="C150">
        <v>27675670</v>
      </c>
      <c r="D150" t="s">
        <v>7</v>
      </c>
      <c r="E150" s="2">
        <v>357619</v>
      </c>
      <c r="F150" s="2">
        <v>189556</v>
      </c>
      <c r="G150">
        <v>29</v>
      </c>
    </row>
    <row r="151" spans="1:7" x14ac:dyDescent="0.25">
      <c r="A151">
        <v>8550284</v>
      </c>
      <c r="B151" t="s">
        <v>18</v>
      </c>
      <c r="C151">
        <v>25923127</v>
      </c>
      <c r="D151" t="s">
        <v>7</v>
      </c>
      <c r="E151" s="2">
        <v>1517835</v>
      </c>
      <c r="F151" s="2">
        <v>190862</v>
      </c>
      <c r="G151">
        <v>1</v>
      </c>
    </row>
    <row r="152" spans="1:7" x14ac:dyDescent="0.25">
      <c r="A152">
        <v>8368568</v>
      </c>
      <c r="B152" t="s">
        <v>16</v>
      </c>
      <c r="C152">
        <v>23353967</v>
      </c>
      <c r="D152" t="s">
        <v>7</v>
      </c>
      <c r="E152" s="2">
        <v>1198964</v>
      </c>
      <c r="F152" s="2">
        <v>295418</v>
      </c>
      <c r="G152">
        <v>30</v>
      </c>
    </row>
    <row r="153" spans="1:7" x14ac:dyDescent="0.25">
      <c r="A153">
        <v>8120741</v>
      </c>
      <c r="B153" t="s">
        <v>16</v>
      </c>
      <c r="C153">
        <v>22880917</v>
      </c>
      <c r="D153" t="s">
        <v>7</v>
      </c>
      <c r="E153" s="2">
        <v>786604</v>
      </c>
      <c r="F153" s="2">
        <v>201679</v>
      </c>
      <c r="G153">
        <v>29</v>
      </c>
    </row>
    <row r="154" spans="1:7" x14ac:dyDescent="0.25">
      <c r="A154">
        <v>8261570</v>
      </c>
      <c r="B154" t="s">
        <v>16</v>
      </c>
      <c r="C154">
        <v>27224146</v>
      </c>
      <c r="D154" t="s">
        <v>7</v>
      </c>
      <c r="E154" s="2">
        <v>10813465</v>
      </c>
      <c r="F154" s="2">
        <v>305942</v>
      </c>
      <c r="G154">
        <v>30</v>
      </c>
    </row>
    <row r="155" spans="1:7" x14ac:dyDescent="0.25">
      <c r="A155">
        <v>8259637</v>
      </c>
      <c r="B155" t="s">
        <v>16</v>
      </c>
      <c r="C155">
        <v>22944995</v>
      </c>
      <c r="D155" t="s">
        <v>7</v>
      </c>
      <c r="E155" s="2">
        <v>246544</v>
      </c>
      <c r="F155" s="2">
        <v>102265</v>
      </c>
      <c r="G155">
        <v>0</v>
      </c>
    </row>
    <row r="156" spans="1:7" x14ac:dyDescent="0.25">
      <c r="A156">
        <v>8293546</v>
      </c>
      <c r="B156" t="s">
        <v>16</v>
      </c>
      <c r="C156">
        <v>21634560</v>
      </c>
      <c r="D156" t="s">
        <v>7</v>
      </c>
      <c r="E156" s="2">
        <v>3488654</v>
      </c>
      <c r="F156" s="2">
        <v>102842</v>
      </c>
      <c r="G156">
        <v>0</v>
      </c>
    </row>
    <row r="157" spans="1:7" x14ac:dyDescent="0.25">
      <c r="A157">
        <v>8169102</v>
      </c>
      <c r="B157" t="s">
        <v>18</v>
      </c>
      <c r="C157">
        <v>25450537</v>
      </c>
      <c r="D157" t="s">
        <v>7</v>
      </c>
      <c r="E157" s="2">
        <v>632160</v>
      </c>
      <c r="F157" s="2">
        <v>103698</v>
      </c>
      <c r="G157">
        <v>0</v>
      </c>
    </row>
    <row r="158" spans="1:7" x14ac:dyDescent="0.25">
      <c r="A158">
        <v>8260923</v>
      </c>
      <c r="B158" t="s">
        <v>18</v>
      </c>
      <c r="C158">
        <v>23139966</v>
      </c>
      <c r="D158" t="s">
        <v>7</v>
      </c>
      <c r="E158" s="2">
        <v>813947</v>
      </c>
      <c r="F158" s="2">
        <v>208919</v>
      </c>
      <c r="G158">
        <v>31</v>
      </c>
    </row>
    <row r="159" spans="1:7" x14ac:dyDescent="0.25">
      <c r="A159">
        <v>8170902</v>
      </c>
      <c r="B159" t="s">
        <v>17</v>
      </c>
      <c r="C159">
        <v>4617082</v>
      </c>
      <c r="D159" t="s">
        <v>7</v>
      </c>
      <c r="E159" s="2">
        <v>1465512</v>
      </c>
      <c r="F159" s="2">
        <v>317673</v>
      </c>
      <c r="G159">
        <v>30</v>
      </c>
    </row>
    <row r="160" spans="1:7" x14ac:dyDescent="0.25">
      <c r="A160">
        <v>8552331</v>
      </c>
      <c r="B160" t="s">
        <v>16</v>
      </c>
      <c r="C160">
        <v>23982519</v>
      </c>
      <c r="D160" t="s">
        <v>7</v>
      </c>
      <c r="E160" s="2">
        <v>1766860</v>
      </c>
      <c r="F160" s="2">
        <v>317875</v>
      </c>
      <c r="G160">
        <v>60</v>
      </c>
    </row>
    <row r="161" spans="1:7" x14ac:dyDescent="0.25">
      <c r="A161">
        <v>8374957</v>
      </c>
      <c r="B161" t="s">
        <v>18</v>
      </c>
      <c r="C161">
        <v>26344716</v>
      </c>
      <c r="D161" t="s">
        <v>7</v>
      </c>
      <c r="E161" s="2">
        <v>1700326</v>
      </c>
      <c r="F161" s="2">
        <v>214989</v>
      </c>
      <c r="G161">
        <v>1</v>
      </c>
    </row>
    <row r="162" spans="1:7" x14ac:dyDescent="0.25">
      <c r="A162">
        <v>8383131</v>
      </c>
      <c r="B162" t="s">
        <v>18</v>
      </c>
      <c r="C162">
        <v>28586777</v>
      </c>
      <c r="D162" t="s">
        <v>7</v>
      </c>
      <c r="E162" s="2">
        <v>468285</v>
      </c>
      <c r="F162" s="2">
        <v>215655</v>
      </c>
      <c r="G162">
        <v>29</v>
      </c>
    </row>
    <row r="163" spans="1:7" x14ac:dyDescent="0.25">
      <c r="A163">
        <v>8160167</v>
      </c>
      <c r="B163" t="s">
        <v>18</v>
      </c>
      <c r="C163">
        <v>2861483</v>
      </c>
      <c r="D163" t="s">
        <v>7</v>
      </c>
      <c r="E163" s="2">
        <v>621661</v>
      </c>
      <c r="F163" s="2">
        <v>108136</v>
      </c>
      <c r="G163">
        <v>0</v>
      </c>
    </row>
    <row r="164" spans="1:7" x14ac:dyDescent="0.25">
      <c r="A164">
        <v>8551680</v>
      </c>
      <c r="B164" t="s">
        <v>18</v>
      </c>
      <c r="C164">
        <v>23582216</v>
      </c>
      <c r="D164" t="s">
        <v>7</v>
      </c>
      <c r="E164" s="2">
        <v>288355</v>
      </c>
      <c r="F164" s="2">
        <v>328004</v>
      </c>
      <c r="G164">
        <v>150</v>
      </c>
    </row>
    <row r="165" spans="1:7" x14ac:dyDescent="0.25">
      <c r="A165">
        <v>8488151</v>
      </c>
      <c r="B165" t="s">
        <v>18</v>
      </c>
      <c r="C165">
        <v>27177262</v>
      </c>
      <c r="D165" t="s">
        <v>7</v>
      </c>
      <c r="E165" s="2">
        <v>2202245</v>
      </c>
      <c r="F165" s="2">
        <v>221851</v>
      </c>
      <c r="G165">
        <v>5</v>
      </c>
    </row>
    <row r="166" spans="1:7" x14ac:dyDescent="0.25">
      <c r="A166">
        <v>8525766</v>
      </c>
      <c r="B166" t="s">
        <v>18</v>
      </c>
      <c r="C166">
        <v>27984804</v>
      </c>
      <c r="D166" t="s">
        <v>7</v>
      </c>
      <c r="E166" s="2">
        <v>1796773</v>
      </c>
      <c r="F166" s="2">
        <v>334427</v>
      </c>
      <c r="G166">
        <v>60</v>
      </c>
    </row>
    <row r="167" spans="1:7" x14ac:dyDescent="0.25">
      <c r="A167">
        <v>8260027</v>
      </c>
      <c r="B167" t="s">
        <v>18</v>
      </c>
      <c r="C167">
        <v>24186163</v>
      </c>
      <c r="D167" t="s">
        <v>7</v>
      </c>
      <c r="E167" s="2">
        <v>705862</v>
      </c>
      <c r="F167" s="2">
        <v>111844</v>
      </c>
      <c r="G167">
        <v>0</v>
      </c>
    </row>
    <row r="168" spans="1:7" x14ac:dyDescent="0.25">
      <c r="A168">
        <v>8552858</v>
      </c>
      <c r="B168" t="s">
        <v>17</v>
      </c>
      <c r="C168">
        <v>28584622</v>
      </c>
      <c r="D168" t="s">
        <v>7</v>
      </c>
      <c r="E168" s="2">
        <v>826766</v>
      </c>
      <c r="F168" s="2">
        <v>224451</v>
      </c>
      <c r="G168">
        <v>29</v>
      </c>
    </row>
    <row r="169" spans="1:7" x14ac:dyDescent="0.25">
      <c r="A169">
        <v>8171975</v>
      </c>
      <c r="B169" t="s">
        <v>17</v>
      </c>
      <c r="C169">
        <v>16563072</v>
      </c>
      <c r="D169" t="s">
        <v>13</v>
      </c>
      <c r="E169" s="2">
        <v>1223204</v>
      </c>
      <c r="F169" s="2">
        <v>337456</v>
      </c>
      <c r="G169">
        <v>29</v>
      </c>
    </row>
    <row r="170" spans="1:7" x14ac:dyDescent="0.25">
      <c r="A170">
        <v>8259919</v>
      </c>
      <c r="B170" t="s">
        <v>16</v>
      </c>
      <c r="C170">
        <v>22073982</v>
      </c>
      <c r="D170" t="s">
        <v>7</v>
      </c>
      <c r="E170" s="2">
        <v>1155719</v>
      </c>
      <c r="F170" s="2">
        <v>343824</v>
      </c>
      <c r="G170">
        <v>30</v>
      </c>
    </row>
    <row r="171" spans="1:7" x14ac:dyDescent="0.25">
      <c r="A171">
        <v>8382938</v>
      </c>
      <c r="B171" t="s">
        <v>18</v>
      </c>
      <c r="C171">
        <v>25819135</v>
      </c>
      <c r="D171" t="s">
        <v>7</v>
      </c>
      <c r="E171" s="2">
        <v>859007</v>
      </c>
      <c r="F171" s="2">
        <v>231797</v>
      </c>
      <c r="G171">
        <v>5</v>
      </c>
    </row>
    <row r="172" spans="1:7" x14ac:dyDescent="0.25">
      <c r="A172">
        <v>8381336</v>
      </c>
      <c r="B172" t="s">
        <v>18</v>
      </c>
      <c r="C172">
        <v>25292675</v>
      </c>
      <c r="D172" t="s">
        <v>7</v>
      </c>
      <c r="E172" s="2">
        <v>1538784</v>
      </c>
      <c r="F172" s="2">
        <v>232755</v>
      </c>
      <c r="G172">
        <v>5</v>
      </c>
    </row>
    <row r="173" spans="1:7" x14ac:dyDescent="0.25">
      <c r="A173">
        <v>8457400</v>
      </c>
      <c r="B173" t="s">
        <v>17</v>
      </c>
      <c r="C173">
        <v>21487456</v>
      </c>
      <c r="D173" t="s">
        <v>7</v>
      </c>
      <c r="E173" s="2">
        <v>864911</v>
      </c>
      <c r="F173" s="2">
        <v>353415</v>
      </c>
      <c r="G173">
        <v>60</v>
      </c>
    </row>
    <row r="174" spans="1:7" x14ac:dyDescent="0.25">
      <c r="A174">
        <v>8373922</v>
      </c>
      <c r="B174" t="s">
        <v>17</v>
      </c>
      <c r="C174">
        <v>15451183</v>
      </c>
      <c r="D174" t="s">
        <v>7</v>
      </c>
      <c r="E174" s="2">
        <v>968561</v>
      </c>
      <c r="F174" s="2">
        <v>117938</v>
      </c>
      <c r="G174">
        <v>0</v>
      </c>
    </row>
    <row r="175" spans="1:7" x14ac:dyDescent="0.25">
      <c r="A175">
        <v>8491409</v>
      </c>
      <c r="B175" t="s">
        <v>17</v>
      </c>
      <c r="C175">
        <v>25336921</v>
      </c>
      <c r="D175" t="s">
        <v>9</v>
      </c>
      <c r="E175" s="2">
        <v>4790363</v>
      </c>
      <c r="F175" s="2">
        <v>354025</v>
      </c>
      <c r="G175">
        <v>29</v>
      </c>
    </row>
    <row r="176" spans="1:7" x14ac:dyDescent="0.25">
      <c r="A176">
        <v>8291748</v>
      </c>
      <c r="B176" t="s">
        <v>18</v>
      </c>
      <c r="C176">
        <v>26162028</v>
      </c>
      <c r="D176" t="s">
        <v>7</v>
      </c>
      <c r="E176" s="2">
        <v>999116</v>
      </c>
      <c r="F176" s="2">
        <v>119200</v>
      </c>
      <c r="G176">
        <v>0</v>
      </c>
    </row>
    <row r="177" spans="1:7" x14ac:dyDescent="0.25">
      <c r="A177">
        <v>8351047</v>
      </c>
      <c r="B177" t="s">
        <v>18</v>
      </c>
      <c r="C177">
        <v>24368978</v>
      </c>
      <c r="D177" t="s">
        <v>7</v>
      </c>
      <c r="E177" s="2">
        <v>1032352</v>
      </c>
      <c r="F177" s="2">
        <v>119355</v>
      </c>
      <c r="G177">
        <v>0</v>
      </c>
    </row>
    <row r="178" spans="1:7" x14ac:dyDescent="0.25">
      <c r="A178">
        <v>8171628</v>
      </c>
      <c r="B178" t="s">
        <v>18</v>
      </c>
      <c r="C178">
        <v>25979102</v>
      </c>
      <c r="D178" t="s">
        <v>7</v>
      </c>
      <c r="E178" s="2">
        <v>1252415</v>
      </c>
      <c r="F178" s="2">
        <v>121021</v>
      </c>
      <c r="G178">
        <v>0</v>
      </c>
    </row>
    <row r="179" spans="1:7" x14ac:dyDescent="0.25">
      <c r="A179">
        <v>8166205</v>
      </c>
      <c r="B179" t="s">
        <v>17</v>
      </c>
      <c r="C179">
        <v>20946217</v>
      </c>
      <c r="D179" t="s">
        <v>7</v>
      </c>
      <c r="E179" s="2">
        <v>1729430</v>
      </c>
      <c r="F179" s="2">
        <v>248321</v>
      </c>
      <c r="G179">
        <v>5</v>
      </c>
    </row>
    <row r="180" spans="1:7" x14ac:dyDescent="0.25">
      <c r="A180">
        <v>8292460</v>
      </c>
      <c r="B180" t="s">
        <v>16</v>
      </c>
      <c r="C180">
        <v>26369115</v>
      </c>
      <c r="D180" t="s">
        <v>7</v>
      </c>
      <c r="E180" s="2">
        <v>2667361</v>
      </c>
      <c r="F180" s="2">
        <v>250241</v>
      </c>
      <c r="G180">
        <v>5</v>
      </c>
    </row>
    <row r="181" spans="1:7" x14ac:dyDescent="0.25">
      <c r="A181">
        <v>8519500</v>
      </c>
      <c r="B181" t="s">
        <v>18</v>
      </c>
      <c r="C181">
        <v>16702203</v>
      </c>
      <c r="D181" t="s">
        <v>7</v>
      </c>
      <c r="E181" s="2">
        <v>817590</v>
      </c>
      <c r="F181" s="2">
        <v>125286</v>
      </c>
      <c r="G181">
        <v>0</v>
      </c>
    </row>
    <row r="182" spans="1:7" x14ac:dyDescent="0.25">
      <c r="A182">
        <v>8263672</v>
      </c>
      <c r="B182" t="s">
        <v>17</v>
      </c>
      <c r="C182">
        <v>20692962</v>
      </c>
      <c r="D182" t="s">
        <v>9</v>
      </c>
      <c r="E182" s="2">
        <v>4808916</v>
      </c>
      <c r="F182" s="2">
        <v>377457</v>
      </c>
      <c r="G182">
        <v>29</v>
      </c>
    </row>
    <row r="183" spans="1:7" x14ac:dyDescent="0.25">
      <c r="A183">
        <v>8521432</v>
      </c>
      <c r="B183" t="s">
        <v>17</v>
      </c>
      <c r="C183">
        <v>25258052</v>
      </c>
      <c r="D183" t="s">
        <v>7</v>
      </c>
      <c r="E183" s="2">
        <v>1596461</v>
      </c>
      <c r="F183" s="2">
        <v>126587</v>
      </c>
      <c r="G183">
        <v>0</v>
      </c>
    </row>
    <row r="184" spans="1:7" x14ac:dyDescent="0.25">
      <c r="A184">
        <v>8089801</v>
      </c>
      <c r="B184" t="s">
        <v>17</v>
      </c>
      <c r="C184">
        <v>26967590</v>
      </c>
      <c r="D184" t="s">
        <v>7</v>
      </c>
      <c r="E184" s="2">
        <v>1739486</v>
      </c>
      <c r="F184" s="2">
        <v>382382</v>
      </c>
      <c r="G184">
        <v>90</v>
      </c>
    </row>
    <row r="185" spans="1:7" x14ac:dyDescent="0.25">
      <c r="A185">
        <v>8380574</v>
      </c>
      <c r="B185" t="s">
        <v>16</v>
      </c>
      <c r="C185">
        <v>26787345</v>
      </c>
      <c r="D185" t="s">
        <v>12</v>
      </c>
      <c r="E185" s="2">
        <v>1426767</v>
      </c>
      <c r="F185" s="2">
        <v>382841</v>
      </c>
      <c r="G185">
        <v>176</v>
      </c>
    </row>
    <row r="186" spans="1:7" x14ac:dyDescent="0.25">
      <c r="A186">
        <v>8260160</v>
      </c>
      <c r="B186" t="s">
        <v>17</v>
      </c>
      <c r="C186">
        <v>27607686</v>
      </c>
      <c r="D186" t="s">
        <v>7</v>
      </c>
      <c r="E186" s="2">
        <v>4497543</v>
      </c>
      <c r="F186" s="2">
        <v>255813</v>
      </c>
      <c r="G186">
        <v>5</v>
      </c>
    </row>
    <row r="187" spans="1:7" x14ac:dyDescent="0.25">
      <c r="A187">
        <v>8163268</v>
      </c>
      <c r="B187" t="s">
        <v>18</v>
      </c>
      <c r="C187">
        <v>27339206</v>
      </c>
      <c r="D187" t="s">
        <v>7</v>
      </c>
      <c r="E187" s="2">
        <v>1492731</v>
      </c>
      <c r="F187" s="2">
        <v>128466</v>
      </c>
      <c r="G187">
        <v>0</v>
      </c>
    </row>
    <row r="188" spans="1:7" x14ac:dyDescent="0.25">
      <c r="A188">
        <v>8169981</v>
      </c>
      <c r="B188" t="s">
        <v>17</v>
      </c>
      <c r="C188">
        <v>27032129</v>
      </c>
      <c r="D188" t="s">
        <v>7</v>
      </c>
      <c r="E188" s="2">
        <v>2186625</v>
      </c>
      <c r="F188" s="2">
        <v>392482</v>
      </c>
      <c r="G188">
        <v>60</v>
      </c>
    </row>
    <row r="189" spans="1:7" x14ac:dyDescent="0.25">
      <c r="A189">
        <v>8554278</v>
      </c>
      <c r="B189" t="s">
        <v>18</v>
      </c>
      <c r="C189">
        <v>20987702</v>
      </c>
      <c r="D189" t="s">
        <v>7</v>
      </c>
      <c r="E189" s="2">
        <v>1792958</v>
      </c>
      <c r="F189" s="2">
        <v>261696</v>
      </c>
      <c r="G189">
        <v>5</v>
      </c>
    </row>
    <row r="190" spans="1:7" x14ac:dyDescent="0.25">
      <c r="A190">
        <v>8293299</v>
      </c>
      <c r="B190" t="s">
        <v>16</v>
      </c>
      <c r="C190">
        <v>27039509</v>
      </c>
      <c r="D190" t="s">
        <v>13</v>
      </c>
      <c r="E190" s="2">
        <v>1659413</v>
      </c>
      <c r="F190" s="2">
        <v>394788</v>
      </c>
      <c r="G190">
        <v>29</v>
      </c>
    </row>
    <row r="191" spans="1:7" x14ac:dyDescent="0.25">
      <c r="A191">
        <v>8183881</v>
      </c>
      <c r="B191" t="s">
        <v>18</v>
      </c>
      <c r="C191">
        <v>25845909</v>
      </c>
      <c r="D191" t="s">
        <v>7</v>
      </c>
      <c r="E191" s="2">
        <v>799701</v>
      </c>
      <c r="F191" s="2">
        <v>133003</v>
      </c>
      <c r="G191">
        <v>0</v>
      </c>
    </row>
    <row r="192" spans="1:7" x14ac:dyDescent="0.25">
      <c r="A192">
        <v>8261611</v>
      </c>
      <c r="B192" t="s">
        <v>18</v>
      </c>
      <c r="C192">
        <v>26389240</v>
      </c>
      <c r="D192" t="s">
        <v>7</v>
      </c>
      <c r="E192" s="2">
        <v>1602720</v>
      </c>
      <c r="F192" s="2">
        <v>133727</v>
      </c>
      <c r="G192">
        <v>0</v>
      </c>
    </row>
    <row r="193" spans="1:7" x14ac:dyDescent="0.25">
      <c r="A193">
        <v>8175003</v>
      </c>
      <c r="B193" t="s">
        <v>18</v>
      </c>
      <c r="C193">
        <v>11405813</v>
      </c>
      <c r="D193" t="s">
        <v>7</v>
      </c>
      <c r="E193" s="2">
        <v>814267</v>
      </c>
      <c r="F193" s="2">
        <v>134045</v>
      </c>
      <c r="G193">
        <v>0</v>
      </c>
    </row>
    <row r="194" spans="1:7" x14ac:dyDescent="0.25">
      <c r="A194">
        <v>8177174</v>
      </c>
      <c r="B194" t="s">
        <v>18</v>
      </c>
      <c r="C194">
        <v>16031676</v>
      </c>
      <c r="D194" t="s">
        <v>7</v>
      </c>
      <c r="E194" s="2">
        <v>1002942</v>
      </c>
      <c r="F194" s="2">
        <v>403364</v>
      </c>
      <c r="G194">
        <v>60</v>
      </c>
    </row>
    <row r="195" spans="1:7" x14ac:dyDescent="0.25">
      <c r="A195">
        <v>8160262</v>
      </c>
      <c r="B195" t="s">
        <v>18</v>
      </c>
      <c r="C195">
        <v>26180107</v>
      </c>
      <c r="D195" t="s">
        <v>7</v>
      </c>
      <c r="E195" s="2">
        <v>530320</v>
      </c>
      <c r="F195" s="2">
        <v>135668</v>
      </c>
      <c r="G195">
        <v>0</v>
      </c>
    </row>
    <row r="196" spans="1:7" x14ac:dyDescent="0.25">
      <c r="A196">
        <v>8169123</v>
      </c>
      <c r="B196" t="s">
        <v>18</v>
      </c>
      <c r="C196">
        <v>23737110</v>
      </c>
      <c r="D196" t="s">
        <v>7</v>
      </c>
      <c r="E196" s="2">
        <v>4210734</v>
      </c>
      <c r="F196" s="2">
        <v>415801</v>
      </c>
      <c r="G196">
        <v>30</v>
      </c>
    </row>
    <row r="197" spans="1:7" x14ac:dyDescent="0.25">
      <c r="A197">
        <v>8361878</v>
      </c>
      <c r="B197" t="s">
        <v>17</v>
      </c>
      <c r="C197">
        <v>1051371</v>
      </c>
      <c r="D197" t="s">
        <v>7</v>
      </c>
      <c r="E197" s="2">
        <v>2984215</v>
      </c>
      <c r="F197" s="2">
        <v>140760</v>
      </c>
      <c r="G197">
        <v>0</v>
      </c>
    </row>
    <row r="198" spans="1:7" x14ac:dyDescent="0.25">
      <c r="A198">
        <v>8163225</v>
      </c>
      <c r="B198" t="s">
        <v>17</v>
      </c>
      <c r="C198">
        <v>14785233</v>
      </c>
      <c r="D198" t="s">
        <v>7</v>
      </c>
      <c r="E198" s="2">
        <v>2943019</v>
      </c>
      <c r="F198" s="2">
        <v>281931</v>
      </c>
      <c r="G198">
        <v>5</v>
      </c>
    </row>
    <row r="199" spans="1:7" x14ac:dyDescent="0.25">
      <c r="A199">
        <v>8376794</v>
      </c>
      <c r="B199" t="s">
        <v>16</v>
      </c>
      <c r="C199">
        <v>23391044</v>
      </c>
      <c r="D199" t="s">
        <v>7</v>
      </c>
      <c r="E199" s="2">
        <v>2618374</v>
      </c>
      <c r="F199" s="2">
        <v>425945</v>
      </c>
      <c r="G199">
        <v>60</v>
      </c>
    </row>
    <row r="200" spans="1:7" x14ac:dyDescent="0.25">
      <c r="A200">
        <v>8169981</v>
      </c>
      <c r="B200" t="s">
        <v>17</v>
      </c>
      <c r="C200">
        <v>27033156</v>
      </c>
      <c r="D200" t="s">
        <v>7</v>
      </c>
      <c r="E200" s="2">
        <v>2308506</v>
      </c>
      <c r="F200" s="2">
        <v>429219</v>
      </c>
      <c r="G200">
        <v>60</v>
      </c>
    </row>
    <row r="201" spans="1:7" x14ac:dyDescent="0.25">
      <c r="A201">
        <v>8551082</v>
      </c>
      <c r="B201" t="s">
        <v>18</v>
      </c>
      <c r="C201">
        <v>26878877</v>
      </c>
      <c r="D201" t="s">
        <v>7</v>
      </c>
      <c r="E201" s="2">
        <v>315265</v>
      </c>
      <c r="F201" s="2">
        <v>144042</v>
      </c>
      <c r="G201">
        <v>0</v>
      </c>
    </row>
    <row r="202" spans="1:7" x14ac:dyDescent="0.25">
      <c r="A202">
        <v>8555791</v>
      </c>
      <c r="B202" t="s">
        <v>18</v>
      </c>
      <c r="C202">
        <v>25874889</v>
      </c>
      <c r="D202" t="s">
        <v>7</v>
      </c>
      <c r="E202" s="2">
        <v>1632602</v>
      </c>
      <c r="F202" s="2">
        <v>290917</v>
      </c>
      <c r="G202">
        <v>61</v>
      </c>
    </row>
    <row r="203" spans="1:7" x14ac:dyDescent="0.25">
      <c r="A203">
        <v>8307776</v>
      </c>
      <c r="B203" t="s">
        <v>18</v>
      </c>
      <c r="C203">
        <v>26204227</v>
      </c>
      <c r="D203" t="s">
        <v>7</v>
      </c>
      <c r="E203" s="2">
        <v>1174470</v>
      </c>
      <c r="F203" s="2">
        <v>145567</v>
      </c>
      <c r="G203">
        <v>0</v>
      </c>
    </row>
    <row r="204" spans="1:7" x14ac:dyDescent="0.25">
      <c r="A204">
        <v>8557297</v>
      </c>
      <c r="B204" t="s">
        <v>17</v>
      </c>
      <c r="C204">
        <v>25845100</v>
      </c>
      <c r="D204" t="s">
        <v>7</v>
      </c>
      <c r="E204" s="2">
        <v>2730227</v>
      </c>
      <c r="F204" s="2">
        <v>440616</v>
      </c>
      <c r="G204">
        <v>30</v>
      </c>
    </row>
    <row r="205" spans="1:7" x14ac:dyDescent="0.25">
      <c r="A205">
        <v>8120848</v>
      </c>
      <c r="B205" t="s">
        <v>16</v>
      </c>
      <c r="C205">
        <v>28586063</v>
      </c>
      <c r="D205" t="s">
        <v>7</v>
      </c>
      <c r="E205" s="2">
        <v>883934</v>
      </c>
      <c r="F205" s="2">
        <v>455695</v>
      </c>
      <c r="G205">
        <v>90</v>
      </c>
    </row>
    <row r="206" spans="1:7" x14ac:dyDescent="0.25">
      <c r="A206">
        <v>8291666</v>
      </c>
      <c r="B206" t="s">
        <v>18</v>
      </c>
      <c r="C206">
        <v>25136314</v>
      </c>
      <c r="D206" t="s">
        <v>7</v>
      </c>
      <c r="E206" s="2">
        <v>1293009</v>
      </c>
      <c r="F206" s="2">
        <v>152117</v>
      </c>
      <c r="G206">
        <v>0</v>
      </c>
    </row>
    <row r="207" spans="1:7" x14ac:dyDescent="0.25">
      <c r="A207">
        <v>8290528</v>
      </c>
      <c r="B207" t="s">
        <v>16</v>
      </c>
      <c r="C207">
        <v>24781042</v>
      </c>
      <c r="D207" t="s">
        <v>7</v>
      </c>
      <c r="E207" s="2">
        <v>892186</v>
      </c>
      <c r="F207" s="2">
        <v>306681</v>
      </c>
      <c r="G207">
        <v>29</v>
      </c>
    </row>
    <row r="208" spans="1:7" x14ac:dyDescent="0.25">
      <c r="A208">
        <v>8377553</v>
      </c>
      <c r="B208" t="s">
        <v>17</v>
      </c>
      <c r="C208">
        <v>26862382</v>
      </c>
      <c r="D208" t="s">
        <v>7</v>
      </c>
      <c r="E208" s="2">
        <v>349785</v>
      </c>
      <c r="F208" s="2">
        <v>153708</v>
      </c>
      <c r="G208">
        <v>0</v>
      </c>
    </row>
    <row r="209" spans="1:7" x14ac:dyDescent="0.25">
      <c r="A209">
        <v>8167985</v>
      </c>
      <c r="B209" t="s">
        <v>18</v>
      </c>
      <c r="C209">
        <v>21128781</v>
      </c>
      <c r="D209" t="s">
        <v>7</v>
      </c>
      <c r="E209" s="2">
        <v>1495618</v>
      </c>
      <c r="F209" s="2">
        <v>154225</v>
      </c>
      <c r="G209">
        <v>0</v>
      </c>
    </row>
    <row r="210" spans="1:7" x14ac:dyDescent="0.25">
      <c r="A210">
        <v>8168200</v>
      </c>
      <c r="B210" t="s">
        <v>18</v>
      </c>
      <c r="C210">
        <v>24390372</v>
      </c>
      <c r="D210" t="s">
        <v>7</v>
      </c>
      <c r="E210" s="2">
        <v>3556081</v>
      </c>
      <c r="F210" s="2">
        <v>312381</v>
      </c>
      <c r="G210">
        <v>5</v>
      </c>
    </row>
    <row r="211" spans="1:7" x14ac:dyDescent="0.25">
      <c r="A211">
        <v>8488607</v>
      </c>
      <c r="B211" t="s">
        <v>16</v>
      </c>
      <c r="C211">
        <v>25367323</v>
      </c>
      <c r="D211" t="s">
        <v>12</v>
      </c>
      <c r="E211" s="2">
        <v>2634299</v>
      </c>
      <c r="F211" s="2">
        <v>156705</v>
      </c>
      <c r="G211">
        <v>0</v>
      </c>
    </row>
    <row r="212" spans="1:7" x14ac:dyDescent="0.25">
      <c r="A212">
        <v>8146356</v>
      </c>
      <c r="B212" t="s">
        <v>16</v>
      </c>
      <c r="C212">
        <v>15561187</v>
      </c>
      <c r="D212" t="s">
        <v>7</v>
      </c>
      <c r="E212" s="2">
        <v>3287858</v>
      </c>
      <c r="F212" s="2">
        <v>313501</v>
      </c>
      <c r="G212">
        <v>5</v>
      </c>
    </row>
    <row r="213" spans="1:7" x14ac:dyDescent="0.25">
      <c r="A213">
        <v>8263436</v>
      </c>
      <c r="B213" t="s">
        <v>18</v>
      </c>
      <c r="C213">
        <v>27653166</v>
      </c>
      <c r="D213" t="s">
        <v>7</v>
      </c>
      <c r="E213" s="2">
        <v>1223970</v>
      </c>
      <c r="F213" s="2">
        <v>314855</v>
      </c>
      <c r="G213">
        <v>29</v>
      </c>
    </row>
    <row r="214" spans="1:7" x14ac:dyDescent="0.25">
      <c r="A214">
        <v>8293781</v>
      </c>
      <c r="B214" t="s">
        <v>18</v>
      </c>
      <c r="C214">
        <v>25151473</v>
      </c>
      <c r="D214" t="s">
        <v>7</v>
      </c>
      <c r="E214" s="2">
        <v>3223684</v>
      </c>
      <c r="F214" s="2">
        <v>316828</v>
      </c>
      <c r="G214">
        <v>1</v>
      </c>
    </row>
    <row r="215" spans="1:7" x14ac:dyDescent="0.25">
      <c r="A215">
        <v>8380807</v>
      </c>
      <c r="B215" t="s">
        <v>17</v>
      </c>
      <c r="C215">
        <v>26376544</v>
      </c>
      <c r="D215" t="s">
        <v>7</v>
      </c>
      <c r="E215" s="2">
        <v>1008578</v>
      </c>
      <c r="F215" s="2">
        <v>158760</v>
      </c>
      <c r="G215">
        <v>0</v>
      </c>
    </row>
    <row r="216" spans="1:7" x14ac:dyDescent="0.25">
      <c r="A216">
        <v>8169455</v>
      </c>
      <c r="B216" t="s">
        <v>18</v>
      </c>
      <c r="C216">
        <v>17140148</v>
      </c>
      <c r="D216" t="s">
        <v>7</v>
      </c>
      <c r="E216" s="2">
        <v>886150</v>
      </c>
      <c r="F216" s="2">
        <v>328142</v>
      </c>
      <c r="G216">
        <v>29</v>
      </c>
    </row>
    <row r="217" spans="1:7" x14ac:dyDescent="0.25">
      <c r="A217">
        <v>8357227</v>
      </c>
      <c r="B217" t="s">
        <v>18</v>
      </c>
      <c r="C217">
        <v>26369502</v>
      </c>
      <c r="D217" t="s">
        <v>7</v>
      </c>
      <c r="E217" s="2">
        <v>596366</v>
      </c>
      <c r="F217" s="2">
        <v>164287</v>
      </c>
      <c r="G217">
        <v>0</v>
      </c>
    </row>
    <row r="218" spans="1:7" x14ac:dyDescent="0.25">
      <c r="A218">
        <v>8553693</v>
      </c>
      <c r="B218" t="s">
        <v>16</v>
      </c>
      <c r="C218">
        <v>23663051</v>
      </c>
      <c r="D218" t="s">
        <v>7</v>
      </c>
      <c r="E218" s="2">
        <v>144535</v>
      </c>
      <c r="F218" s="2">
        <v>164408</v>
      </c>
      <c r="G218">
        <v>0</v>
      </c>
    </row>
    <row r="219" spans="1:7" x14ac:dyDescent="0.25">
      <c r="A219">
        <v>8160623</v>
      </c>
      <c r="B219" t="s">
        <v>17</v>
      </c>
      <c r="C219">
        <v>27645067</v>
      </c>
      <c r="D219" t="s">
        <v>7</v>
      </c>
      <c r="E219" s="2">
        <v>872670</v>
      </c>
      <c r="F219" s="2">
        <v>496923</v>
      </c>
      <c r="G219">
        <v>90</v>
      </c>
    </row>
    <row r="220" spans="1:7" x14ac:dyDescent="0.25">
      <c r="A220">
        <v>8485525</v>
      </c>
      <c r="B220" t="s">
        <v>16</v>
      </c>
      <c r="C220">
        <v>26839896</v>
      </c>
      <c r="D220" t="s">
        <v>12</v>
      </c>
      <c r="E220" s="2">
        <v>1020621</v>
      </c>
      <c r="F220" s="2">
        <v>507449</v>
      </c>
      <c r="G220">
        <v>89</v>
      </c>
    </row>
    <row r="221" spans="1:7" x14ac:dyDescent="0.25">
      <c r="A221">
        <v>8187113</v>
      </c>
      <c r="B221" t="s">
        <v>18</v>
      </c>
      <c r="C221">
        <v>21767160</v>
      </c>
      <c r="D221" t="s">
        <v>7</v>
      </c>
      <c r="E221" s="2">
        <v>835404</v>
      </c>
      <c r="F221" s="2">
        <v>339772</v>
      </c>
      <c r="G221">
        <v>29</v>
      </c>
    </row>
    <row r="222" spans="1:7" x14ac:dyDescent="0.25">
      <c r="A222">
        <v>8365097</v>
      </c>
      <c r="B222" t="s">
        <v>18</v>
      </c>
      <c r="C222">
        <v>3651053</v>
      </c>
      <c r="D222" t="s">
        <v>7</v>
      </c>
      <c r="E222" s="2">
        <v>1598065</v>
      </c>
      <c r="F222" s="2">
        <v>170782</v>
      </c>
      <c r="G222">
        <v>0</v>
      </c>
    </row>
    <row r="223" spans="1:7" x14ac:dyDescent="0.25">
      <c r="A223">
        <v>8163089</v>
      </c>
      <c r="B223" t="s">
        <v>18</v>
      </c>
      <c r="C223">
        <v>23261406</v>
      </c>
      <c r="D223" t="s">
        <v>7</v>
      </c>
      <c r="E223" s="2">
        <v>152277</v>
      </c>
      <c r="F223" s="2">
        <v>173215</v>
      </c>
      <c r="G223">
        <v>0</v>
      </c>
    </row>
    <row r="224" spans="1:7" x14ac:dyDescent="0.25">
      <c r="A224">
        <v>8241793</v>
      </c>
      <c r="B224" t="s">
        <v>18</v>
      </c>
      <c r="C224">
        <v>25338590</v>
      </c>
      <c r="D224" t="s">
        <v>7</v>
      </c>
      <c r="E224" s="2">
        <v>617613</v>
      </c>
      <c r="F224" s="2">
        <v>178447</v>
      </c>
      <c r="G224">
        <v>0</v>
      </c>
    </row>
    <row r="225" spans="1:7" x14ac:dyDescent="0.25">
      <c r="A225">
        <v>8163501</v>
      </c>
      <c r="B225" t="s">
        <v>16</v>
      </c>
      <c r="C225">
        <v>24110082</v>
      </c>
      <c r="D225" t="s">
        <v>9</v>
      </c>
      <c r="E225" s="2">
        <v>3279532</v>
      </c>
      <c r="F225" s="2">
        <v>181423</v>
      </c>
      <c r="G225">
        <v>0</v>
      </c>
    </row>
    <row r="226" spans="1:7" x14ac:dyDescent="0.25">
      <c r="A226">
        <v>8549511</v>
      </c>
      <c r="B226" t="s">
        <v>16</v>
      </c>
      <c r="C226">
        <v>15077029</v>
      </c>
      <c r="D226" t="s">
        <v>8</v>
      </c>
      <c r="E226" s="2">
        <v>21412278</v>
      </c>
      <c r="F226" s="2">
        <v>555720</v>
      </c>
      <c r="G226">
        <v>29</v>
      </c>
    </row>
    <row r="227" spans="1:7" x14ac:dyDescent="0.25">
      <c r="A227">
        <v>8170829</v>
      </c>
      <c r="B227" t="s">
        <v>17</v>
      </c>
      <c r="C227">
        <v>27287702</v>
      </c>
      <c r="D227" t="s">
        <v>7</v>
      </c>
      <c r="E227" s="2">
        <v>1189192</v>
      </c>
      <c r="F227" s="2">
        <v>557681</v>
      </c>
      <c r="G227">
        <v>60</v>
      </c>
    </row>
    <row r="228" spans="1:7" x14ac:dyDescent="0.25">
      <c r="A228">
        <v>8378400</v>
      </c>
      <c r="B228" t="s">
        <v>17</v>
      </c>
      <c r="C228">
        <v>26843927</v>
      </c>
      <c r="D228" t="s">
        <v>7</v>
      </c>
      <c r="E228" s="2">
        <v>4091077</v>
      </c>
      <c r="F228" s="2">
        <v>558027</v>
      </c>
      <c r="G228">
        <v>30</v>
      </c>
    </row>
    <row r="229" spans="1:7" x14ac:dyDescent="0.25">
      <c r="A229">
        <v>8143701</v>
      </c>
      <c r="B229" t="s">
        <v>18</v>
      </c>
      <c r="C229">
        <v>21781337</v>
      </c>
      <c r="D229" t="s">
        <v>7</v>
      </c>
      <c r="E229" s="2">
        <v>2383492</v>
      </c>
      <c r="F229" s="2">
        <v>558354</v>
      </c>
      <c r="G229">
        <v>30</v>
      </c>
    </row>
    <row r="230" spans="1:7" x14ac:dyDescent="0.25">
      <c r="A230">
        <v>8457400</v>
      </c>
      <c r="B230" t="s">
        <v>17</v>
      </c>
      <c r="C230">
        <v>26023265</v>
      </c>
      <c r="D230" t="s">
        <v>7</v>
      </c>
      <c r="E230" s="2">
        <v>560866</v>
      </c>
      <c r="F230" s="2">
        <v>188847</v>
      </c>
      <c r="G230">
        <v>0</v>
      </c>
    </row>
    <row r="231" spans="1:7" x14ac:dyDescent="0.25">
      <c r="A231">
        <v>8261433</v>
      </c>
      <c r="B231" t="s">
        <v>16</v>
      </c>
      <c r="C231">
        <v>25964110</v>
      </c>
      <c r="D231" t="s">
        <v>7</v>
      </c>
      <c r="E231" s="2">
        <v>3453746</v>
      </c>
      <c r="F231" s="2">
        <v>383736</v>
      </c>
      <c r="G231">
        <v>1</v>
      </c>
    </row>
    <row r="232" spans="1:7" x14ac:dyDescent="0.25">
      <c r="A232">
        <v>8525340</v>
      </c>
      <c r="B232" t="s">
        <v>18</v>
      </c>
      <c r="C232">
        <v>10637802</v>
      </c>
      <c r="D232" t="s">
        <v>7</v>
      </c>
      <c r="E232" s="2">
        <v>850784</v>
      </c>
      <c r="F232" s="2">
        <v>198536</v>
      </c>
      <c r="G232">
        <v>0</v>
      </c>
    </row>
    <row r="233" spans="1:7" x14ac:dyDescent="0.25">
      <c r="A233">
        <v>8120077</v>
      </c>
      <c r="B233" t="s">
        <v>18</v>
      </c>
      <c r="C233">
        <v>23053023</v>
      </c>
      <c r="D233" t="s">
        <v>7</v>
      </c>
      <c r="E233" s="2">
        <v>180491</v>
      </c>
      <c r="F233" s="2">
        <v>205309</v>
      </c>
      <c r="G233">
        <v>0</v>
      </c>
    </row>
    <row r="234" spans="1:7" x14ac:dyDescent="0.25">
      <c r="A234">
        <v>8371487</v>
      </c>
      <c r="B234" t="s">
        <v>18</v>
      </c>
      <c r="C234">
        <v>14446684</v>
      </c>
      <c r="D234" t="s">
        <v>7</v>
      </c>
      <c r="E234" s="2">
        <v>2692753</v>
      </c>
      <c r="F234" s="2">
        <v>206599</v>
      </c>
      <c r="G234">
        <v>0</v>
      </c>
    </row>
    <row r="235" spans="1:7" x14ac:dyDescent="0.25">
      <c r="A235">
        <v>8159820</v>
      </c>
      <c r="B235" t="s">
        <v>17</v>
      </c>
      <c r="C235">
        <v>22291304</v>
      </c>
      <c r="D235" t="s">
        <v>7</v>
      </c>
      <c r="E235" s="2">
        <v>2804257</v>
      </c>
      <c r="F235" s="2">
        <v>621391</v>
      </c>
      <c r="G235">
        <v>90</v>
      </c>
    </row>
    <row r="236" spans="1:7" x14ac:dyDescent="0.25">
      <c r="A236">
        <v>8381475</v>
      </c>
      <c r="B236" t="s">
        <v>16</v>
      </c>
      <c r="C236">
        <v>16298674</v>
      </c>
      <c r="D236" t="s">
        <v>7</v>
      </c>
      <c r="E236" s="2">
        <v>1085604</v>
      </c>
      <c r="F236" s="2">
        <v>420222</v>
      </c>
      <c r="G236">
        <v>29</v>
      </c>
    </row>
    <row r="237" spans="1:7" x14ac:dyDescent="0.25">
      <c r="A237">
        <v>8089371</v>
      </c>
      <c r="B237" t="s">
        <v>17</v>
      </c>
      <c r="C237">
        <v>24378718</v>
      </c>
      <c r="D237" t="s">
        <v>7</v>
      </c>
      <c r="E237" s="2">
        <v>1784153</v>
      </c>
      <c r="F237" s="2">
        <v>213568</v>
      </c>
      <c r="G237">
        <v>0</v>
      </c>
    </row>
    <row r="238" spans="1:7" x14ac:dyDescent="0.25">
      <c r="A238">
        <v>8120504</v>
      </c>
      <c r="B238" t="s">
        <v>17</v>
      </c>
      <c r="C238">
        <v>25516208</v>
      </c>
      <c r="D238" t="s">
        <v>7</v>
      </c>
      <c r="E238" s="2">
        <v>3048964</v>
      </c>
      <c r="F238" s="2">
        <v>431460</v>
      </c>
      <c r="G238">
        <v>1</v>
      </c>
    </row>
    <row r="239" spans="1:7" x14ac:dyDescent="0.25">
      <c r="A239">
        <v>8290902</v>
      </c>
      <c r="B239" t="s">
        <v>18</v>
      </c>
      <c r="C239">
        <v>23811559</v>
      </c>
      <c r="D239" t="s">
        <v>7</v>
      </c>
      <c r="E239" s="2">
        <v>2157904</v>
      </c>
      <c r="F239" s="2">
        <v>439253</v>
      </c>
      <c r="G239">
        <v>1</v>
      </c>
    </row>
    <row r="240" spans="1:7" x14ac:dyDescent="0.25">
      <c r="A240">
        <v>8165993</v>
      </c>
      <c r="B240" t="s">
        <v>16</v>
      </c>
      <c r="C240">
        <v>4366591</v>
      </c>
      <c r="D240" t="s">
        <v>8</v>
      </c>
      <c r="E240" s="2">
        <v>17027758</v>
      </c>
      <c r="F240" s="2">
        <v>442959</v>
      </c>
      <c r="G240">
        <v>1</v>
      </c>
    </row>
    <row r="241" spans="1:7" x14ac:dyDescent="0.25">
      <c r="A241">
        <v>8550135</v>
      </c>
      <c r="B241" t="s">
        <v>16</v>
      </c>
      <c r="C241">
        <v>26235241</v>
      </c>
      <c r="D241" t="s">
        <v>12</v>
      </c>
      <c r="E241" s="2">
        <v>1348037</v>
      </c>
      <c r="F241" s="2">
        <v>221778</v>
      </c>
      <c r="G241">
        <v>0</v>
      </c>
    </row>
    <row r="242" spans="1:7" x14ac:dyDescent="0.25">
      <c r="A242">
        <v>8522309</v>
      </c>
      <c r="B242" t="s">
        <v>16</v>
      </c>
      <c r="C242">
        <v>27447199</v>
      </c>
      <c r="D242" t="s">
        <v>7</v>
      </c>
      <c r="E242" s="2">
        <v>2653814</v>
      </c>
      <c r="F242" s="2">
        <v>226270</v>
      </c>
      <c r="G242">
        <v>0</v>
      </c>
    </row>
    <row r="243" spans="1:7" x14ac:dyDescent="0.25">
      <c r="A243">
        <v>8120977</v>
      </c>
      <c r="B243" t="s">
        <v>18</v>
      </c>
      <c r="C243">
        <v>25568684</v>
      </c>
      <c r="D243" t="s">
        <v>7</v>
      </c>
      <c r="E243" s="2">
        <v>2689407</v>
      </c>
      <c r="F243" s="2">
        <v>226541</v>
      </c>
      <c r="G243">
        <v>0</v>
      </c>
    </row>
    <row r="244" spans="1:7" x14ac:dyDescent="0.25">
      <c r="A244">
        <v>8491092</v>
      </c>
      <c r="B244" t="s">
        <v>17</v>
      </c>
      <c r="C244">
        <v>22418324</v>
      </c>
      <c r="D244" t="s">
        <v>7</v>
      </c>
      <c r="E244" s="2">
        <v>3063380</v>
      </c>
      <c r="F244" s="2">
        <v>467536</v>
      </c>
      <c r="G244">
        <v>1</v>
      </c>
    </row>
    <row r="245" spans="1:7" x14ac:dyDescent="0.25">
      <c r="A245">
        <v>8490689</v>
      </c>
      <c r="B245" t="s">
        <v>18</v>
      </c>
      <c r="C245">
        <v>27154092</v>
      </c>
      <c r="D245" t="s">
        <v>7</v>
      </c>
      <c r="E245" s="2">
        <v>1847986</v>
      </c>
      <c r="F245" s="2">
        <v>476625</v>
      </c>
      <c r="G245">
        <v>29</v>
      </c>
    </row>
    <row r="246" spans="1:7" x14ac:dyDescent="0.25">
      <c r="A246">
        <v>8170803</v>
      </c>
      <c r="B246" t="s">
        <v>18</v>
      </c>
      <c r="C246">
        <v>25962079</v>
      </c>
      <c r="D246" t="s">
        <v>7</v>
      </c>
      <c r="E246" s="2">
        <v>1261482</v>
      </c>
      <c r="F246" s="2">
        <v>476789</v>
      </c>
      <c r="G246">
        <v>29</v>
      </c>
    </row>
    <row r="247" spans="1:7" x14ac:dyDescent="0.25">
      <c r="A247">
        <v>8172884</v>
      </c>
      <c r="B247" t="s">
        <v>17</v>
      </c>
      <c r="C247">
        <v>23312798</v>
      </c>
      <c r="D247" t="s">
        <v>7</v>
      </c>
      <c r="E247" s="2">
        <v>2047422</v>
      </c>
      <c r="F247" s="2">
        <v>238589</v>
      </c>
      <c r="G247">
        <v>0</v>
      </c>
    </row>
    <row r="248" spans="1:7" x14ac:dyDescent="0.25">
      <c r="A248">
        <v>8290882</v>
      </c>
      <c r="B248" t="s">
        <v>17</v>
      </c>
      <c r="C248">
        <v>23606029</v>
      </c>
      <c r="D248" t="s">
        <v>7</v>
      </c>
      <c r="E248" s="2">
        <v>1968170</v>
      </c>
      <c r="F248" s="2">
        <v>239524</v>
      </c>
      <c r="G248">
        <v>0</v>
      </c>
    </row>
    <row r="249" spans="1:7" x14ac:dyDescent="0.25">
      <c r="A249">
        <v>8487669</v>
      </c>
      <c r="B249" t="s">
        <v>18</v>
      </c>
      <c r="C249">
        <v>24385491</v>
      </c>
      <c r="D249" t="s">
        <v>7</v>
      </c>
      <c r="E249" s="2">
        <v>1955436</v>
      </c>
      <c r="F249" s="2">
        <v>242146</v>
      </c>
      <c r="G249">
        <v>0</v>
      </c>
    </row>
    <row r="250" spans="1:7" x14ac:dyDescent="0.25">
      <c r="A250">
        <v>8148376</v>
      </c>
      <c r="B250" t="s">
        <v>18</v>
      </c>
      <c r="C250">
        <v>16869327</v>
      </c>
      <c r="D250" t="s">
        <v>7</v>
      </c>
      <c r="E250" s="2">
        <v>651276</v>
      </c>
      <c r="F250" s="2">
        <v>740778</v>
      </c>
      <c r="G250">
        <v>30</v>
      </c>
    </row>
    <row r="251" spans="1:7" x14ac:dyDescent="0.25">
      <c r="A251">
        <v>8522462</v>
      </c>
      <c r="B251" t="s">
        <v>18</v>
      </c>
      <c r="C251">
        <v>26162718</v>
      </c>
      <c r="D251" t="s">
        <v>7</v>
      </c>
      <c r="E251" s="2">
        <v>217998</v>
      </c>
      <c r="F251" s="2">
        <v>48606</v>
      </c>
      <c r="G251">
        <v>0</v>
      </c>
    </row>
    <row r="252" spans="1:7" x14ac:dyDescent="0.25">
      <c r="A252">
        <v>8166389</v>
      </c>
      <c r="B252" t="s">
        <v>18</v>
      </c>
      <c r="C252">
        <v>26935836</v>
      </c>
      <c r="D252" t="s">
        <v>7</v>
      </c>
      <c r="E252" s="2">
        <v>1538709</v>
      </c>
      <c r="F252" s="2">
        <v>248728</v>
      </c>
      <c r="G252">
        <v>0</v>
      </c>
    </row>
    <row r="253" spans="1:7" x14ac:dyDescent="0.25">
      <c r="A253">
        <v>8489458</v>
      </c>
      <c r="B253" t="s">
        <v>18</v>
      </c>
      <c r="C253">
        <v>26251506</v>
      </c>
      <c r="D253" t="s">
        <v>7</v>
      </c>
      <c r="E253" s="2">
        <v>1307538</v>
      </c>
      <c r="F253" s="2">
        <v>251315</v>
      </c>
      <c r="G253">
        <v>0</v>
      </c>
    </row>
    <row r="254" spans="1:7" x14ac:dyDescent="0.25">
      <c r="A254">
        <v>8316522</v>
      </c>
      <c r="B254" t="s">
        <v>16</v>
      </c>
      <c r="C254">
        <v>25377657</v>
      </c>
      <c r="D254" t="s">
        <v>9</v>
      </c>
      <c r="E254" s="2">
        <v>6327934</v>
      </c>
      <c r="F254" s="2">
        <v>254533</v>
      </c>
      <c r="G254">
        <v>0</v>
      </c>
    </row>
    <row r="255" spans="1:7" x14ac:dyDescent="0.25">
      <c r="A255">
        <v>8290811</v>
      </c>
      <c r="B255" t="s">
        <v>16</v>
      </c>
      <c r="C255">
        <v>21139953</v>
      </c>
      <c r="D255" t="s">
        <v>7</v>
      </c>
      <c r="E255" s="2">
        <v>5311790</v>
      </c>
      <c r="F255" s="2">
        <v>509145</v>
      </c>
      <c r="G255">
        <v>1</v>
      </c>
    </row>
    <row r="256" spans="1:7" x14ac:dyDescent="0.25">
      <c r="A256">
        <v>8556391</v>
      </c>
      <c r="B256" t="s">
        <v>17</v>
      </c>
      <c r="C256">
        <v>28582736</v>
      </c>
      <c r="D256" t="s">
        <v>7</v>
      </c>
      <c r="E256" s="2">
        <v>1619407</v>
      </c>
      <c r="F256" s="2">
        <v>259560</v>
      </c>
      <c r="G256">
        <v>0</v>
      </c>
    </row>
    <row r="257" spans="1:7" x14ac:dyDescent="0.25">
      <c r="A257">
        <v>8368917</v>
      </c>
      <c r="B257" t="s">
        <v>17</v>
      </c>
      <c r="C257">
        <v>15643416</v>
      </c>
      <c r="D257" t="s">
        <v>7</v>
      </c>
      <c r="E257" s="2">
        <v>5179759</v>
      </c>
      <c r="F257" s="2">
        <v>797773</v>
      </c>
      <c r="G257">
        <v>30</v>
      </c>
    </row>
    <row r="258" spans="1:7" x14ac:dyDescent="0.25">
      <c r="A258">
        <v>8168905</v>
      </c>
      <c r="B258" t="s">
        <v>18</v>
      </c>
      <c r="C258">
        <v>27915388</v>
      </c>
      <c r="D258" t="s">
        <v>7</v>
      </c>
      <c r="E258" s="2">
        <v>2630723</v>
      </c>
      <c r="F258" s="2">
        <v>266325</v>
      </c>
      <c r="G258">
        <v>0</v>
      </c>
    </row>
    <row r="259" spans="1:7" x14ac:dyDescent="0.25">
      <c r="A259">
        <v>8292187</v>
      </c>
      <c r="B259" t="s">
        <v>17</v>
      </c>
      <c r="C259">
        <v>27077731</v>
      </c>
      <c r="D259" t="s">
        <v>7</v>
      </c>
      <c r="E259" s="2">
        <v>1222192</v>
      </c>
      <c r="F259" s="2">
        <v>537108</v>
      </c>
      <c r="G259">
        <v>61</v>
      </c>
    </row>
    <row r="260" spans="1:7" x14ac:dyDescent="0.25">
      <c r="A260">
        <v>8120642</v>
      </c>
      <c r="B260" t="s">
        <v>18</v>
      </c>
      <c r="C260">
        <v>27997023</v>
      </c>
      <c r="D260" t="s">
        <v>7</v>
      </c>
      <c r="E260" s="2">
        <v>2411429</v>
      </c>
      <c r="F260" s="2">
        <v>268763</v>
      </c>
      <c r="G260">
        <v>0</v>
      </c>
    </row>
    <row r="261" spans="1:7" x14ac:dyDescent="0.25">
      <c r="A261">
        <v>8524847</v>
      </c>
      <c r="B261" t="s">
        <v>17</v>
      </c>
      <c r="C261">
        <v>22738834</v>
      </c>
      <c r="D261" t="s">
        <v>7</v>
      </c>
      <c r="E261" s="2">
        <v>2099653</v>
      </c>
      <c r="F261" s="2">
        <v>269093</v>
      </c>
      <c r="G261">
        <v>0</v>
      </c>
    </row>
    <row r="262" spans="1:7" x14ac:dyDescent="0.25">
      <c r="A262">
        <v>8120773</v>
      </c>
      <c r="B262" t="s">
        <v>17</v>
      </c>
      <c r="C262">
        <v>19003063</v>
      </c>
      <c r="D262" t="s">
        <v>11</v>
      </c>
      <c r="E262" s="2">
        <v>2475536</v>
      </c>
      <c r="F262" s="2">
        <v>269289</v>
      </c>
      <c r="G262">
        <v>0</v>
      </c>
    </row>
    <row r="263" spans="1:7" x14ac:dyDescent="0.25">
      <c r="A263">
        <v>8366773</v>
      </c>
      <c r="B263" t="s">
        <v>18</v>
      </c>
      <c r="C263">
        <v>24385342</v>
      </c>
      <c r="D263" t="s">
        <v>7</v>
      </c>
      <c r="E263" s="2">
        <v>548273</v>
      </c>
      <c r="F263" s="2">
        <v>272011</v>
      </c>
      <c r="G263">
        <v>0</v>
      </c>
    </row>
    <row r="264" spans="1:7" x14ac:dyDescent="0.25">
      <c r="A264">
        <v>8371020</v>
      </c>
      <c r="B264" t="s">
        <v>18</v>
      </c>
      <c r="C264">
        <v>26228993</v>
      </c>
      <c r="D264" t="s">
        <v>7</v>
      </c>
      <c r="E264" s="2">
        <v>632926</v>
      </c>
      <c r="F264" s="2">
        <v>272465</v>
      </c>
      <c r="G264">
        <v>0</v>
      </c>
    </row>
    <row r="265" spans="1:7" x14ac:dyDescent="0.25">
      <c r="A265">
        <v>8552611</v>
      </c>
      <c r="B265" t="s">
        <v>17</v>
      </c>
      <c r="C265">
        <v>26725212</v>
      </c>
      <c r="D265" t="s">
        <v>7</v>
      </c>
      <c r="E265" s="2">
        <v>1341878</v>
      </c>
      <c r="F265" s="2">
        <v>274768</v>
      </c>
      <c r="G265">
        <v>0</v>
      </c>
    </row>
    <row r="266" spans="1:7" x14ac:dyDescent="0.25">
      <c r="A266">
        <v>8550135</v>
      </c>
      <c r="B266" t="s">
        <v>16</v>
      </c>
      <c r="C266">
        <v>26223205</v>
      </c>
      <c r="D266" t="s">
        <v>9</v>
      </c>
      <c r="E266" s="2">
        <v>7807488</v>
      </c>
      <c r="F266" s="2">
        <v>840004</v>
      </c>
      <c r="G266">
        <v>89</v>
      </c>
    </row>
    <row r="267" spans="1:7" x14ac:dyDescent="0.25">
      <c r="A267">
        <v>8322484</v>
      </c>
      <c r="B267" t="s">
        <v>18</v>
      </c>
      <c r="C267">
        <v>21785894</v>
      </c>
      <c r="D267" t="s">
        <v>7</v>
      </c>
      <c r="E267" s="2">
        <v>743788</v>
      </c>
      <c r="F267" s="2">
        <v>846059</v>
      </c>
      <c r="G267">
        <v>150</v>
      </c>
    </row>
    <row r="268" spans="1:7" x14ac:dyDescent="0.25">
      <c r="A268">
        <v>8293153</v>
      </c>
      <c r="B268" t="s">
        <v>17</v>
      </c>
      <c r="C268">
        <v>28586833</v>
      </c>
      <c r="D268" t="s">
        <v>7</v>
      </c>
      <c r="E268" s="2">
        <v>3319003</v>
      </c>
      <c r="F268" s="2">
        <v>283258</v>
      </c>
      <c r="G268">
        <v>0</v>
      </c>
    </row>
    <row r="269" spans="1:7" x14ac:dyDescent="0.25">
      <c r="A269">
        <v>8523040</v>
      </c>
      <c r="B269" t="s">
        <v>18</v>
      </c>
      <c r="C269">
        <v>26197937</v>
      </c>
      <c r="D269" t="s">
        <v>7</v>
      </c>
      <c r="E269" s="2">
        <v>736079</v>
      </c>
      <c r="F269" s="2">
        <v>284251</v>
      </c>
      <c r="G269">
        <v>0</v>
      </c>
    </row>
    <row r="270" spans="1:7" x14ac:dyDescent="0.25">
      <c r="A270">
        <v>8558498</v>
      </c>
      <c r="B270" t="s">
        <v>18</v>
      </c>
      <c r="C270">
        <v>23317795</v>
      </c>
      <c r="D270" t="s">
        <v>7</v>
      </c>
      <c r="E270" s="2">
        <v>1133937</v>
      </c>
      <c r="F270" s="2">
        <v>284489</v>
      </c>
      <c r="G270">
        <v>0</v>
      </c>
    </row>
    <row r="271" spans="1:7" x14ac:dyDescent="0.25">
      <c r="A271">
        <v>8171975</v>
      </c>
      <c r="B271" t="s">
        <v>17</v>
      </c>
      <c r="C271">
        <v>25481844</v>
      </c>
      <c r="D271" t="s">
        <v>7</v>
      </c>
      <c r="E271" s="2">
        <v>1628818</v>
      </c>
      <c r="F271" s="2">
        <v>285747</v>
      </c>
      <c r="G271">
        <v>0</v>
      </c>
    </row>
    <row r="272" spans="1:7" x14ac:dyDescent="0.25">
      <c r="A272">
        <v>8380657</v>
      </c>
      <c r="B272" t="s">
        <v>18</v>
      </c>
      <c r="C272">
        <v>20821058</v>
      </c>
      <c r="D272" t="s">
        <v>7</v>
      </c>
      <c r="E272" s="2">
        <v>252125</v>
      </c>
      <c r="F272" s="2">
        <v>60251</v>
      </c>
      <c r="G272">
        <v>0</v>
      </c>
    </row>
    <row r="273" spans="1:7" x14ac:dyDescent="0.25">
      <c r="A273">
        <v>8148012</v>
      </c>
      <c r="B273" t="s">
        <v>18</v>
      </c>
      <c r="C273">
        <v>26918078</v>
      </c>
      <c r="D273" t="s">
        <v>7</v>
      </c>
      <c r="E273" s="2">
        <v>562373</v>
      </c>
      <c r="F273" s="2">
        <v>288051</v>
      </c>
      <c r="G273">
        <v>0</v>
      </c>
    </row>
    <row r="274" spans="1:7" x14ac:dyDescent="0.25">
      <c r="A274">
        <v>8549511</v>
      </c>
      <c r="B274" t="s">
        <v>16</v>
      </c>
      <c r="C274">
        <v>27542907</v>
      </c>
      <c r="D274" t="s">
        <v>7</v>
      </c>
      <c r="E274" s="2">
        <v>1105381</v>
      </c>
      <c r="F274" s="2">
        <v>290924</v>
      </c>
      <c r="G274">
        <v>0</v>
      </c>
    </row>
    <row r="275" spans="1:7" x14ac:dyDescent="0.25">
      <c r="A275">
        <v>8263349</v>
      </c>
      <c r="B275" t="s">
        <v>16</v>
      </c>
      <c r="C275">
        <v>21676329</v>
      </c>
      <c r="D275" t="s">
        <v>7</v>
      </c>
      <c r="E275" s="2">
        <v>5657807</v>
      </c>
      <c r="F275" s="2">
        <v>877425</v>
      </c>
      <c r="G275">
        <v>60</v>
      </c>
    </row>
    <row r="276" spans="1:7" x14ac:dyDescent="0.25">
      <c r="A276">
        <v>8377553</v>
      </c>
      <c r="B276" t="s">
        <v>17</v>
      </c>
      <c r="C276">
        <v>25413634</v>
      </c>
      <c r="D276" t="s">
        <v>11</v>
      </c>
      <c r="E276" s="2">
        <v>3927705</v>
      </c>
      <c r="F276" s="2">
        <v>882011</v>
      </c>
      <c r="G276">
        <v>191</v>
      </c>
    </row>
    <row r="277" spans="1:7" x14ac:dyDescent="0.25">
      <c r="A277">
        <v>8169074</v>
      </c>
      <c r="B277" t="s">
        <v>18</v>
      </c>
      <c r="C277">
        <v>25017414</v>
      </c>
      <c r="D277" t="s">
        <v>7</v>
      </c>
      <c r="E277" s="2">
        <v>871838</v>
      </c>
      <c r="F277" s="2">
        <v>294586</v>
      </c>
      <c r="G277">
        <v>0</v>
      </c>
    </row>
    <row r="278" spans="1:7" x14ac:dyDescent="0.25">
      <c r="A278">
        <v>8555181</v>
      </c>
      <c r="B278" t="s">
        <v>16</v>
      </c>
      <c r="C278">
        <v>28267368</v>
      </c>
      <c r="D278" t="s">
        <v>7</v>
      </c>
      <c r="E278" s="2">
        <v>4847443</v>
      </c>
      <c r="F278" s="2">
        <v>296881</v>
      </c>
      <c r="G278">
        <v>0</v>
      </c>
    </row>
    <row r="279" spans="1:7" x14ac:dyDescent="0.25">
      <c r="A279">
        <v>8372113</v>
      </c>
      <c r="B279" t="s">
        <v>16</v>
      </c>
      <c r="C279">
        <v>23287162</v>
      </c>
      <c r="D279" t="s">
        <v>12</v>
      </c>
      <c r="E279" s="2">
        <v>262617</v>
      </c>
      <c r="F279" s="2">
        <v>298727</v>
      </c>
      <c r="G279">
        <v>0</v>
      </c>
    </row>
    <row r="280" spans="1:7" x14ac:dyDescent="0.25">
      <c r="A280">
        <v>8486068</v>
      </c>
      <c r="B280" t="s">
        <v>17</v>
      </c>
      <c r="C280">
        <v>25445221</v>
      </c>
      <c r="D280" t="s">
        <v>7</v>
      </c>
      <c r="E280" s="2">
        <v>8139806</v>
      </c>
      <c r="F280" s="2">
        <v>901841</v>
      </c>
      <c r="G280">
        <v>30</v>
      </c>
    </row>
    <row r="281" spans="1:7" x14ac:dyDescent="0.25">
      <c r="A281">
        <v>8122952</v>
      </c>
      <c r="B281" t="s">
        <v>16</v>
      </c>
      <c r="C281">
        <v>26844999</v>
      </c>
      <c r="D281" t="s">
        <v>7</v>
      </c>
      <c r="E281" s="2">
        <v>1814879</v>
      </c>
      <c r="F281" s="2">
        <v>609334</v>
      </c>
      <c r="G281">
        <v>29</v>
      </c>
    </row>
    <row r="282" spans="1:7" x14ac:dyDescent="0.25">
      <c r="A282">
        <v>8182453</v>
      </c>
      <c r="B282" t="s">
        <v>16</v>
      </c>
      <c r="C282">
        <v>4284933</v>
      </c>
      <c r="D282" t="s">
        <v>7</v>
      </c>
      <c r="E282" s="2">
        <v>1737764</v>
      </c>
      <c r="F282" s="2">
        <v>306376</v>
      </c>
      <c r="G282">
        <v>0</v>
      </c>
    </row>
    <row r="283" spans="1:7" x14ac:dyDescent="0.25">
      <c r="A283">
        <v>8163501</v>
      </c>
      <c r="B283" t="s">
        <v>16</v>
      </c>
      <c r="C283">
        <v>21618226</v>
      </c>
      <c r="D283" t="s">
        <v>7</v>
      </c>
      <c r="E283" s="2">
        <v>3212804</v>
      </c>
      <c r="F283" s="2">
        <v>306548</v>
      </c>
      <c r="G283">
        <v>0</v>
      </c>
    </row>
    <row r="284" spans="1:7" x14ac:dyDescent="0.25">
      <c r="A284">
        <v>8381369</v>
      </c>
      <c r="B284" t="s">
        <v>16</v>
      </c>
      <c r="C284">
        <v>18458736</v>
      </c>
      <c r="D284" t="s">
        <v>7</v>
      </c>
      <c r="E284" s="2">
        <v>1811982</v>
      </c>
      <c r="F284" s="2">
        <v>627615</v>
      </c>
      <c r="G284">
        <v>1</v>
      </c>
    </row>
    <row r="285" spans="1:7" x14ac:dyDescent="0.25">
      <c r="A285">
        <v>8491858</v>
      </c>
      <c r="B285" t="s">
        <v>16</v>
      </c>
      <c r="C285">
        <v>25879366</v>
      </c>
      <c r="D285" t="s">
        <v>9</v>
      </c>
      <c r="E285" s="2">
        <v>8965349</v>
      </c>
      <c r="F285" s="2">
        <v>316935</v>
      </c>
      <c r="G285">
        <v>0</v>
      </c>
    </row>
    <row r="286" spans="1:7" x14ac:dyDescent="0.25">
      <c r="A286">
        <v>8167778</v>
      </c>
      <c r="B286" t="s">
        <v>18</v>
      </c>
      <c r="C286">
        <v>27145364</v>
      </c>
      <c r="D286" t="s">
        <v>7</v>
      </c>
      <c r="E286" s="2">
        <v>1620949</v>
      </c>
      <c r="F286" s="2">
        <v>319741</v>
      </c>
      <c r="G286">
        <v>0</v>
      </c>
    </row>
    <row r="287" spans="1:7" x14ac:dyDescent="0.25">
      <c r="A287">
        <v>8293228</v>
      </c>
      <c r="B287" t="s">
        <v>16</v>
      </c>
      <c r="C287">
        <v>21674961</v>
      </c>
      <c r="D287" t="s">
        <v>7</v>
      </c>
      <c r="E287" s="2">
        <v>6222225</v>
      </c>
      <c r="F287" s="2">
        <v>655866</v>
      </c>
      <c r="G287">
        <v>1</v>
      </c>
    </row>
    <row r="288" spans="1:7" x14ac:dyDescent="0.25">
      <c r="A288">
        <v>8492224</v>
      </c>
      <c r="B288" t="s">
        <v>17</v>
      </c>
      <c r="C288">
        <v>24128447</v>
      </c>
      <c r="D288" t="s">
        <v>7</v>
      </c>
      <c r="E288" s="2">
        <v>577597</v>
      </c>
      <c r="F288" s="2">
        <v>657017</v>
      </c>
      <c r="G288">
        <v>91</v>
      </c>
    </row>
    <row r="289" spans="1:7" x14ac:dyDescent="0.25">
      <c r="A289">
        <v>8260684</v>
      </c>
      <c r="B289" t="s">
        <v>16</v>
      </c>
      <c r="C289">
        <v>26368969</v>
      </c>
      <c r="D289" t="s">
        <v>7</v>
      </c>
      <c r="E289" s="2">
        <v>4264664</v>
      </c>
      <c r="F289" s="2">
        <v>659246</v>
      </c>
      <c r="G289">
        <v>29</v>
      </c>
    </row>
    <row r="290" spans="1:7" x14ac:dyDescent="0.25">
      <c r="A290">
        <v>8553743</v>
      </c>
      <c r="B290" t="s">
        <v>18</v>
      </c>
      <c r="C290">
        <v>20545144</v>
      </c>
      <c r="D290" t="s">
        <v>7</v>
      </c>
      <c r="E290" s="2">
        <v>880349</v>
      </c>
      <c r="F290" s="2">
        <v>1001397</v>
      </c>
      <c r="G290">
        <v>180</v>
      </c>
    </row>
    <row r="291" spans="1:7" x14ac:dyDescent="0.25">
      <c r="A291">
        <v>8120338</v>
      </c>
      <c r="B291" t="s">
        <v>16</v>
      </c>
      <c r="C291">
        <v>27451233</v>
      </c>
      <c r="D291" t="s">
        <v>7</v>
      </c>
      <c r="E291" s="2">
        <v>2355043</v>
      </c>
      <c r="F291" s="2">
        <v>335289</v>
      </c>
      <c r="G291">
        <v>0</v>
      </c>
    </row>
    <row r="292" spans="1:7" x14ac:dyDescent="0.25">
      <c r="A292">
        <v>8487742</v>
      </c>
      <c r="B292" t="s">
        <v>18</v>
      </c>
      <c r="C292">
        <v>22273203</v>
      </c>
      <c r="D292" t="s">
        <v>7</v>
      </c>
      <c r="E292" s="2">
        <v>643612</v>
      </c>
      <c r="F292" s="2">
        <v>336505</v>
      </c>
      <c r="G292">
        <v>0</v>
      </c>
    </row>
    <row r="293" spans="1:7" x14ac:dyDescent="0.25">
      <c r="A293">
        <v>8182453</v>
      </c>
      <c r="B293" t="s">
        <v>16</v>
      </c>
      <c r="C293">
        <v>10408712</v>
      </c>
      <c r="D293" t="s">
        <v>7</v>
      </c>
      <c r="E293" s="2">
        <v>3698121</v>
      </c>
      <c r="F293" s="2">
        <v>338481</v>
      </c>
      <c r="G293">
        <v>0</v>
      </c>
    </row>
    <row r="294" spans="1:7" x14ac:dyDescent="0.25">
      <c r="A294">
        <v>8170439</v>
      </c>
      <c r="B294" t="s">
        <v>18</v>
      </c>
      <c r="C294">
        <v>27843990</v>
      </c>
      <c r="D294" t="s">
        <v>7</v>
      </c>
      <c r="E294" s="2">
        <v>3250804</v>
      </c>
      <c r="F294" s="2">
        <v>342226</v>
      </c>
      <c r="G294">
        <v>0</v>
      </c>
    </row>
    <row r="295" spans="1:7" x14ac:dyDescent="0.25">
      <c r="A295">
        <v>8146356</v>
      </c>
      <c r="B295" t="s">
        <v>16</v>
      </c>
      <c r="C295">
        <v>15560223</v>
      </c>
      <c r="D295" t="s">
        <v>7</v>
      </c>
      <c r="E295" s="2">
        <v>3278558</v>
      </c>
      <c r="F295" s="2">
        <v>344074</v>
      </c>
      <c r="G295">
        <v>0</v>
      </c>
    </row>
    <row r="296" spans="1:7" x14ac:dyDescent="0.25">
      <c r="A296">
        <v>8444004</v>
      </c>
      <c r="B296" t="s">
        <v>18</v>
      </c>
      <c r="C296">
        <v>2718004</v>
      </c>
      <c r="D296" t="s">
        <v>7</v>
      </c>
      <c r="E296" s="2">
        <v>309413</v>
      </c>
      <c r="F296" s="2">
        <v>351957</v>
      </c>
      <c r="G296">
        <v>0</v>
      </c>
    </row>
    <row r="297" spans="1:7" x14ac:dyDescent="0.25">
      <c r="A297">
        <v>8187553</v>
      </c>
      <c r="B297" t="s">
        <v>18</v>
      </c>
      <c r="C297">
        <v>27233220</v>
      </c>
      <c r="D297" t="s">
        <v>7</v>
      </c>
      <c r="E297" s="2">
        <v>625205</v>
      </c>
      <c r="F297" s="2">
        <v>711171</v>
      </c>
      <c r="G297">
        <v>91</v>
      </c>
    </row>
    <row r="298" spans="1:7" x14ac:dyDescent="0.25">
      <c r="A298">
        <v>8150722</v>
      </c>
      <c r="B298" t="s">
        <v>18</v>
      </c>
      <c r="C298">
        <v>24211866</v>
      </c>
      <c r="D298" t="s">
        <v>7</v>
      </c>
      <c r="E298" s="2">
        <v>2719337</v>
      </c>
      <c r="F298" s="2">
        <v>356731</v>
      </c>
      <c r="G298">
        <v>0</v>
      </c>
    </row>
    <row r="299" spans="1:7" x14ac:dyDescent="0.25">
      <c r="A299">
        <v>8558638</v>
      </c>
      <c r="B299" t="s">
        <v>17</v>
      </c>
      <c r="C299">
        <v>25961154</v>
      </c>
      <c r="D299" t="s">
        <v>7</v>
      </c>
      <c r="E299" s="2">
        <v>317116</v>
      </c>
      <c r="F299" s="2">
        <v>75854</v>
      </c>
      <c r="G299">
        <v>0</v>
      </c>
    </row>
    <row r="300" spans="1:7" x14ac:dyDescent="0.25">
      <c r="A300">
        <v>8173552</v>
      </c>
      <c r="B300" t="s">
        <v>18</v>
      </c>
      <c r="C300">
        <v>15784792</v>
      </c>
      <c r="D300" t="s">
        <v>7</v>
      </c>
      <c r="E300" s="2">
        <v>960698</v>
      </c>
      <c r="F300" s="2">
        <v>1092794</v>
      </c>
      <c r="G300">
        <v>150</v>
      </c>
    </row>
    <row r="301" spans="1:7" x14ac:dyDescent="0.25">
      <c r="A301">
        <v>8380316</v>
      </c>
      <c r="B301" t="s">
        <v>16</v>
      </c>
      <c r="C301">
        <v>26082987</v>
      </c>
      <c r="D301" t="s">
        <v>13</v>
      </c>
      <c r="E301" s="2">
        <v>33483584</v>
      </c>
      <c r="F301" s="2">
        <v>1095717</v>
      </c>
      <c r="G301">
        <v>29</v>
      </c>
    </row>
    <row r="302" spans="1:7" x14ac:dyDescent="0.25">
      <c r="A302">
        <v>8377292</v>
      </c>
      <c r="B302" t="s">
        <v>18</v>
      </c>
      <c r="C302">
        <v>26246020</v>
      </c>
      <c r="D302" t="s">
        <v>7</v>
      </c>
      <c r="E302" s="2">
        <v>1098658</v>
      </c>
      <c r="F302" s="2">
        <v>369898</v>
      </c>
      <c r="G302">
        <v>0</v>
      </c>
    </row>
    <row r="303" spans="1:7" x14ac:dyDescent="0.25">
      <c r="A303">
        <v>8177174</v>
      </c>
      <c r="B303" t="s">
        <v>18</v>
      </c>
      <c r="C303">
        <v>17210228</v>
      </c>
      <c r="D303" t="s">
        <v>7</v>
      </c>
      <c r="E303" s="2">
        <v>975373</v>
      </c>
      <c r="F303" s="2">
        <v>372978</v>
      </c>
      <c r="G303">
        <v>0</v>
      </c>
    </row>
    <row r="304" spans="1:7" x14ac:dyDescent="0.25">
      <c r="A304">
        <v>8170777</v>
      </c>
      <c r="B304" t="s">
        <v>17</v>
      </c>
      <c r="C304">
        <v>27130922</v>
      </c>
      <c r="D304" t="s">
        <v>7</v>
      </c>
      <c r="E304" s="2">
        <v>4670031</v>
      </c>
      <c r="F304" s="2">
        <v>764532</v>
      </c>
      <c r="G304">
        <v>29</v>
      </c>
    </row>
    <row r="305" spans="1:7" x14ac:dyDescent="0.25">
      <c r="A305">
        <v>8363386</v>
      </c>
      <c r="B305" t="s">
        <v>18</v>
      </c>
      <c r="C305">
        <v>27479573</v>
      </c>
      <c r="D305" t="s">
        <v>7</v>
      </c>
      <c r="E305" s="2">
        <v>341422</v>
      </c>
      <c r="F305" s="2">
        <v>54313</v>
      </c>
      <c r="G305">
        <v>0</v>
      </c>
    </row>
    <row r="306" spans="1:7" x14ac:dyDescent="0.25">
      <c r="A306">
        <v>8170382</v>
      </c>
      <c r="B306" t="s">
        <v>16</v>
      </c>
      <c r="C306">
        <v>26499265</v>
      </c>
      <c r="D306" t="s">
        <v>11</v>
      </c>
      <c r="E306" s="2">
        <v>16016395</v>
      </c>
      <c r="F306" s="2">
        <v>389043</v>
      </c>
      <c r="G306">
        <v>0</v>
      </c>
    </row>
    <row r="307" spans="1:7" x14ac:dyDescent="0.25">
      <c r="A307">
        <v>8153448</v>
      </c>
      <c r="B307" t="s">
        <v>17</v>
      </c>
      <c r="C307">
        <v>26129875</v>
      </c>
      <c r="D307" t="s">
        <v>9</v>
      </c>
      <c r="E307" s="2">
        <v>8171137</v>
      </c>
      <c r="F307" s="2">
        <v>1167353</v>
      </c>
      <c r="G307">
        <v>119</v>
      </c>
    </row>
    <row r="308" spans="1:7" x14ac:dyDescent="0.25">
      <c r="A308">
        <v>8292842</v>
      </c>
      <c r="B308" t="s">
        <v>18</v>
      </c>
      <c r="C308">
        <v>17344821</v>
      </c>
      <c r="D308" t="s">
        <v>7</v>
      </c>
      <c r="E308" s="2">
        <v>1048401</v>
      </c>
      <c r="F308" s="2">
        <v>1192556</v>
      </c>
      <c r="G308">
        <v>240</v>
      </c>
    </row>
    <row r="309" spans="1:7" x14ac:dyDescent="0.25">
      <c r="A309">
        <v>8121172</v>
      </c>
      <c r="B309" t="s">
        <v>17</v>
      </c>
      <c r="C309">
        <v>20238795</v>
      </c>
      <c r="D309" t="s">
        <v>7</v>
      </c>
      <c r="E309" s="2">
        <v>1073908</v>
      </c>
      <c r="F309" s="2">
        <v>1221570</v>
      </c>
      <c r="G309">
        <v>180</v>
      </c>
    </row>
    <row r="310" spans="1:7" x14ac:dyDescent="0.25">
      <c r="A310">
        <v>8260654</v>
      </c>
      <c r="B310" t="s">
        <v>17</v>
      </c>
      <c r="C310">
        <v>25097727</v>
      </c>
      <c r="D310" t="s">
        <v>7</v>
      </c>
      <c r="E310" s="2">
        <v>1115309</v>
      </c>
      <c r="F310" s="2">
        <v>409175</v>
      </c>
      <c r="G310">
        <v>0</v>
      </c>
    </row>
    <row r="311" spans="1:7" x14ac:dyDescent="0.25">
      <c r="A311">
        <v>8378400</v>
      </c>
      <c r="B311" t="s">
        <v>17</v>
      </c>
      <c r="C311">
        <v>26843926</v>
      </c>
      <c r="D311" t="s">
        <v>7</v>
      </c>
      <c r="E311" s="2">
        <v>3956047</v>
      </c>
      <c r="F311" s="2">
        <v>410874</v>
      </c>
      <c r="G311">
        <v>0</v>
      </c>
    </row>
    <row r="312" spans="1:7" x14ac:dyDescent="0.25">
      <c r="A312">
        <v>8381475</v>
      </c>
      <c r="B312" t="s">
        <v>16</v>
      </c>
      <c r="C312">
        <v>16300086</v>
      </c>
      <c r="D312" t="s">
        <v>7</v>
      </c>
      <c r="E312" s="2">
        <v>1084215</v>
      </c>
      <c r="F312" s="2">
        <v>420107</v>
      </c>
      <c r="G312">
        <v>0</v>
      </c>
    </row>
    <row r="313" spans="1:7" x14ac:dyDescent="0.25">
      <c r="A313">
        <v>8552331</v>
      </c>
      <c r="B313" t="s">
        <v>16</v>
      </c>
      <c r="C313">
        <v>23983643</v>
      </c>
      <c r="D313" t="s">
        <v>7</v>
      </c>
      <c r="E313" s="2">
        <v>1681553</v>
      </c>
      <c r="F313" s="2">
        <v>421704</v>
      </c>
      <c r="G313">
        <v>0</v>
      </c>
    </row>
    <row r="314" spans="1:7" x14ac:dyDescent="0.25">
      <c r="A314">
        <v>8175434</v>
      </c>
      <c r="B314" t="s">
        <v>16</v>
      </c>
      <c r="C314">
        <v>22984080</v>
      </c>
      <c r="D314" t="s">
        <v>12</v>
      </c>
      <c r="E314" s="2">
        <v>1096812</v>
      </c>
      <c r="F314" s="2">
        <v>847109</v>
      </c>
      <c r="G314">
        <v>270</v>
      </c>
    </row>
    <row r="315" spans="1:7" x14ac:dyDescent="0.25">
      <c r="A315">
        <v>8177887</v>
      </c>
      <c r="B315" t="s">
        <v>17</v>
      </c>
      <c r="C315">
        <v>26004795</v>
      </c>
      <c r="D315" t="s">
        <v>7</v>
      </c>
      <c r="E315" s="2">
        <v>3578524</v>
      </c>
      <c r="F315" s="2">
        <v>4070571</v>
      </c>
      <c r="G315">
        <v>360</v>
      </c>
    </row>
    <row r="316" spans="1:7" x14ac:dyDescent="0.25">
      <c r="A316">
        <v>8486068</v>
      </c>
      <c r="B316" t="s">
        <v>17</v>
      </c>
      <c r="C316">
        <v>27085828</v>
      </c>
      <c r="D316" t="s">
        <v>12</v>
      </c>
      <c r="E316" s="2">
        <v>2177033</v>
      </c>
      <c r="F316" s="2">
        <v>426685</v>
      </c>
      <c r="G316">
        <v>0</v>
      </c>
    </row>
    <row r="317" spans="1:7" x14ac:dyDescent="0.25">
      <c r="A317">
        <v>8170382</v>
      </c>
      <c r="B317" t="s">
        <v>16</v>
      </c>
      <c r="C317">
        <v>28063744</v>
      </c>
      <c r="D317" t="s">
        <v>7</v>
      </c>
      <c r="E317" s="2">
        <v>1881553</v>
      </c>
      <c r="F317" s="2">
        <v>427254</v>
      </c>
      <c r="G317">
        <v>0</v>
      </c>
    </row>
    <row r="318" spans="1:7" x14ac:dyDescent="0.25">
      <c r="A318">
        <v>8377851</v>
      </c>
      <c r="B318" t="s">
        <v>17</v>
      </c>
      <c r="C318">
        <v>23919595</v>
      </c>
      <c r="D318" t="s">
        <v>7</v>
      </c>
      <c r="E318" s="2">
        <v>376767</v>
      </c>
      <c r="F318" s="2">
        <v>167285</v>
      </c>
      <c r="G318">
        <v>0</v>
      </c>
    </row>
    <row r="319" spans="1:7" x14ac:dyDescent="0.25">
      <c r="A319">
        <v>8170768</v>
      </c>
      <c r="B319" t="s">
        <v>18</v>
      </c>
      <c r="C319">
        <v>25300694</v>
      </c>
      <c r="D319" t="s">
        <v>7</v>
      </c>
      <c r="E319" s="2">
        <v>591842</v>
      </c>
      <c r="F319" s="2">
        <v>680640</v>
      </c>
      <c r="G319">
        <v>91</v>
      </c>
    </row>
    <row r="320" spans="1:7" x14ac:dyDescent="0.25">
      <c r="A320">
        <v>8175434</v>
      </c>
      <c r="B320" t="s">
        <v>16</v>
      </c>
      <c r="C320">
        <v>24903975</v>
      </c>
      <c r="D320" t="s">
        <v>12</v>
      </c>
      <c r="E320" s="2">
        <v>1907897</v>
      </c>
      <c r="F320" s="2">
        <v>1334071</v>
      </c>
      <c r="G320">
        <v>602</v>
      </c>
    </row>
    <row r="321" spans="1:7" x14ac:dyDescent="0.25">
      <c r="A321">
        <v>8290112</v>
      </c>
      <c r="B321" t="s">
        <v>18</v>
      </c>
      <c r="C321">
        <v>25098094</v>
      </c>
      <c r="D321" t="s">
        <v>7</v>
      </c>
      <c r="E321" s="2">
        <v>1517249</v>
      </c>
      <c r="F321" s="2">
        <v>464745</v>
      </c>
      <c r="G321">
        <v>0</v>
      </c>
    </row>
    <row r="322" spans="1:7" x14ac:dyDescent="0.25">
      <c r="A322">
        <v>8372852</v>
      </c>
      <c r="B322" t="s">
        <v>17</v>
      </c>
      <c r="C322">
        <v>23768795</v>
      </c>
      <c r="D322" t="s">
        <v>7</v>
      </c>
      <c r="E322" s="2">
        <v>16270098</v>
      </c>
      <c r="F322" s="2">
        <v>465555</v>
      </c>
      <c r="G322">
        <v>0</v>
      </c>
    </row>
    <row r="323" spans="1:7" x14ac:dyDescent="0.25">
      <c r="A323">
        <v>8165995</v>
      </c>
      <c r="B323" t="s">
        <v>17</v>
      </c>
      <c r="C323">
        <v>19787114</v>
      </c>
      <c r="D323" t="s">
        <v>7</v>
      </c>
      <c r="E323" s="2">
        <v>2265749</v>
      </c>
      <c r="F323" s="2">
        <v>1400872</v>
      </c>
      <c r="G323">
        <v>60</v>
      </c>
    </row>
    <row r="324" spans="1:7" x14ac:dyDescent="0.25">
      <c r="A324">
        <v>8357219</v>
      </c>
      <c r="B324" t="s">
        <v>16</v>
      </c>
      <c r="C324">
        <v>27253545</v>
      </c>
      <c r="D324" t="s">
        <v>7</v>
      </c>
      <c r="E324" s="2">
        <v>7914076</v>
      </c>
      <c r="F324" s="2">
        <v>943196</v>
      </c>
      <c r="G324">
        <v>1</v>
      </c>
    </row>
    <row r="325" spans="1:7" x14ac:dyDescent="0.25">
      <c r="A325">
        <v>8559026</v>
      </c>
      <c r="B325" t="s">
        <v>16</v>
      </c>
      <c r="C325">
        <v>25923877</v>
      </c>
      <c r="D325" t="s">
        <v>10</v>
      </c>
      <c r="E325" s="2">
        <v>829964</v>
      </c>
      <c r="F325" s="2">
        <v>944084</v>
      </c>
      <c r="G325">
        <v>31</v>
      </c>
    </row>
    <row r="326" spans="1:7" x14ac:dyDescent="0.25">
      <c r="A326">
        <v>8372113</v>
      </c>
      <c r="B326" t="s">
        <v>16</v>
      </c>
      <c r="C326">
        <v>21187094</v>
      </c>
      <c r="D326" t="s">
        <v>7</v>
      </c>
      <c r="E326" s="2">
        <v>1260944</v>
      </c>
      <c r="F326" s="2">
        <v>1434324</v>
      </c>
      <c r="G326">
        <v>180</v>
      </c>
    </row>
    <row r="327" spans="1:7" x14ac:dyDescent="0.25">
      <c r="A327">
        <v>8181055</v>
      </c>
      <c r="B327" t="s">
        <v>17</v>
      </c>
      <c r="C327">
        <v>21622993</v>
      </c>
      <c r="D327" t="s">
        <v>7</v>
      </c>
      <c r="E327" s="2">
        <v>1263046</v>
      </c>
      <c r="F327" s="2">
        <v>1436715</v>
      </c>
      <c r="G327">
        <v>360</v>
      </c>
    </row>
    <row r="328" spans="1:7" x14ac:dyDescent="0.25">
      <c r="A328">
        <v>8519329</v>
      </c>
      <c r="B328" t="s">
        <v>18</v>
      </c>
      <c r="C328">
        <v>27448637</v>
      </c>
      <c r="D328" t="s">
        <v>7</v>
      </c>
      <c r="E328" s="2">
        <v>961116</v>
      </c>
      <c r="F328" s="2">
        <v>479836</v>
      </c>
      <c r="G328">
        <v>0</v>
      </c>
    </row>
    <row r="329" spans="1:7" x14ac:dyDescent="0.25">
      <c r="A329">
        <v>8122952</v>
      </c>
      <c r="B329" t="s">
        <v>16</v>
      </c>
      <c r="C329">
        <v>27342408</v>
      </c>
      <c r="D329" t="s">
        <v>7</v>
      </c>
      <c r="E329" s="2">
        <v>2384018</v>
      </c>
      <c r="F329" s="2">
        <v>483786</v>
      </c>
      <c r="G329">
        <v>0</v>
      </c>
    </row>
    <row r="330" spans="1:7" x14ac:dyDescent="0.25">
      <c r="A330">
        <v>8520818</v>
      </c>
      <c r="B330" t="s">
        <v>18</v>
      </c>
      <c r="C330">
        <v>25708940</v>
      </c>
      <c r="D330" t="s">
        <v>7</v>
      </c>
      <c r="E330" s="2">
        <v>428399</v>
      </c>
      <c r="F330" s="2">
        <v>487304</v>
      </c>
      <c r="G330">
        <v>0</v>
      </c>
    </row>
    <row r="331" spans="1:7" x14ac:dyDescent="0.25">
      <c r="A331">
        <v>8090376</v>
      </c>
      <c r="B331" t="s">
        <v>17</v>
      </c>
      <c r="C331">
        <v>28116836</v>
      </c>
      <c r="D331" t="s">
        <v>7</v>
      </c>
      <c r="E331" s="2">
        <v>2997939</v>
      </c>
      <c r="F331" s="2">
        <v>489522</v>
      </c>
      <c r="G331">
        <v>0</v>
      </c>
    </row>
    <row r="332" spans="1:7" x14ac:dyDescent="0.25">
      <c r="A332">
        <v>8381475</v>
      </c>
      <c r="B332" t="s">
        <v>16</v>
      </c>
      <c r="C332">
        <v>28582935</v>
      </c>
      <c r="D332" t="s">
        <v>7</v>
      </c>
      <c r="E332" s="2">
        <v>2568813</v>
      </c>
      <c r="F332" s="2">
        <v>979656</v>
      </c>
      <c r="G332">
        <v>29</v>
      </c>
    </row>
    <row r="333" spans="1:7" x14ac:dyDescent="0.25">
      <c r="A333">
        <v>8465959</v>
      </c>
      <c r="B333" t="s">
        <v>18</v>
      </c>
      <c r="C333">
        <v>14265420</v>
      </c>
      <c r="D333" t="s">
        <v>7</v>
      </c>
      <c r="E333" s="2">
        <v>911098</v>
      </c>
      <c r="F333" s="2">
        <v>1036374</v>
      </c>
      <c r="G333">
        <v>91</v>
      </c>
    </row>
    <row r="334" spans="1:7" x14ac:dyDescent="0.25">
      <c r="A334">
        <v>8550513</v>
      </c>
      <c r="B334" t="s">
        <v>18</v>
      </c>
      <c r="C334">
        <v>12130935</v>
      </c>
      <c r="D334" t="s">
        <v>7</v>
      </c>
      <c r="E334" s="2">
        <v>964808</v>
      </c>
      <c r="F334" s="2">
        <v>521974</v>
      </c>
      <c r="G334">
        <v>0</v>
      </c>
    </row>
    <row r="335" spans="1:7" x14ac:dyDescent="0.25">
      <c r="A335">
        <v>8552611</v>
      </c>
      <c r="B335" t="s">
        <v>17</v>
      </c>
      <c r="C335">
        <v>27290206</v>
      </c>
      <c r="D335" t="s">
        <v>7</v>
      </c>
      <c r="E335" s="2">
        <v>1383770</v>
      </c>
      <c r="F335" s="2">
        <v>1574038</v>
      </c>
      <c r="G335">
        <v>120</v>
      </c>
    </row>
    <row r="336" spans="1:7" x14ac:dyDescent="0.25">
      <c r="A336">
        <v>8558545</v>
      </c>
      <c r="B336" t="s">
        <v>16</v>
      </c>
      <c r="C336">
        <v>23658040</v>
      </c>
      <c r="D336" t="s">
        <v>7</v>
      </c>
      <c r="E336" s="2">
        <v>937881</v>
      </c>
      <c r="F336" s="2">
        <v>538676</v>
      </c>
      <c r="G336">
        <v>0</v>
      </c>
    </row>
    <row r="337" spans="1:7" x14ac:dyDescent="0.25">
      <c r="A337">
        <v>8260719</v>
      </c>
      <c r="B337" t="s">
        <v>18</v>
      </c>
      <c r="C337">
        <v>20150113</v>
      </c>
      <c r="D337" t="s">
        <v>7</v>
      </c>
      <c r="E337" s="2">
        <v>474798</v>
      </c>
      <c r="F337" s="2">
        <v>37180</v>
      </c>
      <c r="G337">
        <v>0</v>
      </c>
    </row>
    <row r="338" spans="1:7" x14ac:dyDescent="0.25">
      <c r="A338">
        <v>8552345</v>
      </c>
      <c r="B338" t="s">
        <v>17</v>
      </c>
      <c r="C338">
        <v>27755148</v>
      </c>
      <c r="D338" t="s">
        <v>7</v>
      </c>
      <c r="E338" s="2">
        <v>475795</v>
      </c>
      <c r="F338" s="2">
        <v>162609</v>
      </c>
      <c r="G338">
        <v>0</v>
      </c>
    </row>
    <row r="339" spans="1:7" x14ac:dyDescent="0.25">
      <c r="A339">
        <v>8378283</v>
      </c>
      <c r="B339" t="s">
        <v>17</v>
      </c>
      <c r="C339">
        <v>25804857</v>
      </c>
      <c r="D339" t="s">
        <v>7</v>
      </c>
      <c r="E339" s="2">
        <v>8422202</v>
      </c>
      <c r="F339" s="2">
        <v>1084306</v>
      </c>
      <c r="G339">
        <v>1</v>
      </c>
    </row>
    <row r="340" spans="1:7" x14ac:dyDescent="0.25">
      <c r="A340">
        <v>8373803</v>
      </c>
      <c r="B340" t="s">
        <v>17</v>
      </c>
      <c r="C340">
        <v>24836538</v>
      </c>
      <c r="D340" t="s">
        <v>7</v>
      </c>
      <c r="E340" s="2">
        <v>2172224</v>
      </c>
      <c r="F340" s="2">
        <v>544076</v>
      </c>
      <c r="G340">
        <v>0</v>
      </c>
    </row>
    <row r="341" spans="1:7" x14ac:dyDescent="0.25">
      <c r="A341">
        <v>8153540</v>
      </c>
      <c r="B341" t="s">
        <v>16</v>
      </c>
      <c r="C341">
        <v>25028738</v>
      </c>
      <c r="D341" t="s">
        <v>7</v>
      </c>
      <c r="E341" s="2">
        <v>479308</v>
      </c>
      <c r="F341" s="2">
        <v>84309</v>
      </c>
      <c r="G341">
        <v>0</v>
      </c>
    </row>
    <row r="342" spans="1:7" x14ac:dyDescent="0.25">
      <c r="A342">
        <v>8170763</v>
      </c>
      <c r="B342" t="s">
        <v>17</v>
      </c>
      <c r="C342">
        <v>27233973</v>
      </c>
      <c r="D342" t="s">
        <v>7</v>
      </c>
      <c r="E342" s="2">
        <v>480218</v>
      </c>
      <c r="F342" s="2">
        <v>546248</v>
      </c>
      <c r="G342">
        <v>0</v>
      </c>
    </row>
    <row r="343" spans="1:7" x14ac:dyDescent="0.25">
      <c r="A343">
        <v>8489892</v>
      </c>
      <c r="B343" t="s">
        <v>18</v>
      </c>
      <c r="C343">
        <v>20521084</v>
      </c>
      <c r="D343" t="s">
        <v>7</v>
      </c>
      <c r="E343" s="2">
        <v>481787</v>
      </c>
      <c r="F343" s="2">
        <v>548033</v>
      </c>
      <c r="G343">
        <v>0</v>
      </c>
    </row>
    <row r="344" spans="1:7" x14ac:dyDescent="0.25">
      <c r="A344">
        <v>8466082</v>
      </c>
      <c r="B344" t="s">
        <v>18</v>
      </c>
      <c r="C344">
        <v>21029378</v>
      </c>
      <c r="D344" t="s">
        <v>7</v>
      </c>
      <c r="E344" s="2">
        <v>4228736</v>
      </c>
      <c r="F344" s="2">
        <v>552834</v>
      </c>
      <c r="G344">
        <v>0</v>
      </c>
    </row>
    <row r="345" spans="1:7" x14ac:dyDescent="0.25">
      <c r="A345">
        <v>8293228</v>
      </c>
      <c r="B345" t="s">
        <v>16</v>
      </c>
      <c r="C345">
        <v>27864553</v>
      </c>
      <c r="D345" t="s">
        <v>13</v>
      </c>
      <c r="E345" s="2">
        <v>12716762</v>
      </c>
      <c r="F345" s="2">
        <v>577427</v>
      </c>
      <c r="G345">
        <v>0</v>
      </c>
    </row>
    <row r="346" spans="1:7" x14ac:dyDescent="0.25">
      <c r="A346">
        <v>8141661</v>
      </c>
      <c r="B346" t="s">
        <v>18</v>
      </c>
      <c r="C346">
        <v>26211389</v>
      </c>
      <c r="D346" t="s">
        <v>7</v>
      </c>
      <c r="E346" s="2">
        <v>509256</v>
      </c>
      <c r="F346" s="2">
        <v>579279</v>
      </c>
      <c r="G346">
        <v>0</v>
      </c>
    </row>
    <row r="347" spans="1:7" x14ac:dyDescent="0.25">
      <c r="A347">
        <v>8550484</v>
      </c>
      <c r="B347" t="s">
        <v>17</v>
      </c>
      <c r="C347">
        <v>26911994</v>
      </c>
      <c r="D347" t="s">
        <v>7</v>
      </c>
      <c r="E347" s="2">
        <v>2824347</v>
      </c>
      <c r="F347" s="2">
        <v>585663</v>
      </c>
      <c r="G347">
        <v>0</v>
      </c>
    </row>
    <row r="348" spans="1:7" x14ac:dyDescent="0.25">
      <c r="A348">
        <v>8091720</v>
      </c>
      <c r="B348" t="s">
        <v>16</v>
      </c>
      <c r="C348">
        <v>25711791</v>
      </c>
      <c r="D348" t="s">
        <v>7</v>
      </c>
      <c r="E348" s="2">
        <v>5936107</v>
      </c>
      <c r="F348" s="2">
        <v>1226946</v>
      </c>
      <c r="G348">
        <v>30</v>
      </c>
    </row>
    <row r="349" spans="1:7" x14ac:dyDescent="0.25">
      <c r="A349">
        <v>8491969</v>
      </c>
      <c r="B349" t="s">
        <v>18</v>
      </c>
      <c r="C349">
        <v>16363550</v>
      </c>
      <c r="D349" t="s">
        <v>7</v>
      </c>
      <c r="E349" s="2">
        <v>1629928</v>
      </c>
      <c r="F349" s="2">
        <v>1854043</v>
      </c>
      <c r="G349">
        <v>360</v>
      </c>
    </row>
    <row r="350" spans="1:7" x14ac:dyDescent="0.25">
      <c r="A350">
        <v>8260684</v>
      </c>
      <c r="B350" t="s">
        <v>16</v>
      </c>
      <c r="C350">
        <v>25807487</v>
      </c>
      <c r="D350" t="s">
        <v>11</v>
      </c>
      <c r="E350" s="2">
        <v>9816082</v>
      </c>
      <c r="F350" s="2">
        <v>620809</v>
      </c>
      <c r="G350">
        <v>0</v>
      </c>
    </row>
    <row r="351" spans="1:7" x14ac:dyDescent="0.25">
      <c r="A351">
        <v>8165995</v>
      </c>
      <c r="B351" t="s">
        <v>17</v>
      </c>
      <c r="C351">
        <v>28584115</v>
      </c>
      <c r="D351" t="s">
        <v>7</v>
      </c>
      <c r="E351" s="2">
        <v>3701813</v>
      </c>
      <c r="F351" s="2">
        <v>623889</v>
      </c>
      <c r="G351">
        <v>0</v>
      </c>
    </row>
    <row r="352" spans="1:7" x14ac:dyDescent="0.25">
      <c r="A352">
        <v>8171800</v>
      </c>
      <c r="B352" t="s">
        <v>18</v>
      </c>
      <c r="C352">
        <v>26378227</v>
      </c>
      <c r="D352" t="s">
        <v>7</v>
      </c>
      <c r="E352" s="2">
        <v>1106150</v>
      </c>
      <c r="F352" s="2">
        <v>1259479</v>
      </c>
      <c r="G352">
        <v>91</v>
      </c>
    </row>
    <row r="353" spans="1:7" x14ac:dyDescent="0.25">
      <c r="A353">
        <v>8290811</v>
      </c>
      <c r="B353" t="s">
        <v>16</v>
      </c>
      <c r="C353">
        <v>22295364</v>
      </c>
      <c r="D353" t="s">
        <v>11</v>
      </c>
      <c r="E353" s="2">
        <v>7321083</v>
      </c>
      <c r="F353" s="2">
        <v>646898</v>
      </c>
      <c r="G353">
        <v>0</v>
      </c>
    </row>
    <row r="354" spans="1:7" x14ac:dyDescent="0.25">
      <c r="A354">
        <v>8120833</v>
      </c>
      <c r="B354" t="s">
        <v>17</v>
      </c>
      <c r="C354">
        <v>24374772</v>
      </c>
      <c r="D354" t="s">
        <v>7</v>
      </c>
      <c r="E354" s="2">
        <v>571589</v>
      </c>
      <c r="F354" s="2">
        <v>650182</v>
      </c>
      <c r="G354">
        <v>0</v>
      </c>
    </row>
    <row r="355" spans="1:7" x14ac:dyDescent="0.25">
      <c r="A355">
        <v>8260069</v>
      </c>
      <c r="B355" t="s">
        <v>16</v>
      </c>
      <c r="C355">
        <v>25090532</v>
      </c>
      <c r="D355" t="s">
        <v>7</v>
      </c>
      <c r="E355" s="2">
        <v>13291204</v>
      </c>
      <c r="F355" s="2">
        <v>1958206</v>
      </c>
      <c r="G355">
        <v>30</v>
      </c>
    </row>
    <row r="356" spans="1:7" x14ac:dyDescent="0.25">
      <c r="A356">
        <v>8088899</v>
      </c>
      <c r="B356" t="s">
        <v>18</v>
      </c>
      <c r="C356">
        <v>26370037</v>
      </c>
      <c r="D356" t="s">
        <v>7</v>
      </c>
      <c r="E356" s="2">
        <v>1722978</v>
      </c>
      <c r="F356" s="2">
        <v>1959887</v>
      </c>
      <c r="G356">
        <v>150</v>
      </c>
    </row>
    <row r="357" spans="1:7" x14ac:dyDescent="0.25">
      <c r="A357">
        <v>8376429</v>
      </c>
      <c r="B357" t="s">
        <v>16</v>
      </c>
      <c r="C357">
        <v>11036696</v>
      </c>
      <c r="D357" t="s">
        <v>7</v>
      </c>
      <c r="E357" s="2">
        <v>4566222</v>
      </c>
      <c r="F357" s="2">
        <v>1981969</v>
      </c>
      <c r="G357">
        <v>60</v>
      </c>
    </row>
    <row r="358" spans="1:7" x14ac:dyDescent="0.25">
      <c r="A358">
        <v>8163225</v>
      </c>
      <c r="B358" t="s">
        <v>17</v>
      </c>
      <c r="C358">
        <v>24997522</v>
      </c>
      <c r="D358" t="s">
        <v>7</v>
      </c>
      <c r="E358" s="2">
        <v>2236231</v>
      </c>
      <c r="F358" s="2">
        <v>663683</v>
      </c>
      <c r="G358">
        <v>0</v>
      </c>
    </row>
    <row r="359" spans="1:7" x14ac:dyDescent="0.25">
      <c r="A359">
        <v>8263081</v>
      </c>
      <c r="B359" t="s">
        <v>18</v>
      </c>
      <c r="C359">
        <v>25950581</v>
      </c>
      <c r="D359" t="s">
        <v>7</v>
      </c>
      <c r="E359" s="2">
        <v>586033</v>
      </c>
      <c r="F359" s="2">
        <v>666612</v>
      </c>
      <c r="G359">
        <v>0</v>
      </c>
    </row>
    <row r="360" spans="1:7" x14ac:dyDescent="0.25">
      <c r="A360">
        <v>8550332</v>
      </c>
      <c r="B360" t="s">
        <v>18</v>
      </c>
      <c r="C360">
        <v>24814717</v>
      </c>
      <c r="D360" t="s">
        <v>7</v>
      </c>
      <c r="E360" s="2">
        <v>815275</v>
      </c>
      <c r="F360" s="2">
        <v>674054</v>
      </c>
      <c r="G360">
        <v>0</v>
      </c>
    </row>
    <row r="361" spans="1:7" x14ac:dyDescent="0.25">
      <c r="A361">
        <v>8293564</v>
      </c>
      <c r="B361" t="s">
        <v>18</v>
      </c>
      <c r="C361">
        <v>26443276</v>
      </c>
      <c r="D361" t="s">
        <v>7</v>
      </c>
      <c r="E361" s="2">
        <v>1966040</v>
      </c>
      <c r="F361" s="2">
        <v>697423</v>
      </c>
      <c r="G361">
        <v>0</v>
      </c>
    </row>
    <row r="362" spans="1:7" x14ac:dyDescent="0.25">
      <c r="A362">
        <v>8188190</v>
      </c>
      <c r="B362" t="s">
        <v>16</v>
      </c>
      <c r="C362">
        <v>22079343</v>
      </c>
      <c r="D362" t="s">
        <v>9</v>
      </c>
      <c r="E362" s="2">
        <v>6185531</v>
      </c>
      <c r="F362" s="2">
        <v>1419385</v>
      </c>
      <c r="G362">
        <v>31</v>
      </c>
    </row>
    <row r="363" spans="1:7" x14ac:dyDescent="0.25">
      <c r="A363">
        <v>8553414</v>
      </c>
      <c r="B363" t="s">
        <v>18</v>
      </c>
      <c r="C363">
        <v>16700034</v>
      </c>
      <c r="D363" t="s">
        <v>7</v>
      </c>
      <c r="E363" s="2">
        <v>1957937</v>
      </c>
      <c r="F363" s="2">
        <v>1426176</v>
      </c>
      <c r="G363">
        <v>91</v>
      </c>
    </row>
    <row r="364" spans="1:7" x14ac:dyDescent="0.25">
      <c r="A364">
        <v>8120613</v>
      </c>
      <c r="B364" t="s">
        <v>18</v>
      </c>
      <c r="C364">
        <v>15453603</v>
      </c>
      <c r="D364" t="s">
        <v>7</v>
      </c>
      <c r="E364" s="2">
        <v>1903221</v>
      </c>
      <c r="F364" s="2">
        <v>2164914</v>
      </c>
      <c r="G364">
        <v>150</v>
      </c>
    </row>
    <row r="365" spans="1:7" x14ac:dyDescent="0.25">
      <c r="A365">
        <v>8559026</v>
      </c>
      <c r="B365" t="s">
        <v>16</v>
      </c>
      <c r="C365">
        <v>25934012</v>
      </c>
      <c r="D365" t="s">
        <v>9</v>
      </c>
      <c r="E365" s="2">
        <v>15582595</v>
      </c>
      <c r="F365" s="2">
        <v>1447899</v>
      </c>
      <c r="G365">
        <v>1</v>
      </c>
    </row>
    <row r="366" spans="1:7" x14ac:dyDescent="0.25">
      <c r="A366">
        <v>8294415</v>
      </c>
      <c r="B366" t="s">
        <v>16</v>
      </c>
      <c r="C366">
        <v>25086883</v>
      </c>
      <c r="D366" t="s">
        <v>12</v>
      </c>
      <c r="E366" s="2">
        <v>5041386</v>
      </c>
      <c r="F366" s="2">
        <v>728920</v>
      </c>
      <c r="G366">
        <v>0</v>
      </c>
    </row>
    <row r="367" spans="1:7" x14ac:dyDescent="0.25">
      <c r="A367">
        <v>8466043</v>
      </c>
      <c r="B367" t="s">
        <v>16</v>
      </c>
      <c r="C367">
        <v>22082240</v>
      </c>
      <c r="D367" t="s">
        <v>9</v>
      </c>
      <c r="E367" s="2">
        <v>943456</v>
      </c>
      <c r="F367" s="2">
        <v>735738</v>
      </c>
      <c r="G367">
        <v>0</v>
      </c>
    </row>
    <row r="368" spans="1:7" x14ac:dyDescent="0.25">
      <c r="A368">
        <v>8555305</v>
      </c>
      <c r="B368" t="s">
        <v>18</v>
      </c>
      <c r="C368">
        <v>21346506</v>
      </c>
      <c r="D368" t="s">
        <v>7</v>
      </c>
      <c r="E368" s="2">
        <v>1302355</v>
      </c>
      <c r="F368" s="2">
        <v>1481076</v>
      </c>
      <c r="G368">
        <v>330</v>
      </c>
    </row>
    <row r="369" spans="1:7" x14ac:dyDescent="0.25">
      <c r="A369">
        <v>8181055</v>
      </c>
      <c r="B369" t="s">
        <v>17</v>
      </c>
      <c r="C369">
        <v>21623286</v>
      </c>
      <c r="D369" t="s">
        <v>7</v>
      </c>
      <c r="E369" s="2">
        <v>2006644</v>
      </c>
      <c r="F369" s="2">
        <v>2282558</v>
      </c>
      <c r="G369">
        <v>360</v>
      </c>
    </row>
    <row r="370" spans="1:7" x14ac:dyDescent="0.25">
      <c r="A370">
        <v>8489792</v>
      </c>
      <c r="B370" t="s">
        <v>17</v>
      </c>
      <c r="C370">
        <v>20199357</v>
      </c>
      <c r="D370" t="s">
        <v>7</v>
      </c>
      <c r="E370" s="2">
        <v>1714011</v>
      </c>
      <c r="F370" s="2">
        <v>762874</v>
      </c>
      <c r="G370">
        <v>0</v>
      </c>
    </row>
    <row r="371" spans="1:7" x14ac:dyDescent="0.25">
      <c r="A371">
        <v>8291307</v>
      </c>
      <c r="B371" t="s">
        <v>17</v>
      </c>
      <c r="C371">
        <v>19789068</v>
      </c>
      <c r="D371" t="s">
        <v>7</v>
      </c>
      <c r="E371" s="2">
        <v>6643902</v>
      </c>
      <c r="F371" s="2">
        <v>2294434</v>
      </c>
      <c r="G371">
        <v>60</v>
      </c>
    </row>
    <row r="372" spans="1:7" x14ac:dyDescent="0.25">
      <c r="A372">
        <v>8322484</v>
      </c>
      <c r="B372" t="s">
        <v>18</v>
      </c>
      <c r="C372">
        <v>16140274</v>
      </c>
      <c r="D372" t="s">
        <v>7</v>
      </c>
      <c r="E372" s="2">
        <v>686833</v>
      </c>
      <c r="F372" s="2">
        <v>781273</v>
      </c>
      <c r="G372">
        <v>0</v>
      </c>
    </row>
    <row r="373" spans="1:7" x14ac:dyDescent="0.25">
      <c r="A373">
        <v>8372484</v>
      </c>
      <c r="B373" t="s">
        <v>16</v>
      </c>
      <c r="C373">
        <v>19916641</v>
      </c>
      <c r="D373" t="s">
        <v>7</v>
      </c>
      <c r="E373" s="2">
        <v>2043295</v>
      </c>
      <c r="F373" s="2">
        <v>782788</v>
      </c>
      <c r="G373">
        <v>0</v>
      </c>
    </row>
    <row r="374" spans="1:7" x14ac:dyDescent="0.25">
      <c r="A374">
        <v>8169918</v>
      </c>
      <c r="B374" t="s">
        <v>18</v>
      </c>
      <c r="C374">
        <v>25753095</v>
      </c>
      <c r="D374" t="s">
        <v>7</v>
      </c>
      <c r="E374" s="2">
        <v>688578</v>
      </c>
      <c r="F374" s="2">
        <v>783257</v>
      </c>
      <c r="G374">
        <v>0</v>
      </c>
    </row>
    <row r="375" spans="1:7" x14ac:dyDescent="0.25">
      <c r="A375">
        <v>8291961</v>
      </c>
      <c r="B375" t="s">
        <v>17</v>
      </c>
      <c r="C375">
        <v>22494166</v>
      </c>
      <c r="D375" t="s">
        <v>9</v>
      </c>
      <c r="E375" s="2">
        <v>2094652</v>
      </c>
      <c r="F375" s="2">
        <v>1587469</v>
      </c>
      <c r="G375">
        <v>91</v>
      </c>
    </row>
    <row r="376" spans="1:7" x14ac:dyDescent="0.25">
      <c r="A376">
        <v>8165887</v>
      </c>
      <c r="B376" t="s">
        <v>16</v>
      </c>
      <c r="C376">
        <v>11364019</v>
      </c>
      <c r="D376" t="s">
        <v>7</v>
      </c>
      <c r="E376" s="2">
        <v>2664589</v>
      </c>
      <c r="F376" s="2">
        <v>798098</v>
      </c>
      <c r="G376">
        <v>0</v>
      </c>
    </row>
    <row r="377" spans="1:7" x14ac:dyDescent="0.25">
      <c r="A377">
        <v>8292287</v>
      </c>
      <c r="B377" t="s">
        <v>18</v>
      </c>
      <c r="C377">
        <v>25270652</v>
      </c>
      <c r="D377" t="s">
        <v>7</v>
      </c>
      <c r="E377" s="2">
        <v>708960</v>
      </c>
      <c r="F377" s="2">
        <v>161609</v>
      </c>
      <c r="G377">
        <v>0</v>
      </c>
    </row>
    <row r="378" spans="1:7" x14ac:dyDescent="0.25">
      <c r="A378">
        <v>8163541</v>
      </c>
      <c r="B378" t="s">
        <v>18</v>
      </c>
      <c r="C378">
        <v>24920834</v>
      </c>
      <c r="D378" t="s">
        <v>7</v>
      </c>
      <c r="E378" s="2">
        <v>711246</v>
      </c>
      <c r="F378" s="2">
        <v>28822</v>
      </c>
      <c r="G378">
        <v>0</v>
      </c>
    </row>
    <row r="379" spans="1:7" x14ac:dyDescent="0.25">
      <c r="A379">
        <v>8294484</v>
      </c>
      <c r="B379" t="s">
        <v>18</v>
      </c>
      <c r="C379">
        <v>26897548</v>
      </c>
      <c r="D379" t="s">
        <v>7</v>
      </c>
      <c r="E379" s="2">
        <v>1440979</v>
      </c>
      <c r="F379" s="2">
        <v>1639114</v>
      </c>
      <c r="G379">
        <v>121</v>
      </c>
    </row>
    <row r="380" spans="1:7" x14ac:dyDescent="0.25">
      <c r="A380">
        <v>8375343</v>
      </c>
      <c r="B380" t="s">
        <v>18</v>
      </c>
      <c r="C380">
        <v>22513953</v>
      </c>
      <c r="D380" t="s">
        <v>7</v>
      </c>
      <c r="E380" s="2">
        <v>2170061</v>
      </c>
      <c r="F380" s="2">
        <v>2468444</v>
      </c>
      <c r="G380">
        <v>150</v>
      </c>
    </row>
    <row r="381" spans="1:7" x14ac:dyDescent="0.25">
      <c r="A381">
        <v>8556030</v>
      </c>
      <c r="B381" t="s">
        <v>16</v>
      </c>
      <c r="C381">
        <v>24292654</v>
      </c>
      <c r="D381" t="s">
        <v>7</v>
      </c>
      <c r="E381" s="2">
        <v>6681637</v>
      </c>
      <c r="F381" s="2">
        <v>1646381</v>
      </c>
      <c r="G381">
        <v>29</v>
      </c>
    </row>
    <row r="382" spans="1:7" x14ac:dyDescent="0.25">
      <c r="A382">
        <v>8251019</v>
      </c>
      <c r="B382" t="s">
        <v>17</v>
      </c>
      <c r="C382">
        <v>23719460</v>
      </c>
      <c r="D382" t="s">
        <v>7</v>
      </c>
      <c r="E382" s="2">
        <v>1450462</v>
      </c>
      <c r="F382" s="2">
        <v>1649900</v>
      </c>
      <c r="G382">
        <v>91</v>
      </c>
    </row>
    <row r="383" spans="1:7" x14ac:dyDescent="0.25">
      <c r="A383">
        <v>8294415</v>
      </c>
      <c r="B383" t="s">
        <v>16</v>
      </c>
      <c r="C383">
        <v>26921845</v>
      </c>
      <c r="D383" t="s">
        <v>12</v>
      </c>
      <c r="E383" s="2">
        <v>726342</v>
      </c>
      <c r="F383" s="2">
        <v>72796</v>
      </c>
      <c r="G383">
        <v>0</v>
      </c>
    </row>
    <row r="384" spans="1:7" x14ac:dyDescent="0.25">
      <c r="A384">
        <v>8557743</v>
      </c>
      <c r="B384" t="s">
        <v>17</v>
      </c>
      <c r="C384">
        <v>25042402</v>
      </c>
      <c r="D384" t="s">
        <v>7</v>
      </c>
      <c r="E384" s="2">
        <v>1455537</v>
      </c>
      <c r="F384" s="2">
        <v>1655673</v>
      </c>
      <c r="G384">
        <v>330</v>
      </c>
    </row>
    <row r="385" spans="1:7" x14ac:dyDescent="0.25">
      <c r="A385">
        <v>8376429</v>
      </c>
      <c r="B385" t="s">
        <v>16</v>
      </c>
      <c r="C385">
        <v>2931482</v>
      </c>
      <c r="D385" t="s">
        <v>8</v>
      </c>
      <c r="E385" s="2">
        <v>29581257</v>
      </c>
      <c r="F385" s="2">
        <v>2529274</v>
      </c>
      <c r="G385">
        <v>119</v>
      </c>
    </row>
    <row r="386" spans="1:7" x14ac:dyDescent="0.25">
      <c r="A386">
        <v>8290119</v>
      </c>
      <c r="B386" t="s">
        <v>16</v>
      </c>
      <c r="C386">
        <v>27571222</v>
      </c>
      <c r="D386" t="s">
        <v>9</v>
      </c>
      <c r="E386" s="2">
        <v>3171916</v>
      </c>
      <c r="F386" s="2">
        <v>868343</v>
      </c>
      <c r="G386">
        <v>0</v>
      </c>
    </row>
    <row r="387" spans="1:7" x14ac:dyDescent="0.25">
      <c r="A387">
        <v>8557015</v>
      </c>
      <c r="B387" t="s">
        <v>18</v>
      </c>
      <c r="C387">
        <v>27004164</v>
      </c>
      <c r="D387" t="s">
        <v>7</v>
      </c>
      <c r="E387" s="2">
        <v>795483</v>
      </c>
      <c r="F387" s="2">
        <v>904862</v>
      </c>
      <c r="G387">
        <v>0</v>
      </c>
    </row>
    <row r="388" spans="1:7" x14ac:dyDescent="0.25">
      <c r="A388">
        <v>8263349</v>
      </c>
      <c r="B388" t="s">
        <v>16</v>
      </c>
      <c r="C388">
        <v>21676069</v>
      </c>
      <c r="D388" t="s">
        <v>7</v>
      </c>
      <c r="E388" s="2">
        <v>1896520</v>
      </c>
      <c r="F388" s="2">
        <v>913479</v>
      </c>
      <c r="G388">
        <v>0</v>
      </c>
    </row>
    <row r="389" spans="1:7" x14ac:dyDescent="0.25">
      <c r="A389">
        <v>8558124</v>
      </c>
      <c r="B389" t="s">
        <v>18</v>
      </c>
      <c r="C389">
        <v>26976651</v>
      </c>
      <c r="D389" t="s">
        <v>7</v>
      </c>
      <c r="E389" s="2">
        <v>806456</v>
      </c>
      <c r="F389" s="2">
        <v>528039</v>
      </c>
      <c r="G389">
        <v>0</v>
      </c>
    </row>
    <row r="390" spans="1:7" x14ac:dyDescent="0.25">
      <c r="A390">
        <v>8120848</v>
      </c>
      <c r="B390" t="s">
        <v>16</v>
      </c>
      <c r="C390">
        <v>25950361</v>
      </c>
      <c r="D390" t="s">
        <v>7</v>
      </c>
      <c r="E390" s="2">
        <v>808027</v>
      </c>
      <c r="F390" s="2">
        <v>919131</v>
      </c>
      <c r="G390">
        <v>0</v>
      </c>
    </row>
    <row r="391" spans="1:7" x14ac:dyDescent="0.25">
      <c r="A391">
        <v>8292560</v>
      </c>
      <c r="B391" t="s">
        <v>17</v>
      </c>
      <c r="C391">
        <v>24257181</v>
      </c>
      <c r="D391" t="s">
        <v>7</v>
      </c>
      <c r="E391" s="2">
        <v>1632219</v>
      </c>
      <c r="F391" s="2">
        <v>1856649</v>
      </c>
      <c r="G391">
        <v>270</v>
      </c>
    </row>
    <row r="392" spans="1:7" x14ac:dyDescent="0.25">
      <c r="A392">
        <v>8372113</v>
      </c>
      <c r="B392" t="s">
        <v>16</v>
      </c>
      <c r="C392">
        <v>20852636</v>
      </c>
      <c r="D392" t="s">
        <v>7</v>
      </c>
      <c r="E392" s="2">
        <v>1682609</v>
      </c>
      <c r="F392" s="2">
        <v>1913968</v>
      </c>
      <c r="G392">
        <v>91</v>
      </c>
    </row>
    <row r="393" spans="1:7" x14ac:dyDescent="0.25">
      <c r="A393">
        <v>8381568</v>
      </c>
      <c r="B393" t="s">
        <v>16</v>
      </c>
      <c r="C393">
        <v>16242367</v>
      </c>
      <c r="D393" t="s">
        <v>7</v>
      </c>
      <c r="E393" s="2">
        <v>7189783</v>
      </c>
      <c r="F393" s="2">
        <v>965132</v>
      </c>
      <c r="G393">
        <v>0</v>
      </c>
    </row>
    <row r="394" spans="1:7" x14ac:dyDescent="0.25">
      <c r="A394">
        <v>8174057</v>
      </c>
      <c r="B394" t="s">
        <v>16</v>
      </c>
      <c r="C394">
        <v>25232710</v>
      </c>
      <c r="D394" t="s">
        <v>7</v>
      </c>
      <c r="E394" s="2">
        <v>17776923</v>
      </c>
      <c r="F394" s="2">
        <v>1935578</v>
      </c>
      <c r="G394">
        <v>1</v>
      </c>
    </row>
    <row r="395" spans="1:7" x14ac:dyDescent="0.25">
      <c r="A395">
        <v>8172545</v>
      </c>
      <c r="B395" t="s">
        <v>17</v>
      </c>
      <c r="C395">
        <v>26004598</v>
      </c>
      <c r="D395" t="s">
        <v>7</v>
      </c>
      <c r="E395" s="2">
        <v>1804824</v>
      </c>
      <c r="F395" s="2">
        <v>970410</v>
      </c>
      <c r="G395">
        <v>0</v>
      </c>
    </row>
    <row r="396" spans="1:7" x14ac:dyDescent="0.25">
      <c r="A396">
        <v>8367150</v>
      </c>
      <c r="B396" t="s">
        <v>18</v>
      </c>
      <c r="C396">
        <v>18628373</v>
      </c>
      <c r="D396" t="s">
        <v>7</v>
      </c>
      <c r="E396" s="2">
        <v>853255</v>
      </c>
      <c r="F396" s="2">
        <v>117199</v>
      </c>
      <c r="G396">
        <v>0</v>
      </c>
    </row>
    <row r="397" spans="1:7" x14ac:dyDescent="0.25">
      <c r="A397">
        <v>8357241</v>
      </c>
      <c r="B397" t="s">
        <v>18</v>
      </c>
      <c r="C397">
        <v>22658475</v>
      </c>
      <c r="D397" t="s">
        <v>7</v>
      </c>
      <c r="E397" s="2">
        <v>868166</v>
      </c>
      <c r="F397" s="2">
        <v>117203</v>
      </c>
      <c r="G397">
        <v>0</v>
      </c>
    </row>
    <row r="398" spans="1:7" x14ac:dyDescent="0.25">
      <c r="A398">
        <v>8357219</v>
      </c>
      <c r="B398" t="s">
        <v>16</v>
      </c>
      <c r="C398">
        <v>27217004</v>
      </c>
      <c r="D398" t="s">
        <v>9</v>
      </c>
      <c r="E398" s="2">
        <v>24193456</v>
      </c>
      <c r="F398" s="2">
        <v>994366</v>
      </c>
      <c r="G398">
        <v>0</v>
      </c>
    </row>
    <row r="399" spans="1:7" x14ac:dyDescent="0.25">
      <c r="A399">
        <v>8492088</v>
      </c>
      <c r="B399" t="s">
        <v>17</v>
      </c>
      <c r="C399">
        <v>26249534</v>
      </c>
      <c r="D399" t="s">
        <v>7</v>
      </c>
      <c r="E399" s="2">
        <v>2657185</v>
      </c>
      <c r="F399" s="2">
        <v>3022548</v>
      </c>
      <c r="G399">
        <v>180</v>
      </c>
    </row>
    <row r="400" spans="1:7" x14ac:dyDescent="0.25">
      <c r="A400">
        <v>8261475</v>
      </c>
      <c r="B400" t="s">
        <v>17</v>
      </c>
      <c r="C400">
        <v>26272747</v>
      </c>
      <c r="D400" t="s">
        <v>7</v>
      </c>
      <c r="E400" s="2">
        <v>2706119</v>
      </c>
      <c r="F400" s="2">
        <v>3078210</v>
      </c>
      <c r="G400">
        <v>210</v>
      </c>
    </row>
    <row r="401" spans="1:7" x14ac:dyDescent="0.25">
      <c r="A401">
        <v>8175094</v>
      </c>
      <c r="B401" t="s">
        <v>18</v>
      </c>
      <c r="C401">
        <v>25678340</v>
      </c>
      <c r="D401" t="s">
        <v>7</v>
      </c>
      <c r="E401" s="2">
        <v>903836</v>
      </c>
      <c r="F401" s="2">
        <v>120863</v>
      </c>
      <c r="G401">
        <v>0</v>
      </c>
    </row>
    <row r="402" spans="1:7" x14ac:dyDescent="0.25">
      <c r="A402">
        <v>8169074</v>
      </c>
      <c r="B402" t="s">
        <v>18</v>
      </c>
      <c r="C402">
        <v>25018031</v>
      </c>
      <c r="D402" t="s">
        <v>7</v>
      </c>
      <c r="E402" s="2">
        <v>904884</v>
      </c>
      <c r="F402" s="2">
        <v>296680</v>
      </c>
      <c r="G402">
        <v>0</v>
      </c>
    </row>
    <row r="403" spans="1:7" x14ac:dyDescent="0.25">
      <c r="A403">
        <v>8487332</v>
      </c>
      <c r="B403" t="s">
        <v>16</v>
      </c>
      <c r="C403">
        <v>4441692</v>
      </c>
      <c r="D403" t="s">
        <v>7</v>
      </c>
      <c r="E403" s="2">
        <v>1802433</v>
      </c>
      <c r="F403" s="2">
        <v>2058752</v>
      </c>
      <c r="G403">
        <v>91</v>
      </c>
    </row>
    <row r="404" spans="1:7" x14ac:dyDescent="0.25">
      <c r="A404">
        <v>8550305</v>
      </c>
      <c r="B404" t="s">
        <v>18</v>
      </c>
      <c r="C404">
        <v>23926491</v>
      </c>
      <c r="D404" t="s">
        <v>7</v>
      </c>
      <c r="E404" s="2">
        <v>1816135</v>
      </c>
      <c r="F404" s="2">
        <v>2065854</v>
      </c>
      <c r="G404">
        <v>91</v>
      </c>
    </row>
    <row r="405" spans="1:7" x14ac:dyDescent="0.25">
      <c r="A405">
        <v>8520480</v>
      </c>
      <c r="B405" t="s">
        <v>18</v>
      </c>
      <c r="C405">
        <v>24357359</v>
      </c>
      <c r="D405" t="s">
        <v>7</v>
      </c>
      <c r="E405" s="2">
        <v>913924</v>
      </c>
      <c r="F405" s="2">
        <v>415119</v>
      </c>
      <c r="G405">
        <v>0</v>
      </c>
    </row>
    <row r="406" spans="1:7" x14ac:dyDescent="0.25">
      <c r="A406">
        <v>8261475</v>
      </c>
      <c r="B406" t="s">
        <v>17</v>
      </c>
      <c r="C406">
        <v>26270252</v>
      </c>
      <c r="D406" t="s">
        <v>7</v>
      </c>
      <c r="E406" s="2">
        <v>1834036</v>
      </c>
      <c r="F406" s="2">
        <v>2086216</v>
      </c>
      <c r="G406">
        <v>91</v>
      </c>
    </row>
    <row r="407" spans="1:7" x14ac:dyDescent="0.25">
      <c r="A407">
        <v>8170902</v>
      </c>
      <c r="B407" t="s">
        <v>17</v>
      </c>
      <c r="C407">
        <v>11334214</v>
      </c>
      <c r="D407" t="s">
        <v>13</v>
      </c>
      <c r="E407" s="2">
        <v>923730</v>
      </c>
      <c r="F407" s="2">
        <v>1053435</v>
      </c>
      <c r="G407">
        <v>91</v>
      </c>
    </row>
    <row r="408" spans="1:7" x14ac:dyDescent="0.25">
      <c r="A408">
        <v>8558545</v>
      </c>
      <c r="B408" t="s">
        <v>16</v>
      </c>
      <c r="C408">
        <v>28583662</v>
      </c>
      <c r="D408" t="s">
        <v>7</v>
      </c>
      <c r="E408" s="2">
        <v>937881</v>
      </c>
      <c r="F408" s="2">
        <v>538676</v>
      </c>
      <c r="G408">
        <v>0</v>
      </c>
    </row>
    <row r="409" spans="1:7" x14ac:dyDescent="0.25">
      <c r="A409">
        <v>8165887</v>
      </c>
      <c r="B409" t="s">
        <v>16</v>
      </c>
      <c r="C409">
        <v>26704806</v>
      </c>
      <c r="D409" t="s">
        <v>13</v>
      </c>
      <c r="E409" s="2">
        <v>22458104</v>
      </c>
      <c r="F409" s="2">
        <v>3211113</v>
      </c>
      <c r="G409">
        <v>119</v>
      </c>
    </row>
    <row r="410" spans="1:7" x14ac:dyDescent="0.25">
      <c r="A410">
        <v>8466023</v>
      </c>
      <c r="B410" t="s">
        <v>16</v>
      </c>
      <c r="C410">
        <v>23657184</v>
      </c>
      <c r="D410" t="s">
        <v>7</v>
      </c>
      <c r="E410" s="2">
        <v>3422071</v>
      </c>
      <c r="F410" s="2">
        <v>1070755</v>
      </c>
      <c r="G410">
        <v>0</v>
      </c>
    </row>
    <row r="411" spans="1:7" x14ac:dyDescent="0.25">
      <c r="A411">
        <v>8381568</v>
      </c>
      <c r="B411" t="s">
        <v>16</v>
      </c>
      <c r="C411">
        <v>24024759</v>
      </c>
      <c r="D411" t="s">
        <v>7</v>
      </c>
      <c r="E411" s="2">
        <v>6345316</v>
      </c>
      <c r="F411" s="2">
        <v>1071313</v>
      </c>
      <c r="G411">
        <v>0</v>
      </c>
    </row>
    <row r="412" spans="1:7" x14ac:dyDescent="0.25">
      <c r="A412">
        <v>8165150</v>
      </c>
      <c r="B412" t="s">
        <v>17</v>
      </c>
      <c r="C412">
        <v>25261181</v>
      </c>
      <c r="D412" t="s">
        <v>7</v>
      </c>
      <c r="E412" s="2">
        <v>946078</v>
      </c>
      <c r="F412" s="2">
        <v>79965</v>
      </c>
      <c r="G412">
        <v>0</v>
      </c>
    </row>
    <row r="413" spans="1:7" x14ac:dyDescent="0.25">
      <c r="A413">
        <v>8173554</v>
      </c>
      <c r="B413" t="s">
        <v>17</v>
      </c>
      <c r="C413">
        <v>28584103</v>
      </c>
      <c r="D413" t="s">
        <v>7</v>
      </c>
      <c r="E413" s="2">
        <v>957833</v>
      </c>
      <c r="F413" s="2">
        <v>215560</v>
      </c>
      <c r="G413">
        <v>0</v>
      </c>
    </row>
    <row r="414" spans="1:7" x14ac:dyDescent="0.25">
      <c r="A414">
        <v>8490527</v>
      </c>
      <c r="B414" t="s">
        <v>17</v>
      </c>
      <c r="C414">
        <v>20854953</v>
      </c>
      <c r="D414" t="s">
        <v>7</v>
      </c>
      <c r="E414" s="2">
        <v>2888373</v>
      </c>
      <c r="F414" s="2">
        <v>3285524</v>
      </c>
      <c r="G414">
        <v>150</v>
      </c>
    </row>
    <row r="415" spans="1:7" x14ac:dyDescent="0.25">
      <c r="A415">
        <v>8364034</v>
      </c>
      <c r="B415" t="s">
        <v>17</v>
      </c>
      <c r="C415">
        <v>26406536</v>
      </c>
      <c r="D415" t="s">
        <v>7</v>
      </c>
      <c r="E415" s="2">
        <v>9439551</v>
      </c>
      <c r="F415" s="2">
        <v>2294485</v>
      </c>
      <c r="G415">
        <v>29</v>
      </c>
    </row>
    <row r="416" spans="1:7" x14ac:dyDescent="0.25">
      <c r="A416">
        <v>8487330</v>
      </c>
      <c r="B416" t="s">
        <v>18</v>
      </c>
      <c r="C416">
        <v>22547293</v>
      </c>
      <c r="D416" t="s">
        <v>7</v>
      </c>
      <c r="E416" s="2">
        <v>1019483</v>
      </c>
      <c r="F416" s="2">
        <v>213292</v>
      </c>
      <c r="G416">
        <v>0</v>
      </c>
    </row>
    <row r="417" spans="1:7" x14ac:dyDescent="0.25">
      <c r="A417">
        <v>8185898</v>
      </c>
      <c r="B417" t="s">
        <v>18</v>
      </c>
      <c r="C417">
        <v>26379550</v>
      </c>
      <c r="D417" t="s">
        <v>7</v>
      </c>
      <c r="E417" s="2">
        <v>1049604</v>
      </c>
      <c r="F417" s="2">
        <v>58785</v>
      </c>
      <c r="G417">
        <v>0</v>
      </c>
    </row>
    <row r="418" spans="1:7" x14ac:dyDescent="0.25">
      <c r="A418">
        <v>8291401</v>
      </c>
      <c r="B418" t="s">
        <v>16</v>
      </c>
      <c r="C418">
        <v>26664011</v>
      </c>
      <c r="D418" t="s">
        <v>13</v>
      </c>
      <c r="E418" s="2">
        <v>17810063</v>
      </c>
      <c r="F418" s="2">
        <v>1203480</v>
      </c>
      <c r="G418">
        <v>0</v>
      </c>
    </row>
    <row r="419" spans="1:7" x14ac:dyDescent="0.25">
      <c r="A419">
        <v>8373922</v>
      </c>
      <c r="B419" t="s">
        <v>17</v>
      </c>
      <c r="C419">
        <v>15452026</v>
      </c>
      <c r="D419" t="s">
        <v>7</v>
      </c>
      <c r="E419" s="2">
        <v>1059440</v>
      </c>
      <c r="F419" s="2">
        <v>11709</v>
      </c>
      <c r="G419">
        <v>0</v>
      </c>
    </row>
    <row r="420" spans="1:7" x14ac:dyDescent="0.25">
      <c r="A420">
        <v>8558545</v>
      </c>
      <c r="B420" t="s">
        <v>16</v>
      </c>
      <c r="C420">
        <v>26572022</v>
      </c>
      <c r="D420" t="s">
        <v>14</v>
      </c>
      <c r="E420" s="2">
        <v>10244967</v>
      </c>
      <c r="F420" s="2">
        <v>1212100</v>
      </c>
      <c r="G420">
        <v>0</v>
      </c>
    </row>
    <row r="421" spans="1:7" x14ac:dyDescent="0.25">
      <c r="A421">
        <v>8144093</v>
      </c>
      <c r="B421" t="s">
        <v>16</v>
      </c>
      <c r="C421">
        <v>25328215</v>
      </c>
      <c r="D421" t="s">
        <v>9</v>
      </c>
      <c r="E421" s="2">
        <v>7312847</v>
      </c>
      <c r="F421" s="2">
        <v>1248521</v>
      </c>
      <c r="G421">
        <v>0</v>
      </c>
    </row>
    <row r="422" spans="1:7" x14ac:dyDescent="0.25">
      <c r="A422">
        <v>8091720</v>
      </c>
      <c r="B422" t="s">
        <v>16</v>
      </c>
      <c r="C422">
        <v>25711212</v>
      </c>
      <c r="D422" t="s">
        <v>7</v>
      </c>
      <c r="E422" s="2">
        <v>2657025</v>
      </c>
      <c r="F422" s="2">
        <v>1286278</v>
      </c>
      <c r="G422">
        <v>0</v>
      </c>
    </row>
    <row r="423" spans="1:7" x14ac:dyDescent="0.25">
      <c r="A423">
        <v>8369548</v>
      </c>
      <c r="B423" t="s">
        <v>18</v>
      </c>
      <c r="C423">
        <v>21722911</v>
      </c>
      <c r="D423" t="s">
        <v>7</v>
      </c>
      <c r="E423" s="2">
        <v>1133476</v>
      </c>
      <c r="F423" s="2">
        <v>1289329</v>
      </c>
      <c r="G423">
        <v>0</v>
      </c>
    </row>
    <row r="424" spans="1:7" x14ac:dyDescent="0.25">
      <c r="A424">
        <v>8121437</v>
      </c>
      <c r="B424" t="s">
        <v>18</v>
      </c>
      <c r="C424">
        <v>21978793</v>
      </c>
      <c r="D424" t="s">
        <v>7</v>
      </c>
      <c r="E424" s="2">
        <v>1147248</v>
      </c>
      <c r="F424" s="2">
        <v>1304995</v>
      </c>
      <c r="G424">
        <v>0</v>
      </c>
    </row>
    <row r="425" spans="1:7" x14ac:dyDescent="0.25">
      <c r="A425">
        <v>8170851</v>
      </c>
      <c r="B425" t="s">
        <v>18</v>
      </c>
      <c r="C425">
        <v>27057377</v>
      </c>
      <c r="D425" t="s">
        <v>7</v>
      </c>
      <c r="E425" s="2">
        <v>1179389</v>
      </c>
      <c r="F425" s="2">
        <v>178016</v>
      </c>
      <c r="G425">
        <v>0</v>
      </c>
    </row>
    <row r="426" spans="1:7" x14ac:dyDescent="0.25">
      <c r="A426">
        <v>8380574</v>
      </c>
      <c r="B426" t="s">
        <v>16</v>
      </c>
      <c r="C426">
        <v>26216119</v>
      </c>
      <c r="D426" t="s">
        <v>12</v>
      </c>
      <c r="E426" s="2">
        <v>1184602</v>
      </c>
      <c r="F426" s="2">
        <v>1347485</v>
      </c>
      <c r="G426">
        <v>0</v>
      </c>
    </row>
    <row r="427" spans="1:7" x14ac:dyDescent="0.25">
      <c r="A427">
        <v>8166205</v>
      </c>
      <c r="B427" t="s">
        <v>17</v>
      </c>
      <c r="C427">
        <v>20943764</v>
      </c>
      <c r="D427" t="s">
        <v>7</v>
      </c>
      <c r="E427" s="2">
        <v>1200348</v>
      </c>
      <c r="F427" s="2">
        <v>142091</v>
      </c>
      <c r="G427">
        <v>0</v>
      </c>
    </row>
    <row r="428" spans="1:7" x14ac:dyDescent="0.25">
      <c r="A428">
        <v>8120258</v>
      </c>
      <c r="B428" t="s">
        <v>18</v>
      </c>
      <c r="C428">
        <v>22218377</v>
      </c>
      <c r="D428" t="s">
        <v>7</v>
      </c>
      <c r="E428" s="2">
        <v>1241584</v>
      </c>
      <c r="F428" s="2">
        <v>1412302</v>
      </c>
      <c r="G428">
        <v>0</v>
      </c>
    </row>
    <row r="429" spans="1:7" x14ac:dyDescent="0.25">
      <c r="A429">
        <v>8485525</v>
      </c>
      <c r="B429" t="s">
        <v>16</v>
      </c>
      <c r="C429">
        <v>26183633</v>
      </c>
      <c r="D429" t="s">
        <v>12</v>
      </c>
      <c r="E429" s="2">
        <v>1335677</v>
      </c>
      <c r="F429" s="2">
        <v>1485139</v>
      </c>
      <c r="G429">
        <v>0</v>
      </c>
    </row>
    <row r="430" spans="1:7" x14ac:dyDescent="0.25">
      <c r="A430">
        <v>8177716</v>
      </c>
      <c r="B430" t="s">
        <v>18</v>
      </c>
      <c r="C430">
        <v>26262210</v>
      </c>
      <c r="D430" t="s">
        <v>7</v>
      </c>
      <c r="E430" s="2">
        <v>1355970</v>
      </c>
      <c r="F430" s="2">
        <v>338657</v>
      </c>
      <c r="G430">
        <v>0</v>
      </c>
    </row>
    <row r="431" spans="1:7" x14ac:dyDescent="0.25">
      <c r="A431">
        <v>8292560</v>
      </c>
      <c r="B431" t="s">
        <v>17</v>
      </c>
      <c r="C431">
        <v>21245444</v>
      </c>
      <c r="D431" t="s">
        <v>9</v>
      </c>
      <c r="E431" s="2">
        <v>4283691</v>
      </c>
      <c r="F431" s="2">
        <v>1547189</v>
      </c>
      <c r="G431">
        <v>0</v>
      </c>
    </row>
    <row r="432" spans="1:7" x14ac:dyDescent="0.25">
      <c r="A432">
        <v>8145532</v>
      </c>
      <c r="B432" t="s">
        <v>17</v>
      </c>
      <c r="C432">
        <v>27445813</v>
      </c>
      <c r="D432" t="s">
        <v>7</v>
      </c>
      <c r="E432" s="2">
        <v>1429913</v>
      </c>
      <c r="F432" s="2">
        <v>26195</v>
      </c>
      <c r="G432">
        <v>0</v>
      </c>
    </row>
    <row r="433" spans="1:7" x14ac:dyDescent="0.25">
      <c r="A433">
        <v>8293714</v>
      </c>
      <c r="B433" t="s">
        <v>18</v>
      </c>
      <c r="C433">
        <v>21486272</v>
      </c>
      <c r="D433" t="s">
        <v>7</v>
      </c>
      <c r="E433" s="2">
        <v>1435802</v>
      </c>
      <c r="F433" s="2">
        <v>195378</v>
      </c>
      <c r="G433">
        <v>0</v>
      </c>
    </row>
    <row r="434" spans="1:7" x14ac:dyDescent="0.25">
      <c r="A434">
        <v>8092203</v>
      </c>
      <c r="B434" t="s">
        <v>18</v>
      </c>
      <c r="C434">
        <v>27368714</v>
      </c>
      <c r="D434" t="s">
        <v>7</v>
      </c>
      <c r="E434" s="2">
        <v>1441774</v>
      </c>
      <c r="F434" s="2">
        <v>45380</v>
      </c>
      <c r="G434">
        <v>0</v>
      </c>
    </row>
    <row r="435" spans="1:7" x14ac:dyDescent="0.25">
      <c r="A435">
        <v>8366056</v>
      </c>
      <c r="B435" t="s">
        <v>17</v>
      </c>
      <c r="C435">
        <v>27054787</v>
      </c>
      <c r="D435" t="s">
        <v>7</v>
      </c>
      <c r="E435" s="2">
        <v>1469287</v>
      </c>
      <c r="F435" s="2">
        <v>1671314</v>
      </c>
      <c r="G435">
        <v>0</v>
      </c>
    </row>
    <row r="436" spans="1:7" x14ac:dyDescent="0.25">
      <c r="A436">
        <v>8121172</v>
      </c>
      <c r="B436" t="s">
        <v>17</v>
      </c>
      <c r="C436">
        <v>15535226</v>
      </c>
      <c r="D436" t="s">
        <v>7</v>
      </c>
      <c r="E436" s="2">
        <v>1538097</v>
      </c>
      <c r="F436" s="2">
        <v>1749585</v>
      </c>
      <c r="G436">
        <v>0</v>
      </c>
    </row>
    <row r="437" spans="1:7" x14ac:dyDescent="0.25">
      <c r="A437">
        <v>8171572</v>
      </c>
      <c r="B437" t="s">
        <v>16</v>
      </c>
      <c r="C437">
        <v>27858009</v>
      </c>
      <c r="D437" t="s">
        <v>7</v>
      </c>
      <c r="E437" s="2">
        <v>6199539</v>
      </c>
      <c r="F437" s="2">
        <v>1782848</v>
      </c>
      <c r="G437">
        <v>0</v>
      </c>
    </row>
    <row r="438" spans="1:7" x14ac:dyDescent="0.25">
      <c r="A438">
        <v>8261154</v>
      </c>
      <c r="B438" t="s">
        <v>16</v>
      </c>
      <c r="C438">
        <v>27689534</v>
      </c>
      <c r="D438" t="s">
        <v>9</v>
      </c>
      <c r="E438" s="2">
        <v>24208369</v>
      </c>
      <c r="F438" s="2">
        <v>1828818</v>
      </c>
      <c r="G438">
        <v>0</v>
      </c>
    </row>
    <row r="439" spans="1:7" x14ac:dyDescent="0.25">
      <c r="A439">
        <v>8490008</v>
      </c>
      <c r="B439" t="s">
        <v>18</v>
      </c>
      <c r="C439">
        <v>23864357</v>
      </c>
      <c r="D439" t="s">
        <v>7</v>
      </c>
      <c r="E439" s="2">
        <v>1613607</v>
      </c>
      <c r="F439" s="2">
        <v>613989</v>
      </c>
      <c r="G439">
        <v>0</v>
      </c>
    </row>
    <row r="440" spans="1:7" x14ac:dyDescent="0.25">
      <c r="A440">
        <v>8550032</v>
      </c>
      <c r="B440" t="s">
        <v>17</v>
      </c>
      <c r="C440">
        <v>26664605</v>
      </c>
      <c r="D440" t="s">
        <v>7</v>
      </c>
      <c r="E440" s="2">
        <v>1636587</v>
      </c>
      <c r="F440" s="2">
        <v>1861619</v>
      </c>
      <c r="G440">
        <v>0</v>
      </c>
    </row>
    <row r="441" spans="1:7" x14ac:dyDescent="0.25">
      <c r="A441">
        <v>8174723</v>
      </c>
      <c r="B441" t="s">
        <v>17</v>
      </c>
      <c r="C441">
        <v>20516171</v>
      </c>
      <c r="D441" t="s">
        <v>7</v>
      </c>
      <c r="E441" s="2">
        <v>1637240</v>
      </c>
      <c r="F441" s="2">
        <v>1862360</v>
      </c>
      <c r="G441">
        <v>0</v>
      </c>
    </row>
    <row r="442" spans="1:7" x14ac:dyDescent="0.25">
      <c r="A442">
        <v>8489792</v>
      </c>
      <c r="B442" t="s">
        <v>17</v>
      </c>
      <c r="C442">
        <v>20199251</v>
      </c>
      <c r="D442" t="s">
        <v>7</v>
      </c>
      <c r="E442" s="2">
        <v>1650888</v>
      </c>
      <c r="F442" s="2">
        <v>658349</v>
      </c>
      <c r="G442">
        <v>0</v>
      </c>
    </row>
    <row r="443" spans="1:7" x14ac:dyDescent="0.25">
      <c r="A443">
        <v>8088495</v>
      </c>
      <c r="B443" t="s">
        <v>17</v>
      </c>
      <c r="C443">
        <v>25700352</v>
      </c>
      <c r="D443" t="s">
        <v>7</v>
      </c>
      <c r="E443" s="2">
        <v>3343862</v>
      </c>
      <c r="F443" s="2">
        <v>3803643</v>
      </c>
      <c r="G443">
        <v>91</v>
      </c>
    </row>
    <row r="444" spans="1:7" x14ac:dyDescent="0.25">
      <c r="A444">
        <v>8167480</v>
      </c>
      <c r="B444" t="s">
        <v>17</v>
      </c>
      <c r="C444">
        <v>24965165</v>
      </c>
      <c r="D444" t="s">
        <v>7</v>
      </c>
      <c r="E444" s="2">
        <v>1775516</v>
      </c>
      <c r="F444" s="2">
        <v>2019650</v>
      </c>
      <c r="G444">
        <v>0</v>
      </c>
    </row>
    <row r="445" spans="1:7" x14ac:dyDescent="0.25">
      <c r="A445">
        <v>8372113</v>
      </c>
      <c r="B445" t="s">
        <v>16</v>
      </c>
      <c r="C445">
        <v>12527109</v>
      </c>
      <c r="D445" t="s">
        <v>7</v>
      </c>
      <c r="E445" s="2">
        <v>1817801</v>
      </c>
      <c r="F445" s="2">
        <v>2067749</v>
      </c>
      <c r="G445">
        <v>0</v>
      </c>
    </row>
    <row r="446" spans="1:7" x14ac:dyDescent="0.25">
      <c r="A446">
        <v>8373802</v>
      </c>
      <c r="B446" t="s">
        <v>16</v>
      </c>
      <c r="C446">
        <v>15812251</v>
      </c>
      <c r="D446" t="s">
        <v>7</v>
      </c>
      <c r="E446" s="2">
        <v>1827936</v>
      </c>
      <c r="F446" s="2">
        <v>2079277</v>
      </c>
      <c r="G446">
        <v>0</v>
      </c>
    </row>
    <row r="447" spans="1:7" x14ac:dyDescent="0.25">
      <c r="A447">
        <v>8381582</v>
      </c>
      <c r="B447" t="s">
        <v>18</v>
      </c>
      <c r="C447">
        <v>1600919</v>
      </c>
      <c r="D447" t="s">
        <v>7</v>
      </c>
      <c r="E447" s="2">
        <v>1888291</v>
      </c>
      <c r="F447" s="2">
        <v>2142512</v>
      </c>
      <c r="G447">
        <v>0</v>
      </c>
    </row>
    <row r="448" spans="1:7" x14ac:dyDescent="0.25">
      <c r="A448">
        <v>8175087</v>
      </c>
      <c r="B448" t="s">
        <v>18</v>
      </c>
      <c r="C448">
        <v>26656234</v>
      </c>
      <c r="D448" t="s">
        <v>7</v>
      </c>
      <c r="E448" s="2">
        <v>1913979</v>
      </c>
      <c r="F448" s="2">
        <v>2177151</v>
      </c>
      <c r="G448">
        <v>0</v>
      </c>
    </row>
    <row r="449" spans="1:7" x14ac:dyDescent="0.25">
      <c r="A449">
        <v>8175434</v>
      </c>
      <c r="B449" t="s">
        <v>16</v>
      </c>
      <c r="C449">
        <v>23123539</v>
      </c>
      <c r="D449" t="s">
        <v>12</v>
      </c>
      <c r="E449" s="2">
        <v>2547209</v>
      </c>
      <c r="F449" s="2">
        <v>2211719</v>
      </c>
      <c r="G449">
        <v>0</v>
      </c>
    </row>
    <row r="450" spans="1:7" x14ac:dyDescent="0.25">
      <c r="A450">
        <v>8263349</v>
      </c>
      <c r="B450" t="s">
        <v>16</v>
      </c>
      <c r="C450">
        <v>21676178</v>
      </c>
      <c r="D450" t="s">
        <v>7</v>
      </c>
      <c r="E450" s="2">
        <v>1967397</v>
      </c>
      <c r="F450" s="2">
        <v>873000</v>
      </c>
      <c r="G450">
        <v>0</v>
      </c>
    </row>
    <row r="451" spans="1:7" x14ac:dyDescent="0.25">
      <c r="A451">
        <v>8490841</v>
      </c>
      <c r="B451" t="s">
        <v>18</v>
      </c>
      <c r="C451">
        <v>19490815</v>
      </c>
      <c r="D451" t="s">
        <v>7</v>
      </c>
      <c r="E451" s="2">
        <v>1993180</v>
      </c>
      <c r="F451" s="2">
        <v>232809</v>
      </c>
      <c r="G451">
        <v>0</v>
      </c>
    </row>
    <row r="452" spans="1:7" x14ac:dyDescent="0.25">
      <c r="A452">
        <v>8160623</v>
      </c>
      <c r="B452" t="s">
        <v>17</v>
      </c>
      <c r="C452">
        <v>21313010</v>
      </c>
      <c r="D452" t="s">
        <v>9</v>
      </c>
      <c r="E452" s="2">
        <v>2013928</v>
      </c>
      <c r="F452" s="2">
        <v>388958</v>
      </c>
      <c r="G452">
        <v>0</v>
      </c>
    </row>
    <row r="453" spans="1:7" x14ac:dyDescent="0.25">
      <c r="A453">
        <v>8350430</v>
      </c>
      <c r="B453" t="s">
        <v>17</v>
      </c>
      <c r="C453">
        <v>26726954</v>
      </c>
      <c r="D453" t="s">
        <v>7</v>
      </c>
      <c r="E453" s="2">
        <v>2166498</v>
      </c>
      <c r="F453" s="2">
        <v>2464392</v>
      </c>
      <c r="G453">
        <v>0</v>
      </c>
    </row>
    <row r="454" spans="1:7" x14ac:dyDescent="0.25">
      <c r="A454">
        <v>8146356</v>
      </c>
      <c r="B454" t="s">
        <v>16</v>
      </c>
      <c r="C454">
        <v>15560641</v>
      </c>
      <c r="D454" t="s">
        <v>7</v>
      </c>
      <c r="E454" s="2">
        <v>2449970</v>
      </c>
      <c r="F454" s="2">
        <v>210978</v>
      </c>
      <c r="G454">
        <v>0</v>
      </c>
    </row>
    <row r="455" spans="1:7" x14ac:dyDescent="0.25">
      <c r="A455">
        <v>8188778</v>
      </c>
      <c r="B455" t="s">
        <v>17</v>
      </c>
      <c r="C455">
        <v>24358304</v>
      </c>
      <c r="D455" t="s">
        <v>7</v>
      </c>
      <c r="E455" s="2">
        <v>2475904</v>
      </c>
      <c r="F455" s="2">
        <v>971609</v>
      </c>
      <c r="G455">
        <v>0</v>
      </c>
    </row>
    <row r="456" spans="1:7" x14ac:dyDescent="0.25">
      <c r="A456">
        <v>8188922</v>
      </c>
      <c r="B456" t="s">
        <v>16</v>
      </c>
      <c r="C456">
        <v>25276234</v>
      </c>
      <c r="D456" t="s">
        <v>7</v>
      </c>
      <c r="E456" s="2">
        <v>2518942</v>
      </c>
      <c r="F456" s="2">
        <v>1302447</v>
      </c>
      <c r="G456">
        <v>0</v>
      </c>
    </row>
    <row r="457" spans="1:7" x14ac:dyDescent="0.25">
      <c r="A457">
        <v>8159820</v>
      </c>
      <c r="B457" t="s">
        <v>17</v>
      </c>
      <c r="C457">
        <v>24951061</v>
      </c>
      <c r="D457" t="s">
        <v>7</v>
      </c>
      <c r="E457" s="2">
        <v>2528568</v>
      </c>
      <c r="F457" s="2">
        <v>2876246</v>
      </c>
      <c r="G457">
        <v>0</v>
      </c>
    </row>
    <row r="458" spans="1:7" x14ac:dyDescent="0.25">
      <c r="A458">
        <v>8383527</v>
      </c>
      <c r="B458" t="s">
        <v>17</v>
      </c>
      <c r="C458">
        <v>25219269</v>
      </c>
      <c r="D458" t="s">
        <v>7</v>
      </c>
      <c r="E458" s="2">
        <v>2554164</v>
      </c>
      <c r="F458" s="2">
        <v>2905361</v>
      </c>
      <c r="G458">
        <v>0</v>
      </c>
    </row>
    <row r="459" spans="1:7" x14ac:dyDescent="0.25">
      <c r="A459">
        <v>8381475</v>
      </c>
      <c r="B459" t="s">
        <v>16</v>
      </c>
      <c r="C459">
        <v>14190251</v>
      </c>
      <c r="D459" t="s">
        <v>7</v>
      </c>
      <c r="E459" s="2">
        <v>2568813</v>
      </c>
      <c r="F459" s="2">
        <v>979656</v>
      </c>
      <c r="G459">
        <v>0</v>
      </c>
    </row>
    <row r="460" spans="1:7" x14ac:dyDescent="0.25">
      <c r="A460">
        <v>8153448</v>
      </c>
      <c r="B460" t="s">
        <v>17</v>
      </c>
      <c r="C460">
        <v>26125116</v>
      </c>
      <c r="D460" t="s">
        <v>7</v>
      </c>
      <c r="E460" s="2">
        <v>2613139</v>
      </c>
      <c r="F460" s="2">
        <v>969253</v>
      </c>
      <c r="G460">
        <v>0</v>
      </c>
    </row>
    <row r="461" spans="1:7" x14ac:dyDescent="0.25">
      <c r="A461">
        <v>8380574</v>
      </c>
      <c r="B461" t="s">
        <v>16</v>
      </c>
      <c r="C461">
        <v>25284380</v>
      </c>
      <c r="D461" t="s">
        <v>7</v>
      </c>
      <c r="E461" s="2">
        <v>2722827</v>
      </c>
      <c r="F461" s="2">
        <v>3097216</v>
      </c>
      <c r="G461">
        <v>0</v>
      </c>
    </row>
    <row r="462" spans="1:7" x14ac:dyDescent="0.25">
      <c r="A462">
        <v>8175434</v>
      </c>
      <c r="B462" t="s">
        <v>16</v>
      </c>
      <c r="C462">
        <v>21490702</v>
      </c>
      <c r="D462" t="s">
        <v>9</v>
      </c>
      <c r="E462" s="2">
        <v>2905502</v>
      </c>
      <c r="F462" s="2">
        <v>3305009</v>
      </c>
      <c r="G462">
        <v>0</v>
      </c>
    </row>
    <row r="463" spans="1:7" x14ac:dyDescent="0.25">
      <c r="A463">
        <v>8183593</v>
      </c>
      <c r="B463" t="s">
        <v>17</v>
      </c>
      <c r="C463">
        <v>3487181</v>
      </c>
      <c r="D463" t="s">
        <v>7</v>
      </c>
      <c r="E463" s="2">
        <v>2984788</v>
      </c>
      <c r="F463" s="2">
        <v>3395196</v>
      </c>
      <c r="G463">
        <v>0</v>
      </c>
    </row>
    <row r="464" spans="1:7" x14ac:dyDescent="0.25">
      <c r="A464">
        <v>8170777</v>
      </c>
      <c r="B464" t="s">
        <v>17</v>
      </c>
      <c r="C464">
        <v>26247384</v>
      </c>
      <c r="D464" t="s">
        <v>7</v>
      </c>
      <c r="E464" s="2">
        <v>3015004</v>
      </c>
      <c r="F464" s="2">
        <v>719109</v>
      </c>
      <c r="G464">
        <v>0</v>
      </c>
    </row>
    <row r="465" spans="1:7" x14ac:dyDescent="0.25">
      <c r="A465">
        <v>8188922</v>
      </c>
      <c r="B465" t="s">
        <v>16</v>
      </c>
      <c r="C465">
        <v>26207742</v>
      </c>
      <c r="D465" t="s">
        <v>13</v>
      </c>
      <c r="E465" s="2">
        <v>29971225</v>
      </c>
      <c r="F465" s="2">
        <v>3610861</v>
      </c>
      <c r="G465">
        <v>0</v>
      </c>
    </row>
    <row r="466" spans="1:7" x14ac:dyDescent="0.25">
      <c r="A466">
        <v>8172550</v>
      </c>
      <c r="B466" t="s">
        <v>17</v>
      </c>
      <c r="C466">
        <v>25277134</v>
      </c>
      <c r="D466" t="s">
        <v>7</v>
      </c>
      <c r="E466" s="2">
        <v>3208205</v>
      </c>
      <c r="F466" s="2">
        <v>484498</v>
      </c>
      <c r="G466">
        <v>0</v>
      </c>
    </row>
    <row r="467" spans="1:7" x14ac:dyDescent="0.25">
      <c r="A467">
        <v>8120773</v>
      </c>
      <c r="B467" t="s">
        <v>17</v>
      </c>
      <c r="C467">
        <v>16069377</v>
      </c>
      <c r="D467" t="s">
        <v>7</v>
      </c>
      <c r="E467" s="2">
        <v>3334300</v>
      </c>
      <c r="F467" s="2">
        <v>933729</v>
      </c>
      <c r="G467">
        <v>0</v>
      </c>
    </row>
    <row r="468" spans="1:7" x14ac:dyDescent="0.25">
      <c r="A468">
        <v>8175434</v>
      </c>
      <c r="B468" t="s">
        <v>16</v>
      </c>
      <c r="C468">
        <v>23827455</v>
      </c>
      <c r="D468" t="s">
        <v>7</v>
      </c>
      <c r="E468" s="2">
        <v>3574285</v>
      </c>
      <c r="F468" s="2">
        <v>4065749</v>
      </c>
      <c r="G468">
        <v>0</v>
      </c>
    </row>
    <row r="469" spans="1:7" x14ac:dyDescent="0.25">
      <c r="A469">
        <v>8169305</v>
      </c>
      <c r="B469" t="s">
        <v>17</v>
      </c>
      <c r="C469">
        <v>23981315</v>
      </c>
      <c r="D469" t="s">
        <v>7</v>
      </c>
      <c r="E469" s="2">
        <v>3600723</v>
      </c>
      <c r="F469" s="2">
        <v>1735554</v>
      </c>
      <c r="G469">
        <v>0</v>
      </c>
    </row>
    <row r="470" spans="1:7" x14ac:dyDescent="0.25">
      <c r="A470">
        <v>8550436</v>
      </c>
      <c r="B470" t="s">
        <v>17</v>
      </c>
      <c r="C470">
        <v>25270150</v>
      </c>
      <c r="D470" t="s">
        <v>7</v>
      </c>
      <c r="E470" s="2">
        <v>3893021</v>
      </c>
      <c r="F470" s="2">
        <v>378750</v>
      </c>
      <c r="G470">
        <v>0</v>
      </c>
    </row>
    <row r="471" spans="1:7" x14ac:dyDescent="0.25">
      <c r="A471">
        <v>8489786</v>
      </c>
      <c r="B471" t="s">
        <v>17</v>
      </c>
      <c r="C471">
        <v>26575860</v>
      </c>
      <c r="D471" t="s">
        <v>7</v>
      </c>
      <c r="E471" s="2">
        <v>3990701</v>
      </c>
      <c r="F471" s="2">
        <v>30632</v>
      </c>
      <c r="G471">
        <v>0</v>
      </c>
    </row>
    <row r="472" spans="1:7" x14ac:dyDescent="0.25">
      <c r="A472">
        <v>8251019</v>
      </c>
      <c r="B472" t="s">
        <v>17</v>
      </c>
      <c r="C472">
        <v>25290944</v>
      </c>
      <c r="D472" t="s">
        <v>7</v>
      </c>
      <c r="E472" s="2">
        <v>4111634</v>
      </c>
      <c r="F472" s="2">
        <v>4676984</v>
      </c>
      <c r="G472">
        <v>0</v>
      </c>
    </row>
    <row r="473" spans="1:7" x14ac:dyDescent="0.25">
      <c r="A473">
        <v>8485525</v>
      </c>
      <c r="B473" t="s">
        <v>16</v>
      </c>
      <c r="C473">
        <v>2407079</v>
      </c>
      <c r="D473" t="s">
        <v>10</v>
      </c>
      <c r="E473" s="2">
        <v>4188985</v>
      </c>
      <c r="F473" s="2">
        <v>4764971</v>
      </c>
      <c r="G473">
        <v>0</v>
      </c>
    </row>
    <row r="474" spans="1:7" x14ac:dyDescent="0.25">
      <c r="A474">
        <v>8261115</v>
      </c>
      <c r="B474" t="s">
        <v>17</v>
      </c>
      <c r="C474">
        <v>21710750</v>
      </c>
      <c r="D474" t="s">
        <v>7</v>
      </c>
      <c r="E474" s="2">
        <v>4191075</v>
      </c>
      <c r="F474" s="2">
        <v>4767348</v>
      </c>
      <c r="G474">
        <v>0</v>
      </c>
    </row>
    <row r="475" spans="1:7" x14ac:dyDescent="0.25">
      <c r="A475">
        <v>8554529</v>
      </c>
      <c r="B475" t="s">
        <v>18</v>
      </c>
      <c r="C475">
        <v>27523507</v>
      </c>
      <c r="D475" t="s">
        <v>7</v>
      </c>
      <c r="E475" s="2">
        <v>4619819</v>
      </c>
      <c r="F475" s="2">
        <v>507792</v>
      </c>
      <c r="G475">
        <v>0</v>
      </c>
    </row>
    <row r="476" spans="1:7" x14ac:dyDescent="0.25">
      <c r="A476">
        <v>8520309</v>
      </c>
      <c r="B476" t="s">
        <v>17</v>
      </c>
      <c r="C476">
        <v>27065353</v>
      </c>
      <c r="D476" t="s">
        <v>7</v>
      </c>
      <c r="E476" s="2">
        <v>4665519</v>
      </c>
      <c r="F476" s="2">
        <v>5307028</v>
      </c>
      <c r="G476">
        <v>0</v>
      </c>
    </row>
    <row r="477" spans="1:7" x14ac:dyDescent="0.25">
      <c r="A477">
        <v>8381346</v>
      </c>
      <c r="B477" t="s">
        <v>17</v>
      </c>
      <c r="C477">
        <v>26705594</v>
      </c>
      <c r="D477" t="s">
        <v>7</v>
      </c>
      <c r="E477" s="2">
        <v>4791122</v>
      </c>
      <c r="F477" s="2">
        <v>5449901</v>
      </c>
      <c r="G477">
        <v>0</v>
      </c>
    </row>
    <row r="478" spans="1:7" x14ac:dyDescent="0.25">
      <c r="A478">
        <v>8466023</v>
      </c>
      <c r="B478" t="s">
        <v>16</v>
      </c>
      <c r="C478">
        <v>23657673</v>
      </c>
      <c r="D478" t="s">
        <v>7</v>
      </c>
      <c r="E478" s="2">
        <v>4951083</v>
      </c>
      <c r="F478" s="2">
        <v>683391</v>
      </c>
      <c r="G478">
        <v>0</v>
      </c>
    </row>
    <row r="479" spans="1:7" x14ac:dyDescent="0.25">
      <c r="A479">
        <v>8088495</v>
      </c>
      <c r="B479" t="s">
        <v>17</v>
      </c>
      <c r="C479">
        <v>21175250</v>
      </c>
      <c r="D479" t="s">
        <v>7</v>
      </c>
      <c r="E479" s="2">
        <v>5401348</v>
      </c>
      <c r="F479" s="2">
        <v>6144033</v>
      </c>
      <c r="G479">
        <v>0</v>
      </c>
    </row>
    <row r="480" spans="1:7" x14ac:dyDescent="0.25">
      <c r="A480">
        <v>8553189</v>
      </c>
      <c r="B480" t="s">
        <v>17</v>
      </c>
      <c r="C480">
        <v>15321950</v>
      </c>
      <c r="D480" t="s">
        <v>7</v>
      </c>
      <c r="E480" s="2">
        <v>5490709</v>
      </c>
      <c r="F480" s="2">
        <v>697031</v>
      </c>
      <c r="G480">
        <v>0</v>
      </c>
    </row>
    <row r="481" spans="1:7" x14ac:dyDescent="0.25">
      <c r="A481">
        <v>8485525</v>
      </c>
      <c r="B481" t="s">
        <v>16</v>
      </c>
      <c r="C481">
        <v>24947872</v>
      </c>
      <c r="D481" t="s">
        <v>9</v>
      </c>
      <c r="E481" s="2">
        <v>18048138</v>
      </c>
      <c r="F481" s="2">
        <v>6531104</v>
      </c>
      <c r="G481">
        <v>0</v>
      </c>
    </row>
    <row r="482" spans="1:7" x14ac:dyDescent="0.25">
      <c r="A482">
        <v>8376794</v>
      </c>
      <c r="B482" t="s">
        <v>16</v>
      </c>
      <c r="C482">
        <v>23391228</v>
      </c>
      <c r="D482" t="s">
        <v>7</v>
      </c>
      <c r="E482" s="2">
        <v>5950635</v>
      </c>
      <c r="F482" s="2">
        <v>6768847</v>
      </c>
      <c r="G482">
        <v>0</v>
      </c>
    </row>
    <row r="483" spans="1:7" x14ac:dyDescent="0.25">
      <c r="A483">
        <v>8485525</v>
      </c>
      <c r="B483" t="s">
        <v>16</v>
      </c>
      <c r="C483">
        <v>26547564</v>
      </c>
      <c r="D483" t="s">
        <v>9</v>
      </c>
      <c r="E483" s="2">
        <v>14881242</v>
      </c>
      <c r="F483" s="2">
        <v>16927413</v>
      </c>
      <c r="G483">
        <v>61</v>
      </c>
    </row>
    <row r="484" spans="1:7" x14ac:dyDescent="0.25">
      <c r="A484">
        <v>8290119</v>
      </c>
      <c r="B484" t="s">
        <v>16</v>
      </c>
      <c r="C484">
        <v>27817138</v>
      </c>
      <c r="D484" t="s">
        <v>9</v>
      </c>
      <c r="E484" s="2">
        <v>8094061</v>
      </c>
      <c r="F484" s="2">
        <v>1084524</v>
      </c>
      <c r="G484">
        <v>0</v>
      </c>
    </row>
    <row r="485" spans="1:7" x14ac:dyDescent="0.25">
      <c r="A485">
        <v>8293546</v>
      </c>
      <c r="B485" t="s">
        <v>16</v>
      </c>
      <c r="C485">
        <v>26029145</v>
      </c>
      <c r="D485" t="s">
        <v>9</v>
      </c>
      <c r="E485" s="2">
        <v>11313842</v>
      </c>
      <c r="F485" s="2">
        <v>39987</v>
      </c>
      <c r="G485">
        <v>0</v>
      </c>
    </row>
    <row r="486" spans="1:7" x14ac:dyDescent="0.25">
      <c r="A486">
        <v>8120848</v>
      </c>
      <c r="B486" t="s">
        <v>16</v>
      </c>
      <c r="C486">
        <v>27351285</v>
      </c>
      <c r="D486" t="s">
        <v>8</v>
      </c>
      <c r="E486" s="2">
        <v>73106343</v>
      </c>
      <c r="F486" s="2">
        <v>2577610</v>
      </c>
      <c r="G486">
        <v>0</v>
      </c>
    </row>
    <row r="487" spans="1:7" x14ac:dyDescent="0.25">
      <c r="A487">
        <v>8085392</v>
      </c>
      <c r="B487" t="s">
        <v>18</v>
      </c>
      <c r="C487">
        <v>27892052</v>
      </c>
      <c r="D487" t="s">
        <v>7</v>
      </c>
      <c r="E487" s="2">
        <v>1604821</v>
      </c>
      <c r="F487" s="2">
        <v>28374</v>
      </c>
      <c r="G487">
        <v>61</v>
      </c>
    </row>
    <row r="488" spans="1:7" x14ac:dyDescent="0.25">
      <c r="A488">
        <v>8085706</v>
      </c>
      <c r="B488" t="s">
        <v>18</v>
      </c>
      <c r="C488">
        <v>25794246</v>
      </c>
      <c r="D488" t="s">
        <v>7</v>
      </c>
      <c r="E488" s="2">
        <v>1174656</v>
      </c>
      <c r="F488" s="2">
        <v>48365</v>
      </c>
      <c r="G488">
        <v>61</v>
      </c>
    </row>
    <row r="489" spans="1:7" x14ac:dyDescent="0.25">
      <c r="A489">
        <v>8089371</v>
      </c>
      <c r="B489" t="s">
        <v>17</v>
      </c>
      <c r="C489">
        <v>21887785</v>
      </c>
      <c r="D489" t="s">
        <v>7</v>
      </c>
      <c r="E489" s="2">
        <v>1376330</v>
      </c>
      <c r="F489" s="2">
        <v>183019</v>
      </c>
      <c r="G489">
        <v>61</v>
      </c>
    </row>
    <row r="490" spans="1:7" x14ac:dyDescent="0.25">
      <c r="A490">
        <v>8089696</v>
      </c>
      <c r="B490" t="s">
        <v>17</v>
      </c>
      <c r="C490">
        <v>16084748</v>
      </c>
      <c r="D490" t="s">
        <v>7</v>
      </c>
      <c r="E490" s="2">
        <v>1116680</v>
      </c>
      <c r="F490" s="2">
        <v>108134</v>
      </c>
      <c r="G490">
        <v>61</v>
      </c>
    </row>
    <row r="491" spans="1:7" x14ac:dyDescent="0.25">
      <c r="A491">
        <v>8089696</v>
      </c>
      <c r="B491" t="s">
        <v>17</v>
      </c>
      <c r="C491">
        <v>20145473</v>
      </c>
      <c r="D491" t="s">
        <v>7</v>
      </c>
      <c r="E491" s="2">
        <v>1860164</v>
      </c>
      <c r="F491" s="2">
        <v>68545</v>
      </c>
      <c r="G491">
        <v>61</v>
      </c>
    </row>
    <row r="492" spans="1:7" x14ac:dyDescent="0.25">
      <c r="A492">
        <v>8089801</v>
      </c>
      <c r="B492" t="s">
        <v>17</v>
      </c>
      <c r="C492">
        <v>26958913</v>
      </c>
      <c r="D492" t="s">
        <v>7</v>
      </c>
      <c r="E492" s="2">
        <v>1696912</v>
      </c>
      <c r="F492" s="2">
        <v>324883</v>
      </c>
      <c r="G492">
        <v>121</v>
      </c>
    </row>
    <row r="493" spans="1:7" x14ac:dyDescent="0.25">
      <c r="A493">
        <v>8090100</v>
      </c>
      <c r="B493" t="s">
        <v>18</v>
      </c>
      <c r="C493">
        <v>25579254</v>
      </c>
      <c r="D493" t="s">
        <v>7</v>
      </c>
      <c r="E493" s="2">
        <v>950568</v>
      </c>
      <c r="F493" s="2">
        <v>1081271</v>
      </c>
      <c r="G493">
        <v>211</v>
      </c>
    </row>
    <row r="494" spans="1:7" x14ac:dyDescent="0.25">
      <c r="A494">
        <v>8090327</v>
      </c>
      <c r="B494" t="s">
        <v>18</v>
      </c>
      <c r="C494">
        <v>24060799</v>
      </c>
      <c r="D494" t="s">
        <v>7</v>
      </c>
      <c r="E494" s="2">
        <v>638379</v>
      </c>
      <c r="F494" s="2">
        <v>241174</v>
      </c>
      <c r="G494">
        <v>91</v>
      </c>
    </row>
    <row r="495" spans="1:7" x14ac:dyDescent="0.25">
      <c r="A495">
        <v>8090807</v>
      </c>
      <c r="B495" t="s">
        <v>18</v>
      </c>
      <c r="C495">
        <v>24076434</v>
      </c>
      <c r="D495" t="s">
        <v>7</v>
      </c>
      <c r="E495" s="2">
        <v>557815</v>
      </c>
      <c r="F495" s="2">
        <v>105924</v>
      </c>
      <c r="G495">
        <v>61</v>
      </c>
    </row>
    <row r="496" spans="1:7" x14ac:dyDescent="0.25">
      <c r="A496">
        <v>8091415</v>
      </c>
      <c r="B496" t="s">
        <v>18</v>
      </c>
      <c r="C496">
        <v>26388699</v>
      </c>
      <c r="D496" t="s">
        <v>7</v>
      </c>
      <c r="E496" s="2">
        <v>941033</v>
      </c>
      <c r="F496" s="2">
        <v>119184</v>
      </c>
      <c r="G496">
        <v>91</v>
      </c>
    </row>
    <row r="497" spans="1:7" x14ac:dyDescent="0.25">
      <c r="A497">
        <v>8091415</v>
      </c>
      <c r="B497" t="s">
        <v>18</v>
      </c>
      <c r="C497">
        <v>28543492</v>
      </c>
      <c r="D497" t="s">
        <v>7</v>
      </c>
      <c r="E497" s="2">
        <v>783611</v>
      </c>
      <c r="F497" s="2">
        <v>51253</v>
      </c>
      <c r="G497">
        <v>61</v>
      </c>
    </row>
    <row r="498" spans="1:7" x14ac:dyDescent="0.25">
      <c r="A498">
        <v>8091720</v>
      </c>
      <c r="B498" t="s">
        <v>16</v>
      </c>
      <c r="C498">
        <v>25710171</v>
      </c>
      <c r="D498" t="s">
        <v>7</v>
      </c>
      <c r="E498" s="2">
        <v>3576456</v>
      </c>
      <c r="F498" s="2">
        <v>551735</v>
      </c>
      <c r="G498">
        <v>61</v>
      </c>
    </row>
    <row r="499" spans="1:7" x14ac:dyDescent="0.25">
      <c r="A499">
        <v>8120004</v>
      </c>
      <c r="B499" t="s">
        <v>18</v>
      </c>
      <c r="C499">
        <v>27770039</v>
      </c>
      <c r="D499" t="s">
        <v>7</v>
      </c>
      <c r="E499" s="2">
        <v>284676</v>
      </c>
      <c r="F499" s="2">
        <v>68141</v>
      </c>
      <c r="G499">
        <v>61</v>
      </c>
    </row>
    <row r="500" spans="1:7" x14ac:dyDescent="0.25">
      <c r="A500">
        <v>8120077</v>
      </c>
      <c r="B500" t="s">
        <v>18</v>
      </c>
      <c r="C500">
        <v>23102782</v>
      </c>
      <c r="D500" t="s">
        <v>7</v>
      </c>
      <c r="E500" s="2">
        <v>1947266</v>
      </c>
      <c r="F500" s="2">
        <v>2215015</v>
      </c>
      <c r="G500">
        <v>181</v>
      </c>
    </row>
    <row r="501" spans="1:7" x14ac:dyDescent="0.25">
      <c r="A501">
        <v>8120123</v>
      </c>
      <c r="B501" t="s">
        <v>18</v>
      </c>
      <c r="C501">
        <v>24060274</v>
      </c>
      <c r="D501" t="s">
        <v>7</v>
      </c>
      <c r="E501" s="2">
        <v>282021</v>
      </c>
      <c r="F501" s="2">
        <v>116536</v>
      </c>
      <c r="G501">
        <v>61</v>
      </c>
    </row>
    <row r="502" spans="1:7" x14ac:dyDescent="0.25">
      <c r="A502">
        <v>8120123</v>
      </c>
      <c r="B502" t="s">
        <v>18</v>
      </c>
      <c r="C502">
        <v>24378668</v>
      </c>
      <c r="D502" t="s">
        <v>7</v>
      </c>
      <c r="E502" s="2">
        <v>1290205</v>
      </c>
      <c r="F502" s="2">
        <v>197364</v>
      </c>
      <c r="G502">
        <v>61</v>
      </c>
    </row>
    <row r="503" spans="1:7" x14ac:dyDescent="0.25">
      <c r="A503">
        <v>8120280</v>
      </c>
      <c r="B503" t="s">
        <v>17</v>
      </c>
      <c r="C503">
        <v>17490411</v>
      </c>
      <c r="D503" t="s">
        <v>7</v>
      </c>
      <c r="E503" s="2">
        <v>4993807</v>
      </c>
      <c r="F503" s="2">
        <v>813887</v>
      </c>
      <c r="G503">
        <v>61</v>
      </c>
    </row>
    <row r="504" spans="1:7" x14ac:dyDescent="0.25">
      <c r="A504">
        <v>8120338</v>
      </c>
      <c r="B504" t="s">
        <v>16</v>
      </c>
      <c r="C504">
        <v>25641175</v>
      </c>
      <c r="D504" t="s">
        <v>8</v>
      </c>
      <c r="E504" s="2">
        <v>97818403</v>
      </c>
      <c r="F504" s="2">
        <v>1264807</v>
      </c>
      <c r="G504">
        <v>47</v>
      </c>
    </row>
    <row r="505" spans="1:7" x14ac:dyDescent="0.25">
      <c r="A505">
        <v>8120351</v>
      </c>
      <c r="B505" t="s">
        <v>17</v>
      </c>
      <c r="C505">
        <v>25400500</v>
      </c>
      <c r="D505" t="s">
        <v>7</v>
      </c>
      <c r="E505" s="2">
        <v>1176433</v>
      </c>
      <c r="F505" s="2">
        <v>16578</v>
      </c>
      <c r="G505">
        <v>61</v>
      </c>
    </row>
    <row r="506" spans="1:7" x14ac:dyDescent="0.25">
      <c r="A506">
        <v>8120351</v>
      </c>
      <c r="B506" t="s">
        <v>17</v>
      </c>
      <c r="C506">
        <v>25402114</v>
      </c>
      <c r="D506" t="s">
        <v>7</v>
      </c>
      <c r="E506" s="2">
        <v>1354287</v>
      </c>
      <c r="F506" s="2">
        <v>130255</v>
      </c>
      <c r="G506">
        <v>61</v>
      </c>
    </row>
    <row r="507" spans="1:7" x14ac:dyDescent="0.25">
      <c r="A507">
        <v>8120567</v>
      </c>
      <c r="B507" t="s">
        <v>18</v>
      </c>
      <c r="C507">
        <v>21872767</v>
      </c>
      <c r="D507" t="s">
        <v>7</v>
      </c>
      <c r="E507" s="2">
        <v>2318821</v>
      </c>
      <c r="F507" s="2">
        <v>351945</v>
      </c>
      <c r="G507">
        <v>61</v>
      </c>
    </row>
    <row r="508" spans="1:7" x14ac:dyDescent="0.25">
      <c r="A508">
        <v>8120615</v>
      </c>
      <c r="B508" t="s">
        <v>18</v>
      </c>
      <c r="C508">
        <v>20326533</v>
      </c>
      <c r="D508" t="s">
        <v>7</v>
      </c>
      <c r="E508" s="2">
        <v>972513</v>
      </c>
      <c r="F508" s="2">
        <v>1106234</v>
      </c>
      <c r="G508">
        <v>391</v>
      </c>
    </row>
    <row r="509" spans="1:7" x14ac:dyDescent="0.25">
      <c r="A509">
        <v>8121247</v>
      </c>
      <c r="B509" t="s">
        <v>17</v>
      </c>
      <c r="C509">
        <v>1689560</v>
      </c>
      <c r="D509" t="s">
        <v>7</v>
      </c>
      <c r="E509" s="2">
        <v>1327846</v>
      </c>
      <c r="F509" s="2">
        <v>254769</v>
      </c>
      <c r="G509">
        <v>61</v>
      </c>
    </row>
    <row r="510" spans="1:7" x14ac:dyDescent="0.25">
      <c r="A510">
        <v>8121247</v>
      </c>
      <c r="B510" t="s">
        <v>17</v>
      </c>
      <c r="C510">
        <v>28582863</v>
      </c>
      <c r="D510" t="s">
        <v>7</v>
      </c>
      <c r="E510" s="2">
        <v>1291041</v>
      </c>
      <c r="F510" s="2">
        <v>205836</v>
      </c>
      <c r="G510">
        <v>61</v>
      </c>
    </row>
    <row r="511" spans="1:7" x14ac:dyDescent="0.25">
      <c r="A511">
        <v>8121396</v>
      </c>
      <c r="B511" t="s">
        <v>18</v>
      </c>
      <c r="C511">
        <v>25634049</v>
      </c>
      <c r="D511" t="s">
        <v>7</v>
      </c>
      <c r="E511" s="2">
        <v>172923</v>
      </c>
      <c r="F511" s="2">
        <v>8950</v>
      </c>
      <c r="G511">
        <v>61</v>
      </c>
    </row>
    <row r="512" spans="1:7" x14ac:dyDescent="0.25">
      <c r="A512">
        <v>8122438</v>
      </c>
      <c r="B512" t="s">
        <v>16</v>
      </c>
      <c r="C512">
        <v>27451551</v>
      </c>
      <c r="D512" t="s">
        <v>7</v>
      </c>
      <c r="E512" s="2">
        <v>2215087</v>
      </c>
      <c r="F512" s="2">
        <v>321860</v>
      </c>
      <c r="G512">
        <v>61</v>
      </c>
    </row>
    <row r="513" spans="1:7" x14ac:dyDescent="0.25">
      <c r="A513">
        <v>8122952</v>
      </c>
      <c r="B513" t="s">
        <v>16</v>
      </c>
      <c r="C513">
        <v>27362528</v>
      </c>
      <c r="D513" t="s">
        <v>9</v>
      </c>
      <c r="E513" s="2">
        <v>4779543</v>
      </c>
      <c r="F513" s="2">
        <v>498016</v>
      </c>
      <c r="G513">
        <v>114</v>
      </c>
    </row>
    <row r="514" spans="1:7" x14ac:dyDescent="0.25">
      <c r="A514">
        <v>8123013</v>
      </c>
      <c r="B514" t="s">
        <v>18</v>
      </c>
      <c r="C514">
        <v>27748497</v>
      </c>
      <c r="D514" t="s">
        <v>7</v>
      </c>
      <c r="E514" s="2">
        <v>509553</v>
      </c>
      <c r="F514" s="2">
        <v>24259</v>
      </c>
      <c r="G514">
        <v>61</v>
      </c>
    </row>
    <row r="515" spans="1:7" x14ac:dyDescent="0.25">
      <c r="A515">
        <v>8140803</v>
      </c>
      <c r="B515" t="s">
        <v>18</v>
      </c>
      <c r="C515">
        <v>16471105</v>
      </c>
      <c r="D515" t="s">
        <v>7</v>
      </c>
      <c r="E515" s="2">
        <v>1563959</v>
      </c>
      <c r="F515" s="2">
        <v>253535</v>
      </c>
      <c r="G515">
        <v>61</v>
      </c>
    </row>
    <row r="516" spans="1:7" x14ac:dyDescent="0.25">
      <c r="A516">
        <v>8140967</v>
      </c>
      <c r="B516" t="s">
        <v>17</v>
      </c>
      <c r="C516">
        <v>1261260</v>
      </c>
      <c r="D516" t="s">
        <v>7</v>
      </c>
      <c r="E516" s="2">
        <v>1283208</v>
      </c>
      <c r="F516" s="2">
        <v>39390</v>
      </c>
      <c r="G516">
        <v>61</v>
      </c>
    </row>
    <row r="517" spans="1:7" x14ac:dyDescent="0.25">
      <c r="A517">
        <v>8140967</v>
      </c>
      <c r="B517" t="s">
        <v>17</v>
      </c>
      <c r="C517">
        <v>1261261</v>
      </c>
      <c r="D517" t="s">
        <v>7</v>
      </c>
      <c r="E517" s="2">
        <v>1270823</v>
      </c>
      <c r="F517" s="2">
        <v>36913</v>
      </c>
      <c r="G517">
        <v>61</v>
      </c>
    </row>
    <row r="518" spans="1:7" x14ac:dyDescent="0.25">
      <c r="A518">
        <v>8141368</v>
      </c>
      <c r="B518" t="s">
        <v>18</v>
      </c>
      <c r="C518">
        <v>21108707</v>
      </c>
      <c r="D518" t="s">
        <v>7</v>
      </c>
      <c r="E518" s="2">
        <v>380433</v>
      </c>
      <c r="F518" s="2">
        <v>432742</v>
      </c>
      <c r="G518">
        <v>211</v>
      </c>
    </row>
    <row r="519" spans="1:7" x14ac:dyDescent="0.25">
      <c r="A519">
        <v>8142131</v>
      </c>
      <c r="B519" t="s">
        <v>18</v>
      </c>
      <c r="C519">
        <v>23230686</v>
      </c>
      <c r="D519" t="s">
        <v>7</v>
      </c>
      <c r="E519" s="2">
        <v>1519102</v>
      </c>
      <c r="F519" s="2">
        <v>289619</v>
      </c>
      <c r="G519">
        <v>61</v>
      </c>
    </row>
    <row r="520" spans="1:7" x14ac:dyDescent="0.25">
      <c r="A520">
        <v>8142840</v>
      </c>
      <c r="B520" t="s">
        <v>18</v>
      </c>
      <c r="C520">
        <v>28584067</v>
      </c>
      <c r="D520" t="s">
        <v>7</v>
      </c>
      <c r="E520" s="2">
        <v>2495094</v>
      </c>
      <c r="F520" s="2">
        <v>387037</v>
      </c>
      <c r="G520">
        <v>61</v>
      </c>
    </row>
    <row r="521" spans="1:7" x14ac:dyDescent="0.25">
      <c r="A521">
        <v>8143445</v>
      </c>
      <c r="B521" t="s">
        <v>18</v>
      </c>
      <c r="C521">
        <v>27500623</v>
      </c>
      <c r="D521" t="s">
        <v>7</v>
      </c>
      <c r="E521" s="2">
        <v>513888</v>
      </c>
      <c r="F521" s="2">
        <v>62095</v>
      </c>
      <c r="G521">
        <v>61</v>
      </c>
    </row>
    <row r="522" spans="1:7" x14ac:dyDescent="0.25">
      <c r="A522">
        <v>8143616</v>
      </c>
      <c r="B522" t="s">
        <v>18</v>
      </c>
      <c r="C522">
        <v>28579108</v>
      </c>
      <c r="D522" t="s">
        <v>7</v>
      </c>
      <c r="E522" s="2">
        <v>628188</v>
      </c>
      <c r="F522" s="2">
        <v>58271</v>
      </c>
      <c r="G522">
        <v>61</v>
      </c>
    </row>
    <row r="523" spans="1:7" x14ac:dyDescent="0.25">
      <c r="A523">
        <v>8143620</v>
      </c>
      <c r="B523" t="s">
        <v>18</v>
      </c>
      <c r="C523">
        <v>26382097</v>
      </c>
      <c r="D523" t="s">
        <v>7</v>
      </c>
      <c r="E523" s="2">
        <v>3184702</v>
      </c>
      <c r="F523" s="2">
        <v>344400</v>
      </c>
      <c r="G523">
        <v>61</v>
      </c>
    </row>
    <row r="524" spans="1:7" x14ac:dyDescent="0.25">
      <c r="A524">
        <v>8144093</v>
      </c>
      <c r="B524" t="s">
        <v>16</v>
      </c>
      <c r="C524">
        <v>24256962</v>
      </c>
      <c r="D524" t="s">
        <v>7</v>
      </c>
      <c r="E524" s="2">
        <v>2301087</v>
      </c>
      <c r="F524" s="2">
        <v>783085</v>
      </c>
      <c r="G524">
        <v>121</v>
      </c>
    </row>
    <row r="525" spans="1:7" x14ac:dyDescent="0.25">
      <c r="A525">
        <v>8144093</v>
      </c>
      <c r="B525" t="s">
        <v>16</v>
      </c>
      <c r="C525">
        <v>24257547</v>
      </c>
      <c r="D525" t="s">
        <v>7</v>
      </c>
      <c r="E525" s="2">
        <v>2454069</v>
      </c>
      <c r="F525" s="2">
        <v>584222</v>
      </c>
      <c r="G525">
        <v>121</v>
      </c>
    </row>
    <row r="526" spans="1:7" x14ac:dyDescent="0.25">
      <c r="A526">
        <v>8144982</v>
      </c>
      <c r="B526" t="s">
        <v>17</v>
      </c>
      <c r="C526">
        <v>26085369</v>
      </c>
      <c r="D526" t="s">
        <v>7</v>
      </c>
      <c r="E526" s="2">
        <v>3637607</v>
      </c>
      <c r="F526" s="2">
        <v>150503</v>
      </c>
      <c r="G526">
        <v>61</v>
      </c>
    </row>
    <row r="527" spans="1:7" x14ac:dyDescent="0.25">
      <c r="A527">
        <v>8145600</v>
      </c>
      <c r="B527" t="s">
        <v>18</v>
      </c>
      <c r="C527">
        <v>21147053</v>
      </c>
      <c r="D527" t="s">
        <v>7</v>
      </c>
      <c r="E527" s="2">
        <v>854062</v>
      </c>
      <c r="F527" s="2">
        <v>788769</v>
      </c>
      <c r="G527">
        <v>61</v>
      </c>
    </row>
    <row r="528" spans="1:7" x14ac:dyDescent="0.25">
      <c r="A528">
        <v>8145696</v>
      </c>
      <c r="B528" t="s">
        <v>17</v>
      </c>
      <c r="C528">
        <v>1487545</v>
      </c>
      <c r="D528" t="s">
        <v>7</v>
      </c>
      <c r="E528" s="2">
        <v>2925797</v>
      </c>
      <c r="F528" s="2">
        <v>108367</v>
      </c>
      <c r="G528">
        <v>61</v>
      </c>
    </row>
    <row r="529" spans="1:7" x14ac:dyDescent="0.25">
      <c r="A529">
        <v>8146040</v>
      </c>
      <c r="B529" t="s">
        <v>18</v>
      </c>
      <c r="C529">
        <v>27997103</v>
      </c>
      <c r="D529" t="s">
        <v>7</v>
      </c>
      <c r="E529" s="2">
        <v>1490142</v>
      </c>
      <c r="F529" s="2">
        <v>91245</v>
      </c>
      <c r="G529">
        <v>61</v>
      </c>
    </row>
    <row r="530" spans="1:7" x14ac:dyDescent="0.25">
      <c r="A530">
        <v>8146127</v>
      </c>
      <c r="B530" t="s">
        <v>17</v>
      </c>
      <c r="C530">
        <v>20815640</v>
      </c>
      <c r="D530" t="s">
        <v>7</v>
      </c>
      <c r="E530" s="2">
        <v>2858776</v>
      </c>
      <c r="F530" s="2">
        <v>296607</v>
      </c>
      <c r="G530">
        <v>61</v>
      </c>
    </row>
    <row r="531" spans="1:7" x14ac:dyDescent="0.25">
      <c r="A531">
        <v>8146294</v>
      </c>
      <c r="B531" t="s">
        <v>18</v>
      </c>
      <c r="C531">
        <v>26813743</v>
      </c>
      <c r="D531" t="s">
        <v>7</v>
      </c>
      <c r="E531" s="2">
        <v>1003160</v>
      </c>
      <c r="F531" s="2">
        <v>1141094</v>
      </c>
      <c r="G531">
        <v>151</v>
      </c>
    </row>
    <row r="532" spans="1:7" x14ac:dyDescent="0.25">
      <c r="A532">
        <v>8146680</v>
      </c>
      <c r="B532" t="s">
        <v>18</v>
      </c>
      <c r="C532">
        <v>10589807</v>
      </c>
      <c r="D532" t="s">
        <v>7</v>
      </c>
      <c r="E532" s="2">
        <v>583618</v>
      </c>
      <c r="F532" s="2">
        <v>7806</v>
      </c>
      <c r="G532">
        <v>61</v>
      </c>
    </row>
    <row r="533" spans="1:7" x14ac:dyDescent="0.25">
      <c r="A533">
        <v>8147134</v>
      </c>
      <c r="B533" t="s">
        <v>18</v>
      </c>
      <c r="C533">
        <v>27154443</v>
      </c>
      <c r="D533" t="s">
        <v>7</v>
      </c>
      <c r="E533" s="2">
        <v>1299397</v>
      </c>
      <c r="F533" s="2">
        <v>54829</v>
      </c>
      <c r="G533">
        <v>61</v>
      </c>
    </row>
    <row r="534" spans="1:7" x14ac:dyDescent="0.25">
      <c r="A534">
        <v>8147204</v>
      </c>
      <c r="B534" t="s">
        <v>17</v>
      </c>
      <c r="C534">
        <v>27138725</v>
      </c>
      <c r="D534" t="s">
        <v>7</v>
      </c>
      <c r="E534" s="2">
        <v>4472702</v>
      </c>
      <c r="F534" s="2">
        <v>143366</v>
      </c>
      <c r="G534">
        <v>61</v>
      </c>
    </row>
    <row r="535" spans="1:7" x14ac:dyDescent="0.25">
      <c r="A535">
        <v>8148804</v>
      </c>
      <c r="B535" t="s">
        <v>18</v>
      </c>
      <c r="C535">
        <v>24807483</v>
      </c>
      <c r="D535" t="s">
        <v>7</v>
      </c>
      <c r="E535" s="2">
        <v>923873</v>
      </c>
      <c r="F535" s="2">
        <v>79570</v>
      </c>
      <c r="G535">
        <v>61</v>
      </c>
    </row>
    <row r="536" spans="1:7" x14ac:dyDescent="0.25">
      <c r="A536">
        <v>8149563</v>
      </c>
      <c r="B536" t="s">
        <v>18</v>
      </c>
      <c r="C536">
        <v>22789135</v>
      </c>
      <c r="D536" t="s">
        <v>7</v>
      </c>
      <c r="E536" s="2">
        <v>814356</v>
      </c>
      <c r="F536" s="2">
        <v>3902</v>
      </c>
      <c r="G536">
        <v>61</v>
      </c>
    </row>
    <row r="537" spans="1:7" x14ac:dyDescent="0.25">
      <c r="A537">
        <v>8149563</v>
      </c>
      <c r="B537" t="s">
        <v>18</v>
      </c>
      <c r="C537">
        <v>22789722</v>
      </c>
      <c r="D537" t="s">
        <v>7</v>
      </c>
      <c r="E537" s="2">
        <v>1032169</v>
      </c>
      <c r="F537" s="2">
        <v>335006</v>
      </c>
      <c r="G537">
        <v>91</v>
      </c>
    </row>
    <row r="538" spans="1:7" x14ac:dyDescent="0.25">
      <c r="A538">
        <v>8149652</v>
      </c>
      <c r="B538" t="s">
        <v>16</v>
      </c>
      <c r="C538">
        <v>14265682</v>
      </c>
      <c r="D538" t="s">
        <v>7</v>
      </c>
      <c r="E538" s="2">
        <v>826044</v>
      </c>
      <c r="F538" s="2">
        <v>81077</v>
      </c>
      <c r="G538">
        <v>61</v>
      </c>
    </row>
    <row r="539" spans="1:7" x14ac:dyDescent="0.25">
      <c r="A539">
        <v>8149652</v>
      </c>
      <c r="B539" t="s">
        <v>16</v>
      </c>
      <c r="C539">
        <v>16980898</v>
      </c>
      <c r="D539" t="s">
        <v>7</v>
      </c>
      <c r="E539" s="2">
        <v>7084469</v>
      </c>
      <c r="F539" s="2">
        <v>473160</v>
      </c>
      <c r="G539">
        <v>61</v>
      </c>
    </row>
    <row r="540" spans="1:7" x14ac:dyDescent="0.25">
      <c r="A540">
        <v>8149652</v>
      </c>
      <c r="B540" t="s">
        <v>16</v>
      </c>
      <c r="C540">
        <v>23954312</v>
      </c>
      <c r="D540" t="s">
        <v>7</v>
      </c>
      <c r="E540" s="2">
        <v>3335546</v>
      </c>
      <c r="F540" s="2">
        <v>568806</v>
      </c>
      <c r="G540">
        <v>91</v>
      </c>
    </row>
    <row r="541" spans="1:7" x14ac:dyDescent="0.25">
      <c r="A541">
        <v>8150642</v>
      </c>
      <c r="B541" t="s">
        <v>18</v>
      </c>
      <c r="C541">
        <v>21255889</v>
      </c>
      <c r="D541" t="s">
        <v>7</v>
      </c>
      <c r="E541" s="2">
        <v>1218478</v>
      </c>
      <c r="F541" s="2">
        <v>204090</v>
      </c>
      <c r="G541">
        <v>61</v>
      </c>
    </row>
    <row r="542" spans="1:7" x14ac:dyDescent="0.25">
      <c r="A542">
        <v>8151650</v>
      </c>
      <c r="B542" t="s">
        <v>18</v>
      </c>
      <c r="C542">
        <v>25137085</v>
      </c>
      <c r="D542" t="s">
        <v>7</v>
      </c>
      <c r="E542" s="2">
        <v>366186</v>
      </c>
      <c r="F542" s="2">
        <v>356952</v>
      </c>
      <c r="G542">
        <v>91</v>
      </c>
    </row>
    <row r="543" spans="1:7" x14ac:dyDescent="0.25">
      <c r="A543">
        <v>8151925</v>
      </c>
      <c r="B543" t="s">
        <v>18</v>
      </c>
      <c r="C543">
        <v>26319431</v>
      </c>
      <c r="D543" t="s">
        <v>7</v>
      </c>
      <c r="E543" s="2">
        <v>1785373</v>
      </c>
      <c r="F543" s="2">
        <v>44541</v>
      </c>
      <c r="G543">
        <v>61</v>
      </c>
    </row>
    <row r="544" spans="1:7" x14ac:dyDescent="0.25">
      <c r="A544">
        <v>8152781</v>
      </c>
      <c r="B544" t="s">
        <v>18</v>
      </c>
      <c r="C544">
        <v>26226398</v>
      </c>
      <c r="D544" t="s">
        <v>7</v>
      </c>
      <c r="E544" s="2">
        <v>646664</v>
      </c>
      <c r="F544" s="2">
        <v>215434</v>
      </c>
      <c r="G544">
        <v>121</v>
      </c>
    </row>
    <row r="545" spans="1:7" x14ac:dyDescent="0.25">
      <c r="A545">
        <v>8153587</v>
      </c>
      <c r="B545" t="s">
        <v>18</v>
      </c>
      <c r="C545">
        <v>24000694</v>
      </c>
      <c r="D545" t="s">
        <v>7</v>
      </c>
      <c r="E545" s="2">
        <v>640731</v>
      </c>
      <c r="F545" s="2">
        <v>147704</v>
      </c>
      <c r="G545">
        <v>61</v>
      </c>
    </row>
    <row r="546" spans="1:7" x14ac:dyDescent="0.25">
      <c r="A546">
        <v>8159247</v>
      </c>
      <c r="B546" t="s">
        <v>18</v>
      </c>
      <c r="C546">
        <v>24925294</v>
      </c>
      <c r="D546" t="s">
        <v>7</v>
      </c>
      <c r="E546" s="2">
        <v>433873</v>
      </c>
      <c r="F546" s="2">
        <v>493530</v>
      </c>
      <c r="G546">
        <v>121</v>
      </c>
    </row>
    <row r="547" spans="1:7" x14ac:dyDescent="0.25">
      <c r="A547">
        <v>8159247</v>
      </c>
      <c r="B547" t="s">
        <v>18</v>
      </c>
      <c r="C547">
        <v>24925514</v>
      </c>
      <c r="D547" t="s">
        <v>7</v>
      </c>
      <c r="E547" s="2">
        <v>441559</v>
      </c>
      <c r="F547" s="2">
        <v>502273</v>
      </c>
      <c r="G547">
        <v>121</v>
      </c>
    </row>
    <row r="548" spans="1:7" x14ac:dyDescent="0.25">
      <c r="A548">
        <v>8159820</v>
      </c>
      <c r="B548" t="s">
        <v>17</v>
      </c>
      <c r="C548">
        <v>22290865</v>
      </c>
      <c r="D548" t="s">
        <v>7</v>
      </c>
      <c r="E548" s="2">
        <v>1981363</v>
      </c>
      <c r="F548" s="2">
        <v>495559</v>
      </c>
      <c r="G548">
        <v>121</v>
      </c>
    </row>
    <row r="549" spans="1:7" x14ac:dyDescent="0.25">
      <c r="A549">
        <v>8160956</v>
      </c>
      <c r="B549" t="s">
        <v>17</v>
      </c>
      <c r="C549">
        <v>21943838</v>
      </c>
      <c r="D549" t="s">
        <v>7</v>
      </c>
      <c r="E549" s="2">
        <v>1082453</v>
      </c>
      <c r="F549" s="2">
        <v>3902</v>
      </c>
      <c r="G549">
        <v>61</v>
      </c>
    </row>
    <row r="550" spans="1:7" x14ac:dyDescent="0.25">
      <c r="A550">
        <v>8161759</v>
      </c>
      <c r="B550" t="s">
        <v>18</v>
      </c>
      <c r="C550">
        <v>24392059</v>
      </c>
      <c r="D550" t="s">
        <v>7</v>
      </c>
      <c r="E550" s="2">
        <v>1401795</v>
      </c>
      <c r="F550" s="2">
        <v>135805</v>
      </c>
      <c r="G550">
        <v>61</v>
      </c>
    </row>
    <row r="551" spans="1:7" x14ac:dyDescent="0.25">
      <c r="A551">
        <v>8161857</v>
      </c>
      <c r="B551" t="s">
        <v>18</v>
      </c>
      <c r="C551">
        <v>28595455</v>
      </c>
      <c r="D551" t="s">
        <v>7</v>
      </c>
      <c r="E551" s="2">
        <v>1598368</v>
      </c>
      <c r="F551" s="2">
        <v>74653</v>
      </c>
      <c r="G551">
        <v>61</v>
      </c>
    </row>
    <row r="552" spans="1:7" x14ac:dyDescent="0.25">
      <c r="A552">
        <v>8162090</v>
      </c>
      <c r="B552" t="s">
        <v>17</v>
      </c>
      <c r="C552">
        <v>12041523</v>
      </c>
      <c r="D552" t="s">
        <v>7</v>
      </c>
      <c r="E552" s="2">
        <v>4114786</v>
      </c>
      <c r="F552" s="2">
        <v>291811</v>
      </c>
      <c r="G552">
        <v>61</v>
      </c>
    </row>
    <row r="553" spans="1:7" x14ac:dyDescent="0.25">
      <c r="A553">
        <v>8162090</v>
      </c>
      <c r="B553" t="s">
        <v>17</v>
      </c>
      <c r="C553">
        <v>20732916</v>
      </c>
      <c r="D553" t="s">
        <v>7</v>
      </c>
      <c r="E553" s="2">
        <v>46201</v>
      </c>
      <c r="F553" s="2">
        <v>26360</v>
      </c>
      <c r="G553">
        <v>61</v>
      </c>
    </row>
    <row r="554" spans="1:7" x14ac:dyDescent="0.25">
      <c r="A554">
        <v>8162545</v>
      </c>
      <c r="B554" t="s">
        <v>17</v>
      </c>
      <c r="C554">
        <v>20841513</v>
      </c>
      <c r="D554" t="s">
        <v>11</v>
      </c>
      <c r="E554" s="2">
        <v>1569086</v>
      </c>
      <c r="F554" s="2">
        <v>121322</v>
      </c>
      <c r="G554">
        <v>34</v>
      </c>
    </row>
    <row r="555" spans="1:7" x14ac:dyDescent="0.25">
      <c r="A555">
        <v>8162545</v>
      </c>
      <c r="B555" t="s">
        <v>17</v>
      </c>
      <c r="C555">
        <v>22625570</v>
      </c>
      <c r="D555" t="s">
        <v>7</v>
      </c>
      <c r="E555" s="2">
        <v>2641418</v>
      </c>
      <c r="F555" s="2">
        <v>199087</v>
      </c>
      <c r="G555">
        <v>61</v>
      </c>
    </row>
    <row r="556" spans="1:7" x14ac:dyDescent="0.25">
      <c r="A556">
        <v>8162900</v>
      </c>
      <c r="B556" t="s">
        <v>17</v>
      </c>
      <c r="C556">
        <v>26490081</v>
      </c>
      <c r="D556" t="s">
        <v>7</v>
      </c>
      <c r="E556" s="2">
        <v>171558</v>
      </c>
      <c r="F556" s="2">
        <v>66210</v>
      </c>
      <c r="G556">
        <v>91</v>
      </c>
    </row>
    <row r="557" spans="1:7" x14ac:dyDescent="0.25">
      <c r="A557">
        <v>8163083</v>
      </c>
      <c r="B557" t="s">
        <v>18</v>
      </c>
      <c r="C557">
        <v>26691394</v>
      </c>
      <c r="D557" t="s">
        <v>7</v>
      </c>
      <c r="E557" s="2">
        <v>1198469</v>
      </c>
      <c r="F557" s="2">
        <v>185711</v>
      </c>
      <c r="G557">
        <v>61</v>
      </c>
    </row>
    <row r="558" spans="1:7" x14ac:dyDescent="0.25">
      <c r="A558">
        <v>8163206</v>
      </c>
      <c r="B558" t="s">
        <v>18</v>
      </c>
      <c r="C558">
        <v>21051982</v>
      </c>
      <c r="D558" t="s">
        <v>7</v>
      </c>
      <c r="E558" s="2">
        <v>1659121</v>
      </c>
      <c r="F558" s="2">
        <v>667225</v>
      </c>
      <c r="G558">
        <v>91</v>
      </c>
    </row>
    <row r="559" spans="1:7" x14ac:dyDescent="0.25">
      <c r="A559">
        <v>8163501</v>
      </c>
      <c r="B559" t="s">
        <v>16</v>
      </c>
      <c r="C559">
        <v>21616089</v>
      </c>
      <c r="D559" t="s">
        <v>7</v>
      </c>
      <c r="E559" s="2">
        <v>3199089</v>
      </c>
      <c r="F559" s="2">
        <v>307844</v>
      </c>
      <c r="G559">
        <v>61</v>
      </c>
    </row>
    <row r="560" spans="1:7" x14ac:dyDescent="0.25">
      <c r="A560">
        <v>8163501</v>
      </c>
      <c r="B560" t="s">
        <v>16</v>
      </c>
      <c r="C560">
        <v>21621233</v>
      </c>
      <c r="D560" t="s">
        <v>7</v>
      </c>
      <c r="E560" s="2">
        <v>4950278</v>
      </c>
      <c r="F560" s="2">
        <v>495485</v>
      </c>
      <c r="G560">
        <v>61</v>
      </c>
    </row>
    <row r="561" spans="1:7" x14ac:dyDescent="0.25">
      <c r="A561">
        <v>8163809</v>
      </c>
      <c r="B561" t="s">
        <v>18</v>
      </c>
      <c r="C561">
        <v>26370927</v>
      </c>
      <c r="D561" t="s">
        <v>7</v>
      </c>
      <c r="E561" s="2">
        <v>2499654</v>
      </c>
      <c r="F561" s="2">
        <v>2843356</v>
      </c>
      <c r="G561">
        <v>181</v>
      </c>
    </row>
    <row r="562" spans="1:7" x14ac:dyDescent="0.25">
      <c r="A562">
        <v>8163832</v>
      </c>
      <c r="B562" t="s">
        <v>18</v>
      </c>
      <c r="C562">
        <v>24843109</v>
      </c>
      <c r="D562" t="s">
        <v>7</v>
      </c>
      <c r="E562" s="2">
        <v>157373</v>
      </c>
      <c r="F562" s="2">
        <v>52061</v>
      </c>
      <c r="G562">
        <v>61</v>
      </c>
    </row>
    <row r="563" spans="1:7" x14ac:dyDescent="0.25">
      <c r="A563">
        <v>8164317</v>
      </c>
      <c r="B563" t="s">
        <v>17</v>
      </c>
      <c r="C563">
        <v>24836777</v>
      </c>
      <c r="D563" t="s">
        <v>7</v>
      </c>
      <c r="E563" s="2">
        <v>1073854</v>
      </c>
      <c r="F563" s="2">
        <v>7399</v>
      </c>
      <c r="G563">
        <v>61</v>
      </c>
    </row>
    <row r="564" spans="1:7" x14ac:dyDescent="0.25">
      <c r="A564">
        <v>8164716</v>
      </c>
      <c r="B564" t="s">
        <v>18</v>
      </c>
      <c r="C564">
        <v>23812101</v>
      </c>
      <c r="D564" t="s">
        <v>7</v>
      </c>
      <c r="E564" s="2">
        <v>2676776</v>
      </c>
      <c r="F564" s="2">
        <v>170877</v>
      </c>
      <c r="G564">
        <v>61</v>
      </c>
    </row>
    <row r="565" spans="1:7" x14ac:dyDescent="0.25">
      <c r="A565">
        <v>8164886</v>
      </c>
      <c r="B565" t="s">
        <v>17</v>
      </c>
      <c r="C565">
        <v>26205139</v>
      </c>
      <c r="D565" t="s">
        <v>7</v>
      </c>
      <c r="E565" s="2">
        <v>1785026</v>
      </c>
      <c r="F565" s="2">
        <v>2030467</v>
      </c>
      <c r="G565">
        <v>181</v>
      </c>
    </row>
    <row r="566" spans="1:7" x14ac:dyDescent="0.25">
      <c r="A566">
        <v>8164886</v>
      </c>
      <c r="B566" t="s">
        <v>17</v>
      </c>
      <c r="C566">
        <v>26206180</v>
      </c>
      <c r="D566" t="s">
        <v>7</v>
      </c>
      <c r="E566" s="2">
        <v>1244055</v>
      </c>
      <c r="F566" s="2">
        <v>1415112</v>
      </c>
      <c r="G566">
        <v>361</v>
      </c>
    </row>
    <row r="567" spans="1:7" x14ac:dyDescent="0.25">
      <c r="A567">
        <v>8165309</v>
      </c>
      <c r="B567" t="s">
        <v>18</v>
      </c>
      <c r="C567">
        <v>27696033</v>
      </c>
      <c r="D567" t="s">
        <v>7</v>
      </c>
      <c r="E567" s="2">
        <v>1513585</v>
      </c>
      <c r="F567" s="2">
        <v>219902</v>
      </c>
      <c r="G567">
        <v>61</v>
      </c>
    </row>
    <row r="568" spans="1:7" x14ac:dyDescent="0.25">
      <c r="A568">
        <v>8165415</v>
      </c>
      <c r="B568" t="s">
        <v>18</v>
      </c>
      <c r="C568">
        <v>28584076</v>
      </c>
      <c r="D568" t="s">
        <v>7</v>
      </c>
      <c r="E568" s="2">
        <v>961502</v>
      </c>
      <c r="F568" s="2">
        <v>101794</v>
      </c>
      <c r="G568">
        <v>61</v>
      </c>
    </row>
    <row r="569" spans="1:7" x14ac:dyDescent="0.25">
      <c r="A569">
        <v>8165420</v>
      </c>
      <c r="B569" t="s">
        <v>17</v>
      </c>
      <c r="C569">
        <v>27823013</v>
      </c>
      <c r="D569" t="s">
        <v>7</v>
      </c>
      <c r="E569" s="2">
        <v>3775588</v>
      </c>
      <c r="F569" s="2">
        <v>121438</v>
      </c>
      <c r="G569">
        <v>61</v>
      </c>
    </row>
    <row r="570" spans="1:7" x14ac:dyDescent="0.25">
      <c r="A570">
        <v>8165867</v>
      </c>
      <c r="B570" t="s">
        <v>18</v>
      </c>
      <c r="C570">
        <v>28083468</v>
      </c>
      <c r="D570" t="s">
        <v>7</v>
      </c>
      <c r="E570" s="2">
        <v>4345452</v>
      </c>
      <c r="F570" s="2">
        <v>449976</v>
      </c>
      <c r="G570">
        <v>61</v>
      </c>
    </row>
    <row r="571" spans="1:7" x14ac:dyDescent="0.25">
      <c r="A571">
        <v>8165993</v>
      </c>
      <c r="B571" t="s">
        <v>16</v>
      </c>
      <c r="C571">
        <v>26466300</v>
      </c>
      <c r="D571" t="s">
        <v>7</v>
      </c>
      <c r="E571" s="2">
        <v>1606710</v>
      </c>
      <c r="F571" s="2">
        <v>621228</v>
      </c>
      <c r="G571">
        <v>61</v>
      </c>
    </row>
    <row r="572" spans="1:7" x14ac:dyDescent="0.25">
      <c r="A572">
        <v>8166066</v>
      </c>
      <c r="B572" t="s">
        <v>18</v>
      </c>
      <c r="C572">
        <v>25450737</v>
      </c>
      <c r="D572" t="s">
        <v>7</v>
      </c>
      <c r="E572" s="2">
        <v>332341</v>
      </c>
      <c r="F572" s="2">
        <v>378038</v>
      </c>
      <c r="G572">
        <v>181</v>
      </c>
    </row>
    <row r="573" spans="1:7" x14ac:dyDescent="0.25">
      <c r="A573">
        <v>8166124</v>
      </c>
      <c r="B573" t="s">
        <v>18</v>
      </c>
      <c r="C573">
        <v>25535320</v>
      </c>
      <c r="D573" t="s">
        <v>7</v>
      </c>
      <c r="E573" s="2">
        <v>649871</v>
      </c>
      <c r="F573" s="2">
        <v>264812</v>
      </c>
      <c r="G573">
        <v>121</v>
      </c>
    </row>
    <row r="574" spans="1:7" x14ac:dyDescent="0.25">
      <c r="A574">
        <v>8166124</v>
      </c>
      <c r="B574" t="s">
        <v>18</v>
      </c>
      <c r="C574">
        <v>27177694</v>
      </c>
      <c r="D574" t="s">
        <v>7</v>
      </c>
      <c r="E574" s="2">
        <v>1043941</v>
      </c>
      <c r="F574" s="2">
        <v>1187483</v>
      </c>
      <c r="G574">
        <v>211</v>
      </c>
    </row>
    <row r="575" spans="1:7" x14ac:dyDescent="0.25">
      <c r="A575">
        <v>8166235</v>
      </c>
      <c r="B575" t="s">
        <v>17</v>
      </c>
      <c r="C575">
        <v>22194960</v>
      </c>
      <c r="D575" t="s">
        <v>7</v>
      </c>
      <c r="E575" s="2">
        <v>2645007</v>
      </c>
      <c r="F575" s="2">
        <v>395182</v>
      </c>
      <c r="G575">
        <v>61</v>
      </c>
    </row>
    <row r="576" spans="1:7" x14ac:dyDescent="0.25">
      <c r="A576">
        <v>8166235</v>
      </c>
      <c r="B576" t="s">
        <v>17</v>
      </c>
      <c r="C576">
        <v>23293642</v>
      </c>
      <c r="D576" t="s">
        <v>7</v>
      </c>
      <c r="E576" s="2">
        <v>2590848</v>
      </c>
      <c r="F576" s="2">
        <v>354842</v>
      </c>
      <c r="G576">
        <v>61</v>
      </c>
    </row>
    <row r="577" spans="1:7" x14ac:dyDescent="0.25">
      <c r="A577">
        <v>8166412</v>
      </c>
      <c r="B577" t="s">
        <v>18</v>
      </c>
      <c r="C577">
        <v>28040121</v>
      </c>
      <c r="D577" t="s">
        <v>7</v>
      </c>
      <c r="E577" s="2">
        <v>654917</v>
      </c>
      <c r="F577" s="2">
        <v>88702</v>
      </c>
      <c r="G577">
        <v>61</v>
      </c>
    </row>
    <row r="578" spans="1:7" x14ac:dyDescent="0.25">
      <c r="A578">
        <v>8166876</v>
      </c>
      <c r="B578" t="s">
        <v>17</v>
      </c>
      <c r="C578">
        <v>25433531</v>
      </c>
      <c r="D578" t="s">
        <v>9</v>
      </c>
      <c r="E578" s="2">
        <v>4762283</v>
      </c>
      <c r="F578" s="2">
        <v>171660</v>
      </c>
      <c r="G578">
        <v>60</v>
      </c>
    </row>
    <row r="579" spans="1:7" x14ac:dyDescent="0.25">
      <c r="A579">
        <v>8166895</v>
      </c>
      <c r="B579" t="s">
        <v>18</v>
      </c>
      <c r="C579">
        <v>17937860</v>
      </c>
      <c r="D579" t="s">
        <v>7</v>
      </c>
      <c r="E579" s="2">
        <v>1194827</v>
      </c>
      <c r="F579" s="2">
        <v>183894</v>
      </c>
      <c r="G579">
        <v>61</v>
      </c>
    </row>
    <row r="580" spans="1:7" x14ac:dyDescent="0.25">
      <c r="A580">
        <v>8167406</v>
      </c>
      <c r="B580" t="s">
        <v>18</v>
      </c>
      <c r="C580">
        <v>18535343</v>
      </c>
      <c r="D580" t="s">
        <v>7</v>
      </c>
      <c r="E580" s="2">
        <v>1314703</v>
      </c>
      <c r="F580" s="2">
        <v>418091</v>
      </c>
      <c r="G580">
        <v>61</v>
      </c>
    </row>
    <row r="581" spans="1:7" x14ac:dyDescent="0.25">
      <c r="A581">
        <v>8167480</v>
      </c>
      <c r="B581" t="s">
        <v>17</v>
      </c>
      <c r="C581">
        <v>24967274</v>
      </c>
      <c r="D581" t="s">
        <v>7</v>
      </c>
      <c r="E581" s="2">
        <v>1581938</v>
      </c>
      <c r="F581" s="2">
        <v>1799454</v>
      </c>
      <c r="G581">
        <v>151</v>
      </c>
    </row>
    <row r="582" spans="1:7" x14ac:dyDescent="0.25">
      <c r="A582">
        <v>8167480</v>
      </c>
      <c r="B582" t="s">
        <v>17</v>
      </c>
      <c r="C582">
        <v>25550360</v>
      </c>
      <c r="D582" t="s">
        <v>7</v>
      </c>
      <c r="E582" s="2">
        <v>1735954</v>
      </c>
      <c r="F582" s="2">
        <v>1974648</v>
      </c>
      <c r="G582">
        <v>181</v>
      </c>
    </row>
    <row r="583" spans="1:7" x14ac:dyDescent="0.25">
      <c r="A583">
        <v>8167498</v>
      </c>
      <c r="B583" t="s">
        <v>18</v>
      </c>
      <c r="C583">
        <v>14496476</v>
      </c>
      <c r="D583" t="s">
        <v>7</v>
      </c>
      <c r="E583" s="2">
        <v>935255</v>
      </c>
      <c r="F583" s="2">
        <v>1063853</v>
      </c>
      <c r="G583">
        <v>391</v>
      </c>
    </row>
    <row r="584" spans="1:7" x14ac:dyDescent="0.25">
      <c r="A584">
        <v>8167510</v>
      </c>
      <c r="B584" t="s">
        <v>18</v>
      </c>
      <c r="C584">
        <v>24373132</v>
      </c>
      <c r="D584" t="s">
        <v>7</v>
      </c>
      <c r="E584" s="2">
        <v>180639</v>
      </c>
      <c r="F584" s="2">
        <v>106820</v>
      </c>
      <c r="G584">
        <v>91</v>
      </c>
    </row>
    <row r="585" spans="1:7" x14ac:dyDescent="0.25">
      <c r="A585">
        <v>8167543</v>
      </c>
      <c r="B585" t="s">
        <v>18</v>
      </c>
      <c r="C585">
        <v>14590137</v>
      </c>
      <c r="D585" t="s">
        <v>7</v>
      </c>
      <c r="E585" s="2">
        <v>496338</v>
      </c>
      <c r="F585" s="2">
        <v>458921</v>
      </c>
      <c r="G585">
        <v>91</v>
      </c>
    </row>
    <row r="586" spans="1:7" x14ac:dyDescent="0.25">
      <c r="A586">
        <v>8168164</v>
      </c>
      <c r="B586" t="s">
        <v>18</v>
      </c>
      <c r="C586">
        <v>27255677</v>
      </c>
      <c r="D586" t="s">
        <v>7</v>
      </c>
      <c r="E586" s="2">
        <v>1505951</v>
      </c>
      <c r="F586" s="2">
        <v>113740</v>
      </c>
      <c r="G586">
        <v>61</v>
      </c>
    </row>
    <row r="587" spans="1:7" x14ac:dyDescent="0.25">
      <c r="A587">
        <v>8168198</v>
      </c>
      <c r="B587" t="s">
        <v>18</v>
      </c>
      <c r="C587">
        <v>23820381</v>
      </c>
      <c r="D587" t="s">
        <v>7</v>
      </c>
      <c r="E587" s="2">
        <v>686535</v>
      </c>
      <c r="F587" s="2">
        <v>208200</v>
      </c>
      <c r="G587">
        <v>61</v>
      </c>
    </row>
    <row r="588" spans="1:7" x14ac:dyDescent="0.25">
      <c r="A588">
        <v>8168460</v>
      </c>
      <c r="B588" t="s">
        <v>18</v>
      </c>
      <c r="C588">
        <v>2891486</v>
      </c>
      <c r="D588" t="s">
        <v>7</v>
      </c>
      <c r="E588" s="2">
        <v>504609</v>
      </c>
      <c r="F588" s="2">
        <v>65242</v>
      </c>
      <c r="G588">
        <v>61</v>
      </c>
    </row>
    <row r="589" spans="1:7" x14ac:dyDescent="0.25">
      <c r="A589">
        <v>8168855</v>
      </c>
      <c r="B589" t="s">
        <v>18</v>
      </c>
      <c r="C589">
        <v>19612833</v>
      </c>
      <c r="D589" t="s">
        <v>7</v>
      </c>
      <c r="E589" s="2">
        <v>1430699</v>
      </c>
      <c r="F589" s="2">
        <v>215240</v>
      </c>
      <c r="G589">
        <v>61</v>
      </c>
    </row>
    <row r="590" spans="1:7" x14ac:dyDescent="0.25">
      <c r="A590">
        <v>8168937</v>
      </c>
      <c r="B590" t="s">
        <v>17</v>
      </c>
      <c r="C590">
        <v>21552660</v>
      </c>
      <c r="D590" t="s">
        <v>7</v>
      </c>
      <c r="E590" s="2">
        <v>1444332</v>
      </c>
      <c r="F590" s="2">
        <v>387007</v>
      </c>
      <c r="G590">
        <v>91</v>
      </c>
    </row>
    <row r="591" spans="1:7" x14ac:dyDescent="0.25">
      <c r="A591">
        <v>8169312</v>
      </c>
      <c r="B591" t="s">
        <v>18</v>
      </c>
      <c r="C591">
        <v>27097133</v>
      </c>
      <c r="D591" t="s">
        <v>7</v>
      </c>
      <c r="E591" s="2">
        <v>1447442</v>
      </c>
      <c r="F591" s="2">
        <v>256848</v>
      </c>
      <c r="G591">
        <v>61</v>
      </c>
    </row>
    <row r="592" spans="1:7" x14ac:dyDescent="0.25">
      <c r="A592">
        <v>8169800</v>
      </c>
      <c r="B592" t="s">
        <v>18</v>
      </c>
      <c r="C592">
        <v>27338499</v>
      </c>
      <c r="D592" t="s">
        <v>7</v>
      </c>
      <c r="E592" s="2">
        <v>1665278</v>
      </c>
      <c r="F592" s="2">
        <v>350572</v>
      </c>
      <c r="G592">
        <v>61</v>
      </c>
    </row>
    <row r="593" spans="1:7" x14ac:dyDescent="0.25">
      <c r="A593">
        <v>8169896</v>
      </c>
      <c r="B593" t="s">
        <v>17</v>
      </c>
      <c r="C593">
        <v>23435595</v>
      </c>
      <c r="D593" t="s">
        <v>7</v>
      </c>
      <c r="E593" s="2">
        <v>1184789</v>
      </c>
      <c r="F593" s="2">
        <v>468209</v>
      </c>
      <c r="G593">
        <v>121</v>
      </c>
    </row>
    <row r="594" spans="1:7" x14ac:dyDescent="0.25">
      <c r="A594">
        <v>8169896</v>
      </c>
      <c r="B594" t="s">
        <v>17</v>
      </c>
      <c r="C594">
        <v>23435865</v>
      </c>
      <c r="D594" t="s">
        <v>7</v>
      </c>
      <c r="E594" s="2">
        <v>1181595</v>
      </c>
      <c r="F594" s="2">
        <v>397486</v>
      </c>
      <c r="G594">
        <v>121</v>
      </c>
    </row>
    <row r="595" spans="1:7" x14ac:dyDescent="0.25">
      <c r="A595">
        <v>8170123</v>
      </c>
      <c r="B595" t="s">
        <v>18</v>
      </c>
      <c r="C595">
        <v>25601009</v>
      </c>
      <c r="D595" t="s">
        <v>7</v>
      </c>
      <c r="E595" s="2">
        <v>833270</v>
      </c>
      <c r="F595" s="2">
        <v>947845</v>
      </c>
      <c r="G595">
        <v>181</v>
      </c>
    </row>
    <row r="596" spans="1:7" x14ac:dyDescent="0.25">
      <c r="A596">
        <v>8170382</v>
      </c>
      <c r="B596" t="s">
        <v>16</v>
      </c>
      <c r="C596">
        <v>28065349</v>
      </c>
      <c r="D596" t="s">
        <v>7</v>
      </c>
      <c r="E596" s="2">
        <v>1949998</v>
      </c>
      <c r="F596" s="2">
        <v>329619</v>
      </c>
      <c r="G596">
        <v>61</v>
      </c>
    </row>
    <row r="597" spans="1:7" x14ac:dyDescent="0.25">
      <c r="A597">
        <v>8170763</v>
      </c>
      <c r="B597" t="s">
        <v>17</v>
      </c>
      <c r="C597">
        <v>26772925</v>
      </c>
      <c r="D597" t="s">
        <v>11</v>
      </c>
      <c r="E597" s="2">
        <v>5815999</v>
      </c>
      <c r="F597" s="2">
        <v>142107</v>
      </c>
      <c r="G597">
        <v>38</v>
      </c>
    </row>
    <row r="598" spans="1:7" x14ac:dyDescent="0.25">
      <c r="A598">
        <v>8170829</v>
      </c>
      <c r="B598" t="s">
        <v>17</v>
      </c>
      <c r="C598">
        <v>27289838</v>
      </c>
      <c r="D598" t="s">
        <v>7</v>
      </c>
      <c r="E598" s="2">
        <v>1488466</v>
      </c>
      <c r="F598" s="2">
        <v>1693130</v>
      </c>
      <c r="G598">
        <v>151</v>
      </c>
    </row>
    <row r="599" spans="1:7" x14ac:dyDescent="0.25">
      <c r="A599">
        <v>8171445</v>
      </c>
      <c r="B599" t="s">
        <v>18</v>
      </c>
      <c r="C599">
        <v>23926424</v>
      </c>
      <c r="D599" t="s">
        <v>7</v>
      </c>
      <c r="E599" s="2">
        <v>503225</v>
      </c>
      <c r="F599" s="2">
        <v>26887</v>
      </c>
      <c r="G599">
        <v>61</v>
      </c>
    </row>
    <row r="600" spans="1:7" x14ac:dyDescent="0.25">
      <c r="A600">
        <v>8171508</v>
      </c>
      <c r="B600" t="s">
        <v>18</v>
      </c>
      <c r="C600">
        <v>27924163</v>
      </c>
      <c r="D600" t="s">
        <v>7</v>
      </c>
      <c r="E600" s="2">
        <v>28921</v>
      </c>
      <c r="F600" s="2">
        <v>26455</v>
      </c>
      <c r="G600">
        <v>61</v>
      </c>
    </row>
    <row r="601" spans="1:7" x14ac:dyDescent="0.25">
      <c r="A601">
        <v>8171519</v>
      </c>
      <c r="B601" t="s">
        <v>17</v>
      </c>
      <c r="C601">
        <v>24829797</v>
      </c>
      <c r="D601" t="s">
        <v>7</v>
      </c>
      <c r="E601" s="2">
        <v>3984466</v>
      </c>
      <c r="F601" s="2">
        <v>1694160</v>
      </c>
      <c r="G601">
        <v>151</v>
      </c>
    </row>
    <row r="602" spans="1:7" x14ac:dyDescent="0.25">
      <c r="A602">
        <v>8171519</v>
      </c>
      <c r="B602" t="s">
        <v>17</v>
      </c>
      <c r="C602">
        <v>25310605</v>
      </c>
      <c r="D602" t="s">
        <v>9</v>
      </c>
      <c r="E602" s="2">
        <v>887500</v>
      </c>
      <c r="F602" s="2">
        <v>432483</v>
      </c>
      <c r="G602">
        <v>141</v>
      </c>
    </row>
    <row r="603" spans="1:7" x14ac:dyDescent="0.25">
      <c r="A603">
        <v>8171572</v>
      </c>
      <c r="B603" t="s">
        <v>16</v>
      </c>
      <c r="C603">
        <v>26893789</v>
      </c>
      <c r="D603" t="s">
        <v>11</v>
      </c>
      <c r="E603" s="2">
        <v>27670584</v>
      </c>
      <c r="F603" s="2">
        <v>2642183</v>
      </c>
      <c r="G603">
        <v>96</v>
      </c>
    </row>
    <row r="604" spans="1:7" x14ac:dyDescent="0.25">
      <c r="A604">
        <v>8171572</v>
      </c>
      <c r="B604" t="s">
        <v>16</v>
      </c>
      <c r="C604">
        <v>27857046</v>
      </c>
      <c r="D604" t="s">
        <v>7</v>
      </c>
      <c r="E604" s="2">
        <v>5761653</v>
      </c>
      <c r="F604" s="2">
        <v>1425676</v>
      </c>
      <c r="G604">
        <v>91</v>
      </c>
    </row>
    <row r="605" spans="1:7" x14ac:dyDescent="0.25">
      <c r="A605">
        <v>8171608</v>
      </c>
      <c r="B605" t="s">
        <v>18</v>
      </c>
      <c r="C605">
        <v>27717868</v>
      </c>
      <c r="D605" t="s">
        <v>7</v>
      </c>
      <c r="E605" s="2">
        <v>959907</v>
      </c>
      <c r="F605" s="2">
        <v>28275</v>
      </c>
      <c r="G605">
        <v>61</v>
      </c>
    </row>
    <row r="606" spans="1:7" x14ac:dyDescent="0.25">
      <c r="A606">
        <v>8171685</v>
      </c>
      <c r="B606" t="s">
        <v>18</v>
      </c>
      <c r="C606">
        <v>27541896</v>
      </c>
      <c r="D606" t="s">
        <v>7</v>
      </c>
      <c r="E606" s="2">
        <v>645071</v>
      </c>
      <c r="F606" s="2">
        <v>163316</v>
      </c>
      <c r="G606">
        <v>91</v>
      </c>
    </row>
    <row r="607" spans="1:7" x14ac:dyDescent="0.25">
      <c r="A607">
        <v>8171798</v>
      </c>
      <c r="B607" t="s">
        <v>18</v>
      </c>
      <c r="C607">
        <v>24099866</v>
      </c>
      <c r="D607" t="s">
        <v>7</v>
      </c>
      <c r="E607" s="2">
        <v>557779</v>
      </c>
      <c r="F607" s="2">
        <v>149154</v>
      </c>
      <c r="G607">
        <v>61</v>
      </c>
    </row>
    <row r="608" spans="1:7" x14ac:dyDescent="0.25">
      <c r="A608">
        <v>8171807</v>
      </c>
      <c r="B608" t="s">
        <v>18</v>
      </c>
      <c r="C608">
        <v>14659275</v>
      </c>
      <c r="D608" t="s">
        <v>7</v>
      </c>
      <c r="E608" s="2">
        <v>850832</v>
      </c>
      <c r="F608" s="2">
        <v>176387</v>
      </c>
      <c r="G608">
        <v>61</v>
      </c>
    </row>
    <row r="609" spans="1:7" x14ac:dyDescent="0.25">
      <c r="A609">
        <v>8171812</v>
      </c>
      <c r="B609" t="s">
        <v>18</v>
      </c>
      <c r="C609">
        <v>10480436</v>
      </c>
      <c r="D609" t="s">
        <v>7</v>
      </c>
      <c r="E609" s="2">
        <v>674663</v>
      </c>
      <c r="F609" s="2">
        <v>95888</v>
      </c>
      <c r="G609">
        <v>61</v>
      </c>
    </row>
    <row r="610" spans="1:7" x14ac:dyDescent="0.25">
      <c r="A610">
        <v>8171817</v>
      </c>
      <c r="B610" t="s">
        <v>18</v>
      </c>
      <c r="C610">
        <v>21620879</v>
      </c>
      <c r="D610" t="s">
        <v>7</v>
      </c>
      <c r="E610" s="2">
        <v>1402343</v>
      </c>
      <c r="F610" s="2">
        <v>88261</v>
      </c>
      <c r="G610">
        <v>61</v>
      </c>
    </row>
    <row r="611" spans="1:7" x14ac:dyDescent="0.25">
      <c r="A611">
        <v>8172184</v>
      </c>
      <c r="B611" t="s">
        <v>18</v>
      </c>
      <c r="C611">
        <v>10919528</v>
      </c>
      <c r="D611" t="s">
        <v>7</v>
      </c>
      <c r="E611" s="2">
        <v>4535234</v>
      </c>
      <c r="F611" s="2">
        <v>437630</v>
      </c>
      <c r="G611">
        <v>61</v>
      </c>
    </row>
    <row r="612" spans="1:7" x14ac:dyDescent="0.25">
      <c r="A612">
        <v>8172545</v>
      </c>
      <c r="B612" t="s">
        <v>17</v>
      </c>
      <c r="C612">
        <v>25644851</v>
      </c>
      <c r="D612" t="s">
        <v>7</v>
      </c>
      <c r="E612" s="2">
        <v>1610266</v>
      </c>
      <c r="F612" s="2">
        <v>530870</v>
      </c>
      <c r="G612">
        <v>91</v>
      </c>
    </row>
    <row r="613" spans="1:7" x14ac:dyDescent="0.25">
      <c r="A613">
        <v>8172545</v>
      </c>
      <c r="B613" t="s">
        <v>17</v>
      </c>
      <c r="C613">
        <v>25646668</v>
      </c>
      <c r="D613" t="s">
        <v>7</v>
      </c>
      <c r="E613" s="2">
        <v>604777</v>
      </c>
      <c r="F613" s="2">
        <v>322080</v>
      </c>
      <c r="G613">
        <v>121</v>
      </c>
    </row>
    <row r="614" spans="1:7" x14ac:dyDescent="0.25">
      <c r="A614">
        <v>8172550</v>
      </c>
      <c r="B614" t="s">
        <v>17</v>
      </c>
      <c r="C614">
        <v>25090717</v>
      </c>
      <c r="D614" t="s">
        <v>7</v>
      </c>
      <c r="E614" s="2">
        <v>1983429</v>
      </c>
      <c r="F614" s="2">
        <v>473970</v>
      </c>
      <c r="G614">
        <v>91</v>
      </c>
    </row>
    <row r="615" spans="1:7" x14ac:dyDescent="0.25">
      <c r="A615">
        <v>8172608</v>
      </c>
      <c r="B615" t="s">
        <v>18</v>
      </c>
      <c r="C615">
        <v>26813449</v>
      </c>
      <c r="D615" t="s">
        <v>7</v>
      </c>
      <c r="E615" s="2">
        <v>435443</v>
      </c>
      <c r="F615" s="2">
        <v>151335</v>
      </c>
      <c r="G615">
        <v>91</v>
      </c>
    </row>
    <row r="616" spans="1:7" x14ac:dyDescent="0.25">
      <c r="A616">
        <v>8172822</v>
      </c>
      <c r="B616" t="s">
        <v>18</v>
      </c>
      <c r="C616">
        <v>24100634</v>
      </c>
      <c r="D616" t="s">
        <v>7</v>
      </c>
      <c r="E616" s="2">
        <v>450382</v>
      </c>
      <c r="F616" s="2">
        <v>512309</v>
      </c>
      <c r="G616">
        <v>91</v>
      </c>
    </row>
    <row r="617" spans="1:7" x14ac:dyDescent="0.25">
      <c r="A617">
        <v>8172834</v>
      </c>
      <c r="B617" t="s">
        <v>18</v>
      </c>
      <c r="C617">
        <v>25341571</v>
      </c>
      <c r="D617" t="s">
        <v>7</v>
      </c>
      <c r="E617" s="2">
        <v>864978</v>
      </c>
      <c r="F617" s="2">
        <v>155771</v>
      </c>
      <c r="G617">
        <v>61</v>
      </c>
    </row>
    <row r="618" spans="1:7" x14ac:dyDescent="0.25">
      <c r="A618">
        <v>8172857</v>
      </c>
      <c r="B618" t="s">
        <v>17</v>
      </c>
      <c r="C618">
        <v>27565008</v>
      </c>
      <c r="D618" t="s">
        <v>7</v>
      </c>
      <c r="E618" s="2">
        <v>3519503</v>
      </c>
      <c r="F618" s="2">
        <v>284345</v>
      </c>
      <c r="G618">
        <v>61</v>
      </c>
    </row>
    <row r="619" spans="1:7" x14ac:dyDescent="0.25">
      <c r="A619">
        <v>8172916</v>
      </c>
      <c r="B619" t="s">
        <v>18</v>
      </c>
      <c r="C619">
        <v>28122029</v>
      </c>
      <c r="D619" t="s">
        <v>7</v>
      </c>
      <c r="E619" s="2">
        <v>758373</v>
      </c>
      <c r="F619" s="2">
        <v>115396</v>
      </c>
      <c r="G619">
        <v>61</v>
      </c>
    </row>
    <row r="620" spans="1:7" x14ac:dyDescent="0.25">
      <c r="A620">
        <v>8173437</v>
      </c>
      <c r="B620" t="s">
        <v>17</v>
      </c>
      <c r="C620">
        <v>26476759</v>
      </c>
      <c r="D620" t="s">
        <v>11</v>
      </c>
      <c r="E620" s="2">
        <v>6223674</v>
      </c>
      <c r="F620" s="2">
        <v>203394</v>
      </c>
      <c r="G620">
        <v>34</v>
      </c>
    </row>
    <row r="621" spans="1:7" x14ac:dyDescent="0.25">
      <c r="A621">
        <v>8173437</v>
      </c>
      <c r="B621" t="s">
        <v>17</v>
      </c>
      <c r="C621">
        <v>26774236</v>
      </c>
      <c r="D621" t="s">
        <v>7</v>
      </c>
      <c r="E621" s="2">
        <v>376411</v>
      </c>
      <c r="F621" s="2">
        <v>67451</v>
      </c>
      <c r="G621">
        <v>61</v>
      </c>
    </row>
    <row r="622" spans="1:7" x14ac:dyDescent="0.25">
      <c r="A622">
        <v>8173444</v>
      </c>
      <c r="B622" t="s">
        <v>18</v>
      </c>
      <c r="C622">
        <v>27690468</v>
      </c>
      <c r="D622" t="s">
        <v>7</v>
      </c>
      <c r="E622" s="2">
        <v>547116</v>
      </c>
      <c r="F622" s="2">
        <v>219415</v>
      </c>
      <c r="G622">
        <v>121</v>
      </c>
    </row>
    <row r="623" spans="1:7" x14ac:dyDescent="0.25">
      <c r="A623">
        <v>8173552</v>
      </c>
      <c r="B623" t="s">
        <v>18</v>
      </c>
      <c r="C623">
        <v>20787125</v>
      </c>
      <c r="D623" t="s">
        <v>7</v>
      </c>
      <c r="E623" s="2">
        <v>731445</v>
      </c>
      <c r="F623" s="2">
        <v>427866</v>
      </c>
      <c r="G623">
        <v>91</v>
      </c>
    </row>
    <row r="624" spans="1:7" x14ac:dyDescent="0.25">
      <c r="A624">
        <v>8173554</v>
      </c>
      <c r="B624" t="s">
        <v>17</v>
      </c>
      <c r="C624">
        <v>26936631</v>
      </c>
      <c r="D624" t="s">
        <v>7</v>
      </c>
      <c r="E624" s="2">
        <v>1572613</v>
      </c>
      <c r="F624" s="2">
        <v>442215</v>
      </c>
      <c r="G624">
        <v>91</v>
      </c>
    </row>
    <row r="625" spans="1:7" x14ac:dyDescent="0.25">
      <c r="A625">
        <v>8173659</v>
      </c>
      <c r="B625" t="s">
        <v>16</v>
      </c>
      <c r="C625">
        <v>22424854</v>
      </c>
      <c r="D625" t="s">
        <v>13</v>
      </c>
      <c r="E625" s="2">
        <v>18927010</v>
      </c>
      <c r="F625" s="2">
        <v>4104396</v>
      </c>
      <c r="G625">
        <v>182</v>
      </c>
    </row>
    <row r="626" spans="1:7" x14ac:dyDescent="0.25">
      <c r="A626">
        <v>8173659</v>
      </c>
      <c r="B626" t="s">
        <v>16</v>
      </c>
      <c r="C626">
        <v>26356232</v>
      </c>
      <c r="D626" t="s">
        <v>7</v>
      </c>
      <c r="E626" s="2">
        <v>1259737</v>
      </c>
      <c r="F626" s="2">
        <v>687631</v>
      </c>
      <c r="G626">
        <v>91</v>
      </c>
    </row>
    <row r="627" spans="1:7" x14ac:dyDescent="0.25">
      <c r="A627">
        <v>8173751</v>
      </c>
      <c r="B627" t="s">
        <v>18</v>
      </c>
      <c r="C627">
        <v>23390348</v>
      </c>
      <c r="D627" t="s">
        <v>7</v>
      </c>
      <c r="E627" s="2">
        <v>768091</v>
      </c>
      <c r="F627" s="2">
        <v>5705</v>
      </c>
      <c r="G627">
        <v>61</v>
      </c>
    </row>
    <row r="628" spans="1:7" x14ac:dyDescent="0.25">
      <c r="A628">
        <v>8173877</v>
      </c>
      <c r="B628" t="s">
        <v>17</v>
      </c>
      <c r="C628">
        <v>23856527</v>
      </c>
      <c r="D628" t="s">
        <v>7</v>
      </c>
      <c r="E628" s="2">
        <v>3852142</v>
      </c>
      <c r="F628" s="2">
        <v>4381811</v>
      </c>
      <c r="G628">
        <v>391</v>
      </c>
    </row>
    <row r="629" spans="1:7" x14ac:dyDescent="0.25">
      <c r="A629">
        <v>8173935</v>
      </c>
      <c r="B629" t="s">
        <v>18</v>
      </c>
      <c r="C629">
        <v>26913436</v>
      </c>
      <c r="D629" t="s">
        <v>7</v>
      </c>
      <c r="E629" s="2">
        <v>1977903</v>
      </c>
      <c r="F629" s="2">
        <v>212808</v>
      </c>
      <c r="G629">
        <v>61</v>
      </c>
    </row>
    <row r="630" spans="1:7" x14ac:dyDescent="0.25">
      <c r="A630">
        <v>8173944</v>
      </c>
      <c r="B630" t="s">
        <v>18</v>
      </c>
      <c r="C630">
        <v>21732738</v>
      </c>
      <c r="D630" t="s">
        <v>7</v>
      </c>
      <c r="E630" s="2">
        <v>186076</v>
      </c>
      <c r="F630" s="2">
        <v>89563</v>
      </c>
      <c r="G630">
        <v>91</v>
      </c>
    </row>
    <row r="631" spans="1:7" x14ac:dyDescent="0.25">
      <c r="A631">
        <v>8173948</v>
      </c>
      <c r="B631" t="s">
        <v>18</v>
      </c>
      <c r="C631">
        <v>12213655</v>
      </c>
      <c r="D631" t="s">
        <v>7</v>
      </c>
      <c r="E631" s="2">
        <v>50310</v>
      </c>
      <c r="F631" s="2">
        <v>8578</v>
      </c>
      <c r="G631">
        <v>61</v>
      </c>
    </row>
    <row r="632" spans="1:7" x14ac:dyDescent="0.25">
      <c r="A632">
        <v>8174057</v>
      </c>
      <c r="B632" t="s">
        <v>16</v>
      </c>
      <c r="C632">
        <v>26383422</v>
      </c>
      <c r="D632" t="s">
        <v>12</v>
      </c>
      <c r="E632" s="2">
        <v>4267731</v>
      </c>
      <c r="F632" s="2">
        <v>462851</v>
      </c>
      <c r="G632">
        <v>85</v>
      </c>
    </row>
    <row r="633" spans="1:7" x14ac:dyDescent="0.25">
      <c r="A633">
        <v>8174057</v>
      </c>
      <c r="B633" t="s">
        <v>16</v>
      </c>
      <c r="C633">
        <v>26909240</v>
      </c>
      <c r="D633" t="s">
        <v>12</v>
      </c>
      <c r="E633" s="2">
        <v>155475</v>
      </c>
      <c r="F633" s="2">
        <v>60413</v>
      </c>
      <c r="G633">
        <v>61</v>
      </c>
    </row>
    <row r="634" spans="1:7" x14ac:dyDescent="0.25">
      <c r="A634">
        <v>8174057</v>
      </c>
      <c r="B634" t="s">
        <v>16</v>
      </c>
      <c r="C634">
        <v>28215222</v>
      </c>
      <c r="D634" t="s">
        <v>12</v>
      </c>
      <c r="E634" s="2">
        <v>646387</v>
      </c>
      <c r="F634" s="2">
        <v>38822</v>
      </c>
      <c r="G634">
        <v>61</v>
      </c>
    </row>
    <row r="635" spans="1:7" x14ac:dyDescent="0.25">
      <c r="A635">
        <v>8174059</v>
      </c>
      <c r="B635" t="s">
        <v>17</v>
      </c>
      <c r="C635">
        <v>23427410</v>
      </c>
      <c r="D635" t="s">
        <v>7</v>
      </c>
      <c r="E635" s="2">
        <v>2292377</v>
      </c>
      <c r="F635" s="2">
        <v>2607579</v>
      </c>
      <c r="G635">
        <v>61</v>
      </c>
    </row>
    <row r="636" spans="1:7" x14ac:dyDescent="0.25">
      <c r="A636">
        <v>8174167</v>
      </c>
      <c r="B636" t="s">
        <v>18</v>
      </c>
      <c r="C636">
        <v>22474920</v>
      </c>
      <c r="D636" t="s">
        <v>7</v>
      </c>
      <c r="E636" s="2">
        <v>3591487</v>
      </c>
      <c r="F636" s="2">
        <v>451375</v>
      </c>
      <c r="G636">
        <v>61</v>
      </c>
    </row>
    <row r="637" spans="1:7" x14ac:dyDescent="0.25">
      <c r="A637">
        <v>8174228</v>
      </c>
      <c r="B637" t="s">
        <v>17</v>
      </c>
      <c r="C637">
        <v>25119402</v>
      </c>
      <c r="D637" t="s">
        <v>7</v>
      </c>
      <c r="E637" s="2">
        <v>4592090</v>
      </c>
      <c r="F637" s="2">
        <v>300425</v>
      </c>
      <c r="G637">
        <v>121</v>
      </c>
    </row>
    <row r="638" spans="1:7" x14ac:dyDescent="0.25">
      <c r="A638">
        <v>8174723</v>
      </c>
      <c r="B638" t="s">
        <v>17</v>
      </c>
      <c r="C638">
        <v>22647176</v>
      </c>
      <c r="D638" t="s">
        <v>11</v>
      </c>
      <c r="E638" s="2">
        <v>6285963</v>
      </c>
      <c r="F638" s="2">
        <v>1619568</v>
      </c>
      <c r="G638">
        <v>91</v>
      </c>
    </row>
    <row r="639" spans="1:7" x14ac:dyDescent="0.25">
      <c r="A639">
        <v>8174927</v>
      </c>
      <c r="B639" t="s">
        <v>18</v>
      </c>
      <c r="C639">
        <v>25357564</v>
      </c>
      <c r="D639" t="s">
        <v>7</v>
      </c>
      <c r="E639" s="2">
        <v>51749</v>
      </c>
      <c r="F639" s="2">
        <v>19716</v>
      </c>
      <c r="G639">
        <v>61</v>
      </c>
    </row>
    <row r="640" spans="1:7" x14ac:dyDescent="0.25">
      <c r="A640">
        <v>8175117</v>
      </c>
      <c r="B640" t="s">
        <v>18</v>
      </c>
      <c r="C640">
        <v>24163237</v>
      </c>
      <c r="D640" t="s">
        <v>7</v>
      </c>
      <c r="E640" s="2">
        <v>544852</v>
      </c>
      <c r="F640" s="2">
        <v>48528</v>
      </c>
      <c r="G640">
        <v>181</v>
      </c>
    </row>
    <row r="641" spans="1:7" x14ac:dyDescent="0.25">
      <c r="A641">
        <v>8175432</v>
      </c>
      <c r="B641" t="s">
        <v>17</v>
      </c>
      <c r="C641">
        <v>26725384</v>
      </c>
      <c r="D641" t="s">
        <v>7</v>
      </c>
      <c r="E641" s="2">
        <v>796062</v>
      </c>
      <c r="F641" s="2">
        <v>55875</v>
      </c>
      <c r="G641">
        <v>61</v>
      </c>
    </row>
    <row r="642" spans="1:7" x14ac:dyDescent="0.25">
      <c r="A642">
        <v>8175434</v>
      </c>
      <c r="B642" t="s">
        <v>16</v>
      </c>
      <c r="C642">
        <v>22984353</v>
      </c>
      <c r="D642" t="s">
        <v>12</v>
      </c>
      <c r="E642" s="2">
        <v>1409383</v>
      </c>
      <c r="F642" s="2">
        <v>1088545</v>
      </c>
      <c r="G642">
        <v>61</v>
      </c>
    </row>
    <row r="643" spans="1:7" x14ac:dyDescent="0.25">
      <c r="A643">
        <v>8175434</v>
      </c>
      <c r="B643" t="s">
        <v>16</v>
      </c>
      <c r="C643">
        <v>23068002</v>
      </c>
      <c r="D643" t="s">
        <v>12</v>
      </c>
      <c r="E643" s="2">
        <v>1608680</v>
      </c>
      <c r="F643" s="2">
        <v>1153476</v>
      </c>
      <c r="G643">
        <v>61</v>
      </c>
    </row>
    <row r="644" spans="1:7" x14ac:dyDescent="0.25">
      <c r="A644">
        <v>8178293</v>
      </c>
      <c r="B644" t="s">
        <v>18</v>
      </c>
      <c r="C644">
        <v>19935619</v>
      </c>
      <c r="D644" t="s">
        <v>7</v>
      </c>
      <c r="E644" s="2">
        <v>167237</v>
      </c>
      <c r="F644" s="2">
        <v>14567</v>
      </c>
      <c r="G644">
        <v>61</v>
      </c>
    </row>
    <row r="645" spans="1:7" x14ac:dyDescent="0.25">
      <c r="A645">
        <v>8178346</v>
      </c>
      <c r="B645" t="s">
        <v>17</v>
      </c>
      <c r="C645">
        <v>26154252</v>
      </c>
      <c r="D645" t="s">
        <v>7</v>
      </c>
      <c r="E645" s="2">
        <v>1953186</v>
      </c>
      <c r="F645" s="2">
        <v>403716</v>
      </c>
      <c r="G645">
        <v>61</v>
      </c>
    </row>
    <row r="646" spans="1:7" x14ac:dyDescent="0.25">
      <c r="A646">
        <v>8180768</v>
      </c>
      <c r="B646" t="s">
        <v>18</v>
      </c>
      <c r="C646">
        <v>1438298</v>
      </c>
      <c r="D646" t="s">
        <v>7</v>
      </c>
      <c r="E646" s="2">
        <v>1694449</v>
      </c>
      <c r="F646" s="2">
        <v>81599</v>
      </c>
      <c r="G646">
        <v>211</v>
      </c>
    </row>
    <row r="647" spans="1:7" x14ac:dyDescent="0.25">
      <c r="A647">
        <v>8181850</v>
      </c>
      <c r="B647" t="s">
        <v>18</v>
      </c>
      <c r="C647">
        <v>16943512</v>
      </c>
      <c r="D647" t="s">
        <v>7</v>
      </c>
      <c r="E647" s="2">
        <v>2769708</v>
      </c>
      <c r="F647" s="2">
        <v>356551</v>
      </c>
      <c r="G647">
        <v>61</v>
      </c>
    </row>
    <row r="648" spans="1:7" x14ac:dyDescent="0.25">
      <c r="A648">
        <v>8182206</v>
      </c>
      <c r="B648" t="s">
        <v>16</v>
      </c>
      <c r="C648">
        <v>12411571</v>
      </c>
      <c r="D648" t="s">
        <v>7</v>
      </c>
      <c r="E648" s="2">
        <v>4175843</v>
      </c>
      <c r="F648" s="2">
        <v>4750021</v>
      </c>
      <c r="G648">
        <v>61</v>
      </c>
    </row>
    <row r="649" spans="1:7" x14ac:dyDescent="0.25">
      <c r="A649">
        <v>8182206</v>
      </c>
      <c r="B649" t="s">
        <v>16</v>
      </c>
      <c r="C649">
        <v>15355963</v>
      </c>
      <c r="D649" t="s">
        <v>7</v>
      </c>
      <c r="E649" s="2">
        <v>4175553</v>
      </c>
      <c r="F649" s="2">
        <v>4749692</v>
      </c>
      <c r="G649">
        <v>61</v>
      </c>
    </row>
    <row r="650" spans="1:7" x14ac:dyDescent="0.25">
      <c r="A650">
        <v>8182206</v>
      </c>
      <c r="B650" t="s">
        <v>16</v>
      </c>
      <c r="C650">
        <v>15356943</v>
      </c>
      <c r="D650" t="s">
        <v>7</v>
      </c>
      <c r="E650" s="2">
        <v>4316499</v>
      </c>
      <c r="F650" s="2">
        <v>4910018</v>
      </c>
      <c r="G650">
        <v>121</v>
      </c>
    </row>
    <row r="651" spans="1:7" x14ac:dyDescent="0.25">
      <c r="A651">
        <v>8182453</v>
      </c>
      <c r="B651" t="s">
        <v>16</v>
      </c>
      <c r="C651">
        <v>15475872</v>
      </c>
      <c r="D651" t="s">
        <v>7</v>
      </c>
      <c r="E651" s="2">
        <v>4436887</v>
      </c>
      <c r="F651" s="2">
        <v>513749</v>
      </c>
      <c r="G651">
        <v>61</v>
      </c>
    </row>
    <row r="652" spans="1:7" x14ac:dyDescent="0.25">
      <c r="A652">
        <v>8183550</v>
      </c>
      <c r="B652" t="s">
        <v>18</v>
      </c>
      <c r="C652">
        <v>25922154</v>
      </c>
      <c r="D652" t="s">
        <v>7</v>
      </c>
      <c r="E652" s="2">
        <v>657161</v>
      </c>
      <c r="F652" s="2">
        <v>91498</v>
      </c>
      <c r="G652">
        <v>61</v>
      </c>
    </row>
    <row r="653" spans="1:7" x14ac:dyDescent="0.25">
      <c r="A653">
        <v>8183593</v>
      </c>
      <c r="B653" t="s">
        <v>17</v>
      </c>
      <c r="C653">
        <v>3487537</v>
      </c>
      <c r="D653" t="s">
        <v>7</v>
      </c>
      <c r="E653" s="2">
        <v>1994602</v>
      </c>
      <c r="F653" s="2">
        <v>2268860</v>
      </c>
      <c r="G653">
        <v>61</v>
      </c>
    </row>
    <row r="654" spans="1:7" x14ac:dyDescent="0.25">
      <c r="A654">
        <v>8183881</v>
      </c>
      <c r="B654" t="s">
        <v>18</v>
      </c>
      <c r="C654">
        <v>25846725</v>
      </c>
      <c r="D654" t="s">
        <v>7</v>
      </c>
      <c r="E654" s="2">
        <v>901523</v>
      </c>
      <c r="F654" s="2">
        <v>1025482</v>
      </c>
      <c r="G654">
        <v>61</v>
      </c>
    </row>
    <row r="655" spans="1:7" x14ac:dyDescent="0.25">
      <c r="A655">
        <v>8184628</v>
      </c>
      <c r="B655" t="s">
        <v>18</v>
      </c>
      <c r="C655">
        <v>24982681</v>
      </c>
      <c r="D655" t="s">
        <v>7</v>
      </c>
      <c r="E655" s="2">
        <v>895013</v>
      </c>
      <c r="F655" s="2">
        <v>113865</v>
      </c>
      <c r="G655">
        <v>61</v>
      </c>
    </row>
    <row r="656" spans="1:7" x14ac:dyDescent="0.25">
      <c r="A656">
        <v>8184854</v>
      </c>
      <c r="B656" t="s">
        <v>16</v>
      </c>
      <c r="C656">
        <v>22156065</v>
      </c>
      <c r="D656" t="s">
        <v>7</v>
      </c>
      <c r="E656" s="2">
        <v>1997451</v>
      </c>
      <c r="F656" s="2">
        <v>2272100</v>
      </c>
      <c r="G656">
        <v>61</v>
      </c>
    </row>
    <row r="657" spans="1:7" x14ac:dyDescent="0.25">
      <c r="A657">
        <v>8187231</v>
      </c>
      <c r="B657" t="s">
        <v>18</v>
      </c>
      <c r="C657">
        <v>28056854</v>
      </c>
      <c r="D657" t="s">
        <v>7</v>
      </c>
      <c r="E657" s="2">
        <v>1070723</v>
      </c>
      <c r="F657" s="2">
        <v>155692</v>
      </c>
      <c r="G657">
        <v>61</v>
      </c>
    </row>
    <row r="658" spans="1:7" x14ac:dyDescent="0.25">
      <c r="A658">
        <v>8187734</v>
      </c>
      <c r="B658" t="s">
        <v>18</v>
      </c>
      <c r="C658">
        <v>10938673</v>
      </c>
      <c r="D658" t="s">
        <v>7</v>
      </c>
      <c r="E658" s="2">
        <v>515044</v>
      </c>
      <c r="F658" s="2">
        <v>80085</v>
      </c>
      <c r="G658">
        <v>61</v>
      </c>
    </row>
    <row r="659" spans="1:7" x14ac:dyDescent="0.25">
      <c r="A659">
        <v>8188190</v>
      </c>
      <c r="B659" t="s">
        <v>16</v>
      </c>
      <c r="C659">
        <v>23063678</v>
      </c>
      <c r="D659" t="s">
        <v>7</v>
      </c>
      <c r="E659" s="2">
        <v>1541746</v>
      </c>
      <c r="F659" s="2">
        <v>175160</v>
      </c>
      <c r="G659">
        <v>121</v>
      </c>
    </row>
    <row r="660" spans="1:7" x14ac:dyDescent="0.25">
      <c r="A660">
        <v>8188190</v>
      </c>
      <c r="B660" t="s">
        <v>16</v>
      </c>
      <c r="C660">
        <v>23064775</v>
      </c>
      <c r="D660" t="s">
        <v>7</v>
      </c>
      <c r="E660" s="2">
        <v>3247338</v>
      </c>
      <c r="F660" s="2">
        <v>557137</v>
      </c>
      <c r="G660">
        <v>61</v>
      </c>
    </row>
    <row r="661" spans="1:7" x14ac:dyDescent="0.25">
      <c r="A661">
        <v>8188778</v>
      </c>
      <c r="B661" t="s">
        <v>17</v>
      </c>
      <c r="C661">
        <v>24100840</v>
      </c>
      <c r="D661" t="s">
        <v>7</v>
      </c>
      <c r="E661" s="2">
        <v>798969</v>
      </c>
      <c r="F661" s="2">
        <v>283675</v>
      </c>
      <c r="G661">
        <v>121</v>
      </c>
    </row>
    <row r="662" spans="1:7" x14ac:dyDescent="0.25">
      <c r="A662">
        <v>8188778</v>
      </c>
      <c r="B662" t="s">
        <v>17</v>
      </c>
      <c r="C662">
        <v>24359949</v>
      </c>
      <c r="D662" t="s">
        <v>7</v>
      </c>
      <c r="E662" s="2">
        <v>3265569</v>
      </c>
      <c r="F662" s="2">
        <v>1184221</v>
      </c>
      <c r="G662">
        <v>121</v>
      </c>
    </row>
    <row r="663" spans="1:7" x14ac:dyDescent="0.25">
      <c r="A663">
        <v>8188922</v>
      </c>
      <c r="B663" t="s">
        <v>16</v>
      </c>
      <c r="C663">
        <v>25278013</v>
      </c>
      <c r="D663" t="s">
        <v>7</v>
      </c>
      <c r="E663" s="2">
        <v>1846307</v>
      </c>
      <c r="F663" s="2">
        <v>1245483</v>
      </c>
      <c r="G663">
        <v>61</v>
      </c>
    </row>
    <row r="664" spans="1:7" x14ac:dyDescent="0.25">
      <c r="A664">
        <v>8188922</v>
      </c>
      <c r="B664" t="s">
        <v>16</v>
      </c>
      <c r="C664">
        <v>25291355</v>
      </c>
      <c r="D664" t="s">
        <v>7</v>
      </c>
      <c r="E664" s="2">
        <v>2710021</v>
      </c>
      <c r="F664" s="2">
        <v>1744432</v>
      </c>
      <c r="G664">
        <v>61</v>
      </c>
    </row>
    <row r="665" spans="1:7" x14ac:dyDescent="0.25">
      <c r="A665">
        <v>8241793</v>
      </c>
      <c r="B665" t="s">
        <v>18</v>
      </c>
      <c r="C665">
        <v>27398392</v>
      </c>
      <c r="D665" t="s">
        <v>7</v>
      </c>
      <c r="E665" s="2">
        <v>885663</v>
      </c>
      <c r="F665" s="2">
        <v>110538</v>
      </c>
      <c r="G665">
        <v>61</v>
      </c>
    </row>
    <row r="666" spans="1:7" x14ac:dyDescent="0.25">
      <c r="A666">
        <v>8250710</v>
      </c>
      <c r="B666" t="s">
        <v>18</v>
      </c>
      <c r="C666">
        <v>27049625</v>
      </c>
      <c r="D666" t="s">
        <v>7</v>
      </c>
      <c r="E666" s="2">
        <v>1262222</v>
      </c>
      <c r="F666" s="2">
        <v>147013</v>
      </c>
      <c r="G666">
        <v>91</v>
      </c>
    </row>
    <row r="667" spans="1:7" x14ac:dyDescent="0.25">
      <c r="A667">
        <v>8250963</v>
      </c>
      <c r="B667" t="s">
        <v>18</v>
      </c>
      <c r="C667">
        <v>27064250</v>
      </c>
      <c r="D667" t="s">
        <v>7</v>
      </c>
      <c r="E667" s="2">
        <v>339108</v>
      </c>
      <c r="F667" s="2">
        <v>11529</v>
      </c>
      <c r="G667">
        <v>61</v>
      </c>
    </row>
    <row r="668" spans="1:7" x14ac:dyDescent="0.25">
      <c r="A668">
        <v>8251177</v>
      </c>
      <c r="B668" t="s">
        <v>18</v>
      </c>
      <c r="C668">
        <v>21128914</v>
      </c>
      <c r="D668" t="s">
        <v>7</v>
      </c>
      <c r="E668" s="2">
        <v>863445</v>
      </c>
      <c r="F668" s="2">
        <v>982169</v>
      </c>
      <c r="G668">
        <v>61</v>
      </c>
    </row>
    <row r="669" spans="1:7" x14ac:dyDescent="0.25">
      <c r="A669">
        <v>8259541</v>
      </c>
      <c r="B669" t="s">
        <v>18</v>
      </c>
      <c r="C669">
        <v>25529977</v>
      </c>
      <c r="D669" t="s">
        <v>7</v>
      </c>
      <c r="E669" s="2">
        <v>468762</v>
      </c>
      <c r="F669" s="2">
        <v>6040</v>
      </c>
      <c r="G669">
        <v>61</v>
      </c>
    </row>
    <row r="670" spans="1:7" x14ac:dyDescent="0.25">
      <c r="A670">
        <v>8259892</v>
      </c>
      <c r="B670" t="s">
        <v>17</v>
      </c>
      <c r="C670">
        <v>27130647</v>
      </c>
      <c r="D670" t="s">
        <v>7</v>
      </c>
      <c r="E670" s="2">
        <v>1671804</v>
      </c>
      <c r="F670" s="2">
        <v>7024</v>
      </c>
      <c r="G670">
        <v>61</v>
      </c>
    </row>
    <row r="671" spans="1:7" x14ac:dyDescent="0.25">
      <c r="A671">
        <v>8259910</v>
      </c>
      <c r="B671" t="s">
        <v>18</v>
      </c>
      <c r="C671">
        <v>25711831</v>
      </c>
      <c r="D671" t="s">
        <v>7</v>
      </c>
      <c r="E671" s="2">
        <v>832491</v>
      </c>
      <c r="F671" s="2">
        <v>170212</v>
      </c>
      <c r="G671">
        <v>181</v>
      </c>
    </row>
    <row r="672" spans="1:7" x14ac:dyDescent="0.25">
      <c r="A672">
        <v>8260078</v>
      </c>
      <c r="B672" t="s">
        <v>17</v>
      </c>
      <c r="C672">
        <v>21721963</v>
      </c>
      <c r="D672" t="s">
        <v>7</v>
      </c>
      <c r="E672" s="2">
        <v>1083306</v>
      </c>
      <c r="F672" s="2">
        <v>236792</v>
      </c>
      <c r="G672">
        <v>61</v>
      </c>
    </row>
    <row r="673" spans="1:7" x14ac:dyDescent="0.25">
      <c r="A673">
        <v>8260078</v>
      </c>
      <c r="B673" t="s">
        <v>17</v>
      </c>
      <c r="C673">
        <v>21777819</v>
      </c>
      <c r="D673" t="s">
        <v>11</v>
      </c>
      <c r="E673" s="2">
        <v>6076017</v>
      </c>
      <c r="F673" s="2">
        <v>306634</v>
      </c>
      <c r="G673">
        <v>61</v>
      </c>
    </row>
    <row r="674" spans="1:7" x14ac:dyDescent="0.25">
      <c r="A674">
        <v>8260578</v>
      </c>
      <c r="B674" t="s">
        <v>18</v>
      </c>
      <c r="C674">
        <v>27404616</v>
      </c>
      <c r="D674" t="s">
        <v>7</v>
      </c>
      <c r="E674" s="2">
        <v>490034</v>
      </c>
      <c r="F674" s="2">
        <v>36010</v>
      </c>
      <c r="G674">
        <v>181</v>
      </c>
    </row>
    <row r="675" spans="1:7" x14ac:dyDescent="0.25">
      <c r="A675">
        <v>8260654</v>
      </c>
      <c r="B675" t="s">
        <v>17</v>
      </c>
      <c r="C675">
        <v>25058357</v>
      </c>
      <c r="D675" t="s">
        <v>7</v>
      </c>
      <c r="E675" s="2">
        <v>3164070</v>
      </c>
      <c r="F675" s="2">
        <v>420207</v>
      </c>
      <c r="G675">
        <v>121</v>
      </c>
    </row>
    <row r="676" spans="1:7" x14ac:dyDescent="0.25">
      <c r="A676">
        <v>8260684</v>
      </c>
      <c r="B676" t="s">
        <v>16</v>
      </c>
      <c r="C676">
        <v>26369715</v>
      </c>
      <c r="D676" t="s">
        <v>7</v>
      </c>
      <c r="E676" s="2">
        <v>4248015</v>
      </c>
      <c r="F676" s="2">
        <v>1149668</v>
      </c>
      <c r="G676">
        <v>61</v>
      </c>
    </row>
    <row r="677" spans="1:7" x14ac:dyDescent="0.25">
      <c r="A677">
        <v>8260684</v>
      </c>
      <c r="B677" t="s">
        <v>16</v>
      </c>
      <c r="C677">
        <v>27853647</v>
      </c>
      <c r="D677" t="s">
        <v>12</v>
      </c>
      <c r="E677" s="2">
        <v>4205233</v>
      </c>
      <c r="F677" s="2">
        <v>551701</v>
      </c>
      <c r="G677">
        <v>60</v>
      </c>
    </row>
    <row r="678" spans="1:7" x14ac:dyDescent="0.25">
      <c r="A678">
        <v>8260923</v>
      </c>
      <c r="B678" t="s">
        <v>18</v>
      </c>
      <c r="C678">
        <v>23216432</v>
      </c>
      <c r="D678" t="s">
        <v>9</v>
      </c>
      <c r="E678" s="2">
        <v>471920</v>
      </c>
      <c r="F678" s="2">
        <v>71830</v>
      </c>
      <c r="G678">
        <v>151</v>
      </c>
    </row>
    <row r="679" spans="1:7" x14ac:dyDescent="0.25">
      <c r="A679">
        <v>8261115</v>
      </c>
      <c r="B679" t="s">
        <v>17</v>
      </c>
      <c r="C679">
        <v>25119832</v>
      </c>
      <c r="D679" t="s">
        <v>7</v>
      </c>
      <c r="E679" s="2">
        <v>1161200</v>
      </c>
      <c r="F679" s="2">
        <v>317546</v>
      </c>
      <c r="G679">
        <v>391</v>
      </c>
    </row>
    <row r="680" spans="1:7" x14ac:dyDescent="0.25">
      <c r="A680">
        <v>8261154</v>
      </c>
      <c r="B680" t="s">
        <v>16</v>
      </c>
      <c r="C680">
        <v>14966446</v>
      </c>
      <c r="D680" t="s">
        <v>7</v>
      </c>
      <c r="E680" s="2">
        <v>1460737</v>
      </c>
      <c r="F680" s="2">
        <v>95288</v>
      </c>
      <c r="G680">
        <v>91</v>
      </c>
    </row>
    <row r="681" spans="1:7" x14ac:dyDescent="0.25">
      <c r="A681">
        <v>8261236</v>
      </c>
      <c r="B681" t="s">
        <v>17</v>
      </c>
      <c r="C681">
        <v>9671809</v>
      </c>
      <c r="D681" t="s">
        <v>10</v>
      </c>
      <c r="E681" s="2">
        <v>610404</v>
      </c>
      <c r="F681" s="2">
        <v>694334</v>
      </c>
      <c r="G681">
        <v>61</v>
      </c>
    </row>
    <row r="682" spans="1:7" x14ac:dyDescent="0.25">
      <c r="A682">
        <v>8261236</v>
      </c>
      <c r="B682" t="s">
        <v>17</v>
      </c>
      <c r="C682">
        <v>9845561</v>
      </c>
      <c r="D682" t="s">
        <v>7</v>
      </c>
      <c r="E682" s="2">
        <v>4197952</v>
      </c>
      <c r="F682" s="2">
        <v>539427</v>
      </c>
      <c r="G682">
        <v>61</v>
      </c>
    </row>
    <row r="683" spans="1:7" x14ac:dyDescent="0.25">
      <c r="A683">
        <v>8261363</v>
      </c>
      <c r="B683" t="s">
        <v>18</v>
      </c>
      <c r="C683">
        <v>26328981</v>
      </c>
      <c r="D683" t="s">
        <v>7</v>
      </c>
      <c r="E683" s="2">
        <v>981946</v>
      </c>
      <c r="F683" s="2">
        <v>1116964</v>
      </c>
      <c r="G683">
        <v>61</v>
      </c>
    </row>
    <row r="684" spans="1:7" x14ac:dyDescent="0.25">
      <c r="A684">
        <v>8261363</v>
      </c>
      <c r="B684" t="s">
        <v>18</v>
      </c>
      <c r="C684">
        <v>26330652</v>
      </c>
      <c r="D684" t="s">
        <v>7</v>
      </c>
      <c r="E684" s="2">
        <v>1030120</v>
      </c>
      <c r="F684" s="2">
        <v>1171761</v>
      </c>
      <c r="G684">
        <v>61</v>
      </c>
    </row>
    <row r="685" spans="1:7" x14ac:dyDescent="0.25">
      <c r="A685">
        <v>8261433</v>
      </c>
      <c r="B685" t="s">
        <v>16</v>
      </c>
      <c r="C685">
        <v>23672387</v>
      </c>
      <c r="D685" t="s">
        <v>7</v>
      </c>
      <c r="E685" s="2">
        <v>2297276</v>
      </c>
      <c r="F685" s="2">
        <v>143276</v>
      </c>
      <c r="G685">
        <v>61</v>
      </c>
    </row>
    <row r="686" spans="1:7" x14ac:dyDescent="0.25">
      <c r="A686">
        <v>8261458</v>
      </c>
      <c r="B686" t="s">
        <v>18</v>
      </c>
      <c r="C686">
        <v>28570206</v>
      </c>
      <c r="D686" t="s">
        <v>7</v>
      </c>
      <c r="E686" s="2">
        <v>514607</v>
      </c>
      <c r="F686" s="2">
        <v>25138</v>
      </c>
      <c r="G686">
        <v>121</v>
      </c>
    </row>
    <row r="687" spans="1:7" x14ac:dyDescent="0.25">
      <c r="A687">
        <v>8261570</v>
      </c>
      <c r="B687" t="s">
        <v>16</v>
      </c>
      <c r="C687">
        <v>25379962</v>
      </c>
      <c r="D687" t="s">
        <v>9</v>
      </c>
      <c r="E687" s="2">
        <v>15343176</v>
      </c>
      <c r="F687" s="2">
        <v>313538</v>
      </c>
      <c r="G687">
        <v>61</v>
      </c>
    </row>
    <row r="688" spans="1:7" x14ac:dyDescent="0.25">
      <c r="A688">
        <v>8261866</v>
      </c>
      <c r="B688" t="s">
        <v>18</v>
      </c>
      <c r="C688">
        <v>25129407</v>
      </c>
      <c r="D688" t="s">
        <v>7</v>
      </c>
      <c r="E688" s="2">
        <v>632515</v>
      </c>
      <c r="F688" s="2">
        <v>232136</v>
      </c>
      <c r="G688">
        <v>61</v>
      </c>
    </row>
    <row r="689" spans="1:7" x14ac:dyDescent="0.25">
      <c r="A689">
        <v>8261875</v>
      </c>
      <c r="B689" t="s">
        <v>17</v>
      </c>
      <c r="C689">
        <v>25550442</v>
      </c>
      <c r="D689" t="s">
        <v>7</v>
      </c>
      <c r="E689" s="2">
        <v>1548467</v>
      </c>
      <c r="F689" s="2">
        <v>178361</v>
      </c>
      <c r="G689">
        <v>61</v>
      </c>
    </row>
    <row r="690" spans="1:7" x14ac:dyDescent="0.25">
      <c r="A690">
        <v>8261875</v>
      </c>
      <c r="B690" t="s">
        <v>17</v>
      </c>
      <c r="C690">
        <v>25550928</v>
      </c>
      <c r="D690" t="s">
        <v>7</v>
      </c>
      <c r="E690" s="2">
        <v>1710085</v>
      </c>
      <c r="F690" s="2">
        <v>433848</v>
      </c>
      <c r="G690">
        <v>151</v>
      </c>
    </row>
    <row r="691" spans="1:7" x14ac:dyDescent="0.25">
      <c r="A691">
        <v>8262049</v>
      </c>
      <c r="B691" t="s">
        <v>18</v>
      </c>
      <c r="C691">
        <v>25202484</v>
      </c>
      <c r="D691" t="s">
        <v>7</v>
      </c>
      <c r="E691" s="2">
        <v>210273</v>
      </c>
      <c r="F691" s="2">
        <v>119528</v>
      </c>
      <c r="G691">
        <v>141</v>
      </c>
    </row>
    <row r="692" spans="1:7" x14ac:dyDescent="0.25">
      <c r="A692">
        <v>8262593</v>
      </c>
      <c r="B692" t="s">
        <v>17</v>
      </c>
      <c r="C692">
        <v>27011869</v>
      </c>
      <c r="D692" t="s">
        <v>7</v>
      </c>
      <c r="E692" s="2">
        <v>2513546</v>
      </c>
      <c r="F692" s="2">
        <v>221796</v>
      </c>
      <c r="G692">
        <v>91</v>
      </c>
    </row>
    <row r="693" spans="1:7" x14ac:dyDescent="0.25">
      <c r="A693">
        <v>8262593</v>
      </c>
      <c r="B693" t="s">
        <v>17</v>
      </c>
      <c r="C693">
        <v>27012894</v>
      </c>
      <c r="D693" t="s">
        <v>7</v>
      </c>
      <c r="E693" s="2">
        <v>2551256</v>
      </c>
      <c r="F693" s="2">
        <v>264691</v>
      </c>
      <c r="G693">
        <v>61</v>
      </c>
    </row>
    <row r="694" spans="1:7" x14ac:dyDescent="0.25">
      <c r="A694">
        <v>8262993</v>
      </c>
      <c r="B694" t="s">
        <v>18</v>
      </c>
      <c r="C694">
        <v>21194113</v>
      </c>
      <c r="D694" t="s">
        <v>7</v>
      </c>
      <c r="E694" s="2">
        <v>2645596</v>
      </c>
      <c r="F694" s="2">
        <v>154613</v>
      </c>
      <c r="G694">
        <v>91</v>
      </c>
    </row>
    <row r="695" spans="1:7" x14ac:dyDescent="0.25">
      <c r="A695">
        <v>8263516</v>
      </c>
      <c r="B695" t="s">
        <v>18</v>
      </c>
      <c r="C695">
        <v>15578869</v>
      </c>
      <c r="D695" t="s">
        <v>7</v>
      </c>
      <c r="E695" s="2">
        <v>878466</v>
      </c>
      <c r="F695" s="2">
        <v>193225</v>
      </c>
      <c r="G695">
        <v>91</v>
      </c>
    </row>
    <row r="696" spans="1:7" x14ac:dyDescent="0.25">
      <c r="A696">
        <v>8263672</v>
      </c>
      <c r="B696" t="s">
        <v>17</v>
      </c>
      <c r="C696">
        <v>15202553</v>
      </c>
      <c r="D696" t="s">
        <v>7</v>
      </c>
      <c r="E696" s="2">
        <v>529937</v>
      </c>
      <c r="F696" s="2">
        <v>8120</v>
      </c>
      <c r="G696">
        <v>121</v>
      </c>
    </row>
    <row r="697" spans="1:7" x14ac:dyDescent="0.25">
      <c r="A697">
        <v>8263683</v>
      </c>
      <c r="B697" t="s">
        <v>17</v>
      </c>
      <c r="C697">
        <v>25096884</v>
      </c>
      <c r="D697" t="s">
        <v>7</v>
      </c>
      <c r="E697" s="2">
        <v>2813764</v>
      </c>
      <c r="F697" s="2">
        <v>120258</v>
      </c>
      <c r="G697">
        <v>91</v>
      </c>
    </row>
    <row r="698" spans="1:7" x14ac:dyDescent="0.25">
      <c r="A698">
        <v>8263683</v>
      </c>
      <c r="B698" t="s">
        <v>17</v>
      </c>
      <c r="C698">
        <v>25097831</v>
      </c>
      <c r="D698" t="s">
        <v>7</v>
      </c>
      <c r="E698" s="2">
        <v>3334574</v>
      </c>
      <c r="F698" s="2">
        <v>132763</v>
      </c>
      <c r="G698">
        <v>91</v>
      </c>
    </row>
    <row r="699" spans="1:7" x14ac:dyDescent="0.25">
      <c r="A699">
        <v>8290119</v>
      </c>
      <c r="B699" t="s">
        <v>16</v>
      </c>
      <c r="C699">
        <v>25238974</v>
      </c>
      <c r="D699" t="s">
        <v>7</v>
      </c>
      <c r="E699" s="2">
        <v>453729</v>
      </c>
      <c r="F699" s="2">
        <v>516117</v>
      </c>
      <c r="G699">
        <v>61</v>
      </c>
    </row>
    <row r="700" spans="1:7" x14ac:dyDescent="0.25">
      <c r="A700">
        <v>8290119</v>
      </c>
      <c r="B700" t="s">
        <v>16</v>
      </c>
      <c r="C700">
        <v>26623589</v>
      </c>
      <c r="D700" t="s">
        <v>9</v>
      </c>
      <c r="E700" s="2">
        <v>8033433</v>
      </c>
      <c r="F700" s="2">
        <v>658260</v>
      </c>
      <c r="G700">
        <v>61</v>
      </c>
    </row>
    <row r="701" spans="1:7" x14ac:dyDescent="0.25">
      <c r="A701">
        <v>8290233</v>
      </c>
      <c r="B701" t="s">
        <v>18</v>
      </c>
      <c r="C701">
        <v>4571968</v>
      </c>
      <c r="D701" t="s">
        <v>7</v>
      </c>
      <c r="E701" s="2">
        <v>952238</v>
      </c>
      <c r="F701" s="2">
        <v>1083171</v>
      </c>
      <c r="G701">
        <v>121</v>
      </c>
    </row>
    <row r="702" spans="1:7" x14ac:dyDescent="0.25">
      <c r="A702">
        <v>8290480</v>
      </c>
      <c r="B702" t="s">
        <v>17</v>
      </c>
      <c r="C702">
        <v>28310909</v>
      </c>
      <c r="D702" t="s">
        <v>13</v>
      </c>
      <c r="E702" s="2">
        <v>8280629</v>
      </c>
      <c r="F702" s="2">
        <v>221115</v>
      </c>
      <c r="G702">
        <v>91</v>
      </c>
    </row>
    <row r="703" spans="1:7" x14ac:dyDescent="0.25">
      <c r="A703">
        <v>8290588</v>
      </c>
      <c r="B703" t="s">
        <v>18</v>
      </c>
      <c r="C703">
        <v>28040498</v>
      </c>
      <c r="D703" t="s">
        <v>7</v>
      </c>
      <c r="E703" s="2">
        <v>1502744</v>
      </c>
      <c r="F703" s="2">
        <v>67876</v>
      </c>
      <c r="G703">
        <v>61</v>
      </c>
    </row>
    <row r="704" spans="1:7" x14ac:dyDescent="0.25">
      <c r="A704">
        <v>8290882</v>
      </c>
      <c r="B704" t="s">
        <v>17</v>
      </c>
      <c r="C704">
        <v>24187730</v>
      </c>
      <c r="D704" t="s">
        <v>7</v>
      </c>
      <c r="E704" s="2">
        <v>937639</v>
      </c>
      <c r="F704" s="2">
        <v>106457</v>
      </c>
      <c r="G704">
        <v>61</v>
      </c>
    </row>
    <row r="705" spans="1:7" x14ac:dyDescent="0.25">
      <c r="A705">
        <v>8291182</v>
      </c>
      <c r="B705" t="s">
        <v>18</v>
      </c>
      <c r="C705">
        <v>27917878</v>
      </c>
      <c r="D705" t="s">
        <v>7</v>
      </c>
      <c r="E705" s="2">
        <v>3247475</v>
      </c>
      <c r="F705" s="2">
        <v>1972390</v>
      </c>
      <c r="G705">
        <v>61</v>
      </c>
    </row>
    <row r="706" spans="1:7" x14ac:dyDescent="0.25">
      <c r="A706">
        <v>8291274</v>
      </c>
      <c r="B706" t="s">
        <v>18</v>
      </c>
      <c r="C706">
        <v>22367717</v>
      </c>
      <c r="D706" t="s">
        <v>7</v>
      </c>
      <c r="E706" s="2">
        <v>1069331</v>
      </c>
      <c r="F706" s="2">
        <v>257893</v>
      </c>
      <c r="G706">
        <v>61</v>
      </c>
    </row>
    <row r="707" spans="1:7" x14ac:dyDescent="0.25">
      <c r="A707">
        <v>8291401</v>
      </c>
      <c r="B707" t="s">
        <v>16</v>
      </c>
      <c r="C707">
        <v>27785613</v>
      </c>
      <c r="D707" t="s">
        <v>13</v>
      </c>
      <c r="E707" s="2">
        <v>4872084</v>
      </c>
      <c r="F707" s="2">
        <v>291298</v>
      </c>
      <c r="G707">
        <v>121</v>
      </c>
    </row>
    <row r="708" spans="1:7" x14ac:dyDescent="0.25">
      <c r="A708">
        <v>8291427</v>
      </c>
      <c r="B708" t="s">
        <v>18</v>
      </c>
      <c r="C708">
        <v>22621938</v>
      </c>
      <c r="D708" t="s">
        <v>7</v>
      </c>
      <c r="E708" s="2">
        <v>1498811</v>
      </c>
      <c r="F708" s="2">
        <v>15612</v>
      </c>
      <c r="G708">
        <v>211</v>
      </c>
    </row>
    <row r="709" spans="1:7" x14ac:dyDescent="0.25">
      <c r="A709">
        <v>8291631</v>
      </c>
      <c r="B709" t="s">
        <v>17</v>
      </c>
      <c r="C709">
        <v>25284857</v>
      </c>
      <c r="D709" t="s">
        <v>7</v>
      </c>
      <c r="E709" s="2">
        <v>3937269</v>
      </c>
      <c r="F709" s="2">
        <v>7806</v>
      </c>
      <c r="G709">
        <v>91</v>
      </c>
    </row>
    <row r="710" spans="1:7" x14ac:dyDescent="0.25">
      <c r="A710">
        <v>8291662</v>
      </c>
      <c r="B710" t="s">
        <v>17</v>
      </c>
      <c r="C710">
        <v>27245072</v>
      </c>
      <c r="D710" t="s">
        <v>7</v>
      </c>
      <c r="E710" s="2">
        <v>4770315</v>
      </c>
      <c r="F710" s="2">
        <v>176202</v>
      </c>
      <c r="G710">
        <v>61</v>
      </c>
    </row>
    <row r="711" spans="1:7" x14ac:dyDescent="0.25">
      <c r="A711">
        <v>8291695</v>
      </c>
      <c r="B711" t="s">
        <v>18</v>
      </c>
      <c r="C711">
        <v>23721045</v>
      </c>
      <c r="D711" t="s">
        <v>7</v>
      </c>
      <c r="E711" s="2">
        <v>454469</v>
      </c>
      <c r="F711" s="2">
        <v>51494</v>
      </c>
      <c r="G711">
        <v>61</v>
      </c>
    </row>
    <row r="712" spans="1:7" x14ac:dyDescent="0.25">
      <c r="A712">
        <v>8291734</v>
      </c>
      <c r="B712" t="s">
        <v>18</v>
      </c>
      <c r="C712">
        <v>26115306</v>
      </c>
      <c r="D712" t="s">
        <v>7</v>
      </c>
      <c r="E712" s="2">
        <v>4497330</v>
      </c>
      <c r="F712" s="2">
        <v>42558</v>
      </c>
      <c r="G712">
        <v>181</v>
      </c>
    </row>
    <row r="713" spans="1:7" x14ac:dyDescent="0.25">
      <c r="A713">
        <v>8291785</v>
      </c>
      <c r="B713" t="s">
        <v>18</v>
      </c>
      <c r="C713">
        <v>22084852</v>
      </c>
      <c r="D713" t="s">
        <v>7</v>
      </c>
      <c r="E713" s="2">
        <v>768480</v>
      </c>
      <c r="F713" s="2">
        <v>874146</v>
      </c>
      <c r="G713">
        <v>61</v>
      </c>
    </row>
    <row r="714" spans="1:7" x14ac:dyDescent="0.25">
      <c r="A714">
        <v>8291961</v>
      </c>
      <c r="B714" t="s">
        <v>17</v>
      </c>
      <c r="C714">
        <v>24906889</v>
      </c>
      <c r="D714" t="s">
        <v>7</v>
      </c>
      <c r="E714" s="2">
        <v>3862039</v>
      </c>
      <c r="F714" s="2">
        <v>4393069</v>
      </c>
      <c r="G714">
        <v>47</v>
      </c>
    </row>
    <row r="715" spans="1:7" x14ac:dyDescent="0.25">
      <c r="A715">
        <v>8292187</v>
      </c>
      <c r="B715" t="s">
        <v>17</v>
      </c>
      <c r="C715">
        <v>27136580</v>
      </c>
      <c r="D715" t="s">
        <v>7</v>
      </c>
      <c r="E715" s="2">
        <v>1170370</v>
      </c>
      <c r="F715" s="2">
        <v>509640</v>
      </c>
      <c r="G715">
        <v>61</v>
      </c>
    </row>
    <row r="716" spans="1:7" x14ac:dyDescent="0.25">
      <c r="A716">
        <v>8292203</v>
      </c>
      <c r="B716" t="s">
        <v>17</v>
      </c>
      <c r="C716">
        <v>26723896</v>
      </c>
      <c r="D716" t="s">
        <v>7</v>
      </c>
      <c r="E716" s="2">
        <v>2325684</v>
      </c>
      <c r="F716" s="2">
        <v>2645465</v>
      </c>
      <c r="G716">
        <v>61</v>
      </c>
    </row>
    <row r="717" spans="1:7" x14ac:dyDescent="0.25">
      <c r="A717">
        <v>8292203</v>
      </c>
      <c r="B717" t="s">
        <v>17</v>
      </c>
      <c r="C717">
        <v>26725887</v>
      </c>
      <c r="D717" t="s">
        <v>7</v>
      </c>
      <c r="E717" s="2">
        <v>2097802</v>
      </c>
      <c r="F717" s="2">
        <v>2386250</v>
      </c>
      <c r="G717">
        <v>391</v>
      </c>
    </row>
    <row r="718" spans="1:7" x14ac:dyDescent="0.25">
      <c r="A718">
        <v>8292341</v>
      </c>
      <c r="B718" t="s">
        <v>18</v>
      </c>
      <c r="C718">
        <v>22512363</v>
      </c>
      <c r="D718" t="s">
        <v>9</v>
      </c>
      <c r="E718" s="2">
        <v>602484</v>
      </c>
      <c r="F718" s="2">
        <v>84127</v>
      </c>
      <c r="G718">
        <v>61</v>
      </c>
    </row>
    <row r="719" spans="1:7" x14ac:dyDescent="0.25">
      <c r="A719">
        <v>8292341</v>
      </c>
      <c r="B719" t="s">
        <v>18</v>
      </c>
      <c r="C719">
        <v>23583782</v>
      </c>
      <c r="D719" t="s">
        <v>7</v>
      </c>
      <c r="E719" s="2">
        <v>1274148</v>
      </c>
      <c r="F719" s="2">
        <v>214707</v>
      </c>
      <c r="G719">
        <v>114</v>
      </c>
    </row>
    <row r="720" spans="1:7" x14ac:dyDescent="0.25">
      <c r="A720">
        <v>8292460</v>
      </c>
      <c r="B720" t="s">
        <v>16</v>
      </c>
      <c r="C720">
        <v>26370820</v>
      </c>
      <c r="D720" t="s">
        <v>7</v>
      </c>
      <c r="E720" s="2">
        <v>2772802</v>
      </c>
      <c r="F720" s="2">
        <v>315806</v>
      </c>
      <c r="G720">
        <v>61</v>
      </c>
    </row>
    <row r="721" spans="1:7" x14ac:dyDescent="0.25">
      <c r="A721">
        <v>8292688</v>
      </c>
      <c r="B721" t="s">
        <v>18</v>
      </c>
      <c r="C721">
        <v>21904033</v>
      </c>
      <c r="D721" t="s">
        <v>7</v>
      </c>
      <c r="E721" s="2">
        <v>946950</v>
      </c>
      <c r="F721" s="2">
        <v>53698</v>
      </c>
      <c r="G721">
        <v>211</v>
      </c>
    </row>
    <row r="722" spans="1:7" x14ac:dyDescent="0.25">
      <c r="A722">
        <v>8292689</v>
      </c>
      <c r="B722" t="s">
        <v>18</v>
      </c>
      <c r="C722">
        <v>27077359</v>
      </c>
      <c r="D722" t="s">
        <v>7</v>
      </c>
      <c r="E722" s="2">
        <v>489974</v>
      </c>
      <c r="F722" s="2">
        <v>85300</v>
      </c>
      <c r="G722">
        <v>61</v>
      </c>
    </row>
    <row r="723" spans="1:7" x14ac:dyDescent="0.25">
      <c r="A723">
        <v>8292740</v>
      </c>
      <c r="B723" t="s">
        <v>17</v>
      </c>
      <c r="C723">
        <v>25350877</v>
      </c>
      <c r="D723" t="s">
        <v>7</v>
      </c>
      <c r="E723" s="2">
        <v>48925</v>
      </c>
      <c r="F723" s="2">
        <v>36487</v>
      </c>
      <c r="G723">
        <v>61</v>
      </c>
    </row>
    <row r="724" spans="1:7" x14ac:dyDescent="0.25">
      <c r="A724">
        <v>8292855</v>
      </c>
      <c r="B724" t="s">
        <v>18</v>
      </c>
      <c r="C724">
        <v>16975449</v>
      </c>
      <c r="D724" t="s">
        <v>7</v>
      </c>
      <c r="E724" s="2">
        <v>249878</v>
      </c>
      <c r="F724" s="2">
        <v>48827</v>
      </c>
      <c r="G724">
        <v>61</v>
      </c>
    </row>
    <row r="725" spans="1:7" x14ac:dyDescent="0.25">
      <c r="A725">
        <v>8292978</v>
      </c>
      <c r="B725" t="s">
        <v>17</v>
      </c>
      <c r="C725">
        <v>26491653</v>
      </c>
      <c r="D725" t="s">
        <v>7</v>
      </c>
      <c r="E725" s="2">
        <v>861250</v>
      </c>
      <c r="F725" s="2">
        <v>212696</v>
      </c>
      <c r="G725">
        <v>61</v>
      </c>
    </row>
    <row r="726" spans="1:7" x14ac:dyDescent="0.25">
      <c r="A726">
        <v>8293235</v>
      </c>
      <c r="B726" t="s">
        <v>18</v>
      </c>
      <c r="C726">
        <v>26262840</v>
      </c>
      <c r="D726" t="s">
        <v>7</v>
      </c>
      <c r="E726" s="2">
        <v>2532629</v>
      </c>
      <c r="F726" s="2">
        <v>373140</v>
      </c>
      <c r="G726">
        <v>151</v>
      </c>
    </row>
    <row r="727" spans="1:7" x14ac:dyDescent="0.25">
      <c r="A727">
        <v>8293244</v>
      </c>
      <c r="B727" t="s">
        <v>18</v>
      </c>
      <c r="C727">
        <v>21786213</v>
      </c>
      <c r="D727" t="s">
        <v>7</v>
      </c>
      <c r="E727" s="2">
        <v>1919683</v>
      </c>
      <c r="F727" s="2">
        <v>126600</v>
      </c>
      <c r="G727">
        <v>61</v>
      </c>
    </row>
    <row r="728" spans="1:7" x14ac:dyDescent="0.25">
      <c r="A728">
        <v>8293299</v>
      </c>
      <c r="B728" t="s">
        <v>16</v>
      </c>
      <c r="C728">
        <v>27969594</v>
      </c>
      <c r="D728" t="s">
        <v>7</v>
      </c>
      <c r="E728" s="2">
        <v>17062859</v>
      </c>
      <c r="F728" s="2">
        <v>2008605</v>
      </c>
      <c r="G728">
        <v>61</v>
      </c>
    </row>
    <row r="729" spans="1:7" x14ac:dyDescent="0.25">
      <c r="A729">
        <v>8293734</v>
      </c>
      <c r="B729" t="s">
        <v>18</v>
      </c>
      <c r="C729">
        <v>28582640</v>
      </c>
      <c r="D729" t="s">
        <v>7</v>
      </c>
      <c r="E729" s="2">
        <v>1331895</v>
      </c>
      <c r="F729" s="2">
        <v>175808</v>
      </c>
      <c r="G729">
        <v>61</v>
      </c>
    </row>
    <row r="730" spans="1:7" x14ac:dyDescent="0.25">
      <c r="A730">
        <v>8293818</v>
      </c>
      <c r="B730" t="s">
        <v>17</v>
      </c>
      <c r="C730">
        <v>28252699</v>
      </c>
      <c r="D730" t="s">
        <v>7</v>
      </c>
      <c r="E730" s="2">
        <v>866433</v>
      </c>
      <c r="F730" s="2">
        <v>27146</v>
      </c>
      <c r="G730">
        <v>61</v>
      </c>
    </row>
    <row r="731" spans="1:7" x14ac:dyDescent="0.25">
      <c r="A731">
        <v>8293949</v>
      </c>
      <c r="B731" t="s">
        <v>18</v>
      </c>
      <c r="C731">
        <v>26857064</v>
      </c>
      <c r="D731" t="s">
        <v>7</v>
      </c>
      <c r="E731" s="2">
        <v>1784493</v>
      </c>
      <c r="F731" s="2">
        <v>423157</v>
      </c>
      <c r="G731">
        <v>121</v>
      </c>
    </row>
    <row r="732" spans="1:7" x14ac:dyDescent="0.25">
      <c r="A732">
        <v>8294114</v>
      </c>
      <c r="B732" t="s">
        <v>18</v>
      </c>
      <c r="C732">
        <v>21353303</v>
      </c>
      <c r="D732" t="s">
        <v>7</v>
      </c>
      <c r="E732" s="2">
        <v>45536</v>
      </c>
      <c r="F732" s="2">
        <v>44378</v>
      </c>
      <c r="G732">
        <v>121</v>
      </c>
    </row>
    <row r="733" spans="1:7" x14ac:dyDescent="0.25">
      <c r="A733">
        <v>8294206</v>
      </c>
      <c r="B733" t="s">
        <v>17</v>
      </c>
      <c r="C733">
        <v>27648242</v>
      </c>
      <c r="D733" t="s">
        <v>7</v>
      </c>
      <c r="E733" s="2">
        <v>1840325</v>
      </c>
      <c r="F733" s="2">
        <v>2093370</v>
      </c>
      <c r="G733">
        <v>121</v>
      </c>
    </row>
    <row r="734" spans="1:7" x14ac:dyDescent="0.25">
      <c r="A734">
        <v>8294261</v>
      </c>
      <c r="B734" t="s">
        <v>18</v>
      </c>
      <c r="C734">
        <v>27755425</v>
      </c>
      <c r="D734" t="s">
        <v>7</v>
      </c>
      <c r="E734" s="2">
        <v>1730847</v>
      </c>
      <c r="F734" s="2">
        <v>436938</v>
      </c>
      <c r="G734">
        <v>61</v>
      </c>
    </row>
    <row r="735" spans="1:7" x14ac:dyDescent="0.25">
      <c r="A735">
        <v>8294375</v>
      </c>
      <c r="B735" t="s">
        <v>18</v>
      </c>
      <c r="C735">
        <v>25479266</v>
      </c>
      <c r="D735" t="s">
        <v>7</v>
      </c>
      <c r="E735" s="2">
        <v>107708</v>
      </c>
      <c r="F735" s="2">
        <v>122518</v>
      </c>
      <c r="G735">
        <v>61</v>
      </c>
    </row>
    <row r="736" spans="1:7" x14ac:dyDescent="0.25">
      <c r="A736">
        <v>8294415</v>
      </c>
      <c r="B736" t="s">
        <v>16</v>
      </c>
      <c r="C736">
        <v>25073407</v>
      </c>
      <c r="D736" t="s">
        <v>7</v>
      </c>
      <c r="E736" s="2">
        <v>1806486</v>
      </c>
      <c r="F736" s="2">
        <v>426307</v>
      </c>
      <c r="G736">
        <v>61</v>
      </c>
    </row>
    <row r="737" spans="1:7" x14ac:dyDescent="0.25">
      <c r="A737">
        <v>8294415</v>
      </c>
      <c r="B737" t="s">
        <v>16</v>
      </c>
      <c r="C737">
        <v>27475022</v>
      </c>
      <c r="D737" t="s">
        <v>12</v>
      </c>
      <c r="E737" s="2">
        <v>311698</v>
      </c>
      <c r="F737" s="2">
        <v>29138</v>
      </c>
      <c r="G737">
        <v>61</v>
      </c>
    </row>
    <row r="738" spans="1:7" x14ac:dyDescent="0.25">
      <c r="A738">
        <v>8294415</v>
      </c>
      <c r="B738" t="s">
        <v>16</v>
      </c>
      <c r="C738">
        <v>27494159</v>
      </c>
      <c r="D738" t="s">
        <v>12</v>
      </c>
      <c r="E738" s="2">
        <v>155364</v>
      </c>
      <c r="F738" s="2">
        <v>14566</v>
      </c>
      <c r="G738">
        <v>91</v>
      </c>
    </row>
    <row r="739" spans="1:7" x14ac:dyDescent="0.25">
      <c r="A739">
        <v>8294415</v>
      </c>
      <c r="B739" t="s">
        <v>16</v>
      </c>
      <c r="C739">
        <v>27650008</v>
      </c>
      <c r="D739" t="s">
        <v>12</v>
      </c>
      <c r="E739" s="2">
        <v>399533</v>
      </c>
      <c r="F739" s="2">
        <v>33874</v>
      </c>
      <c r="G739">
        <v>61</v>
      </c>
    </row>
    <row r="740" spans="1:7" x14ac:dyDescent="0.25">
      <c r="A740">
        <v>8294415</v>
      </c>
      <c r="B740" t="s">
        <v>16</v>
      </c>
      <c r="C740">
        <v>28154208</v>
      </c>
      <c r="D740" t="s">
        <v>12</v>
      </c>
      <c r="E740" s="2">
        <v>405853</v>
      </c>
      <c r="F740" s="2">
        <v>18084</v>
      </c>
      <c r="G740">
        <v>61</v>
      </c>
    </row>
    <row r="741" spans="1:7" x14ac:dyDescent="0.25">
      <c r="A741">
        <v>8294465</v>
      </c>
      <c r="B741" t="s">
        <v>18</v>
      </c>
      <c r="C741">
        <v>25276855</v>
      </c>
      <c r="D741" t="s">
        <v>7</v>
      </c>
      <c r="E741" s="2">
        <v>34235</v>
      </c>
      <c r="F741" s="2">
        <v>29360</v>
      </c>
      <c r="G741">
        <v>61</v>
      </c>
    </row>
    <row r="742" spans="1:7" x14ac:dyDescent="0.25">
      <c r="A742">
        <v>8316522</v>
      </c>
      <c r="B742" t="s">
        <v>16</v>
      </c>
      <c r="C742">
        <v>22697628</v>
      </c>
      <c r="D742" t="s">
        <v>7</v>
      </c>
      <c r="E742" s="2">
        <v>2666550</v>
      </c>
      <c r="F742" s="2">
        <v>210950</v>
      </c>
      <c r="G742">
        <v>361</v>
      </c>
    </row>
    <row r="743" spans="1:7" x14ac:dyDescent="0.25">
      <c r="A743">
        <v>8322016</v>
      </c>
      <c r="B743" t="s">
        <v>18</v>
      </c>
      <c r="C743">
        <v>28234540</v>
      </c>
      <c r="D743" t="s">
        <v>7</v>
      </c>
      <c r="E743" s="2">
        <v>1244880</v>
      </c>
      <c r="F743" s="2">
        <v>140108</v>
      </c>
      <c r="G743">
        <v>61</v>
      </c>
    </row>
    <row r="744" spans="1:7" x14ac:dyDescent="0.25">
      <c r="A744">
        <v>8349062</v>
      </c>
      <c r="B744" t="s">
        <v>18</v>
      </c>
      <c r="C744">
        <v>25859215</v>
      </c>
      <c r="D744" t="s">
        <v>7</v>
      </c>
      <c r="E744" s="2">
        <v>1206547</v>
      </c>
      <c r="F744" s="2">
        <v>1372447</v>
      </c>
      <c r="G744">
        <v>61</v>
      </c>
    </row>
    <row r="745" spans="1:7" x14ac:dyDescent="0.25">
      <c r="A745">
        <v>8349681</v>
      </c>
      <c r="B745" t="s">
        <v>18</v>
      </c>
      <c r="C745">
        <v>24807405</v>
      </c>
      <c r="D745" t="s">
        <v>7</v>
      </c>
      <c r="E745" s="2">
        <v>1252388</v>
      </c>
      <c r="F745" s="2">
        <v>375000</v>
      </c>
      <c r="G745">
        <v>181</v>
      </c>
    </row>
    <row r="746" spans="1:7" x14ac:dyDescent="0.25">
      <c r="A746">
        <v>8350430</v>
      </c>
      <c r="B746" t="s">
        <v>17</v>
      </c>
      <c r="C746">
        <v>26724769</v>
      </c>
      <c r="D746" t="s">
        <v>7</v>
      </c>
      <c r="E746" s="2">
        <v>1876025</v>
      </c>
      <c r="F746" s="2">
        <v>2133979</v>
      </c>
      <c r="G746">
        <v>121</v>
      </c>
    </row>
    <row r="747" spans="1:7" x14ac:dyDescent="0.25">
      <c r="A747">
        <v>8350710</v>
      </c>
      <c r="B747" t="s">
        <v>18</v>
      </c>
      <c r="C747">
        <v>26378338</v>
      </c>
      <c r="D747" t="s">
        <v>7</v>
      </c>
      <c r="E747" s="2">
        <v>977373</v>
      </c>
      <c r="F747" s="2">
        <v>424195</v>
      </c>
      <c r="G747">
        <v>61</v>
      </c>
    </row>
    <row r="748" spans="1:7" x14ac:dyDescent="0.25">
      <c r="A748">
        <v>8350978</v>
      </c>
      <c r="B748" t="s">
        <v>18</v>
      </c>
      <c r="C748">
        <v>23577494</v>
      </c>
      <c r="D748" t="s">
        <v>7</v>
      </c>
      <c r="E748" s="2">
        <v>1033651</v>
      </c>
      <c r="F748" s="2">
        <v>1175778</v>
      </c>
      <c r="G748">
        <v>61</v>
      </c>
    </row>
    <row r="749" spans="1:7" x14ac:dyDescent="0.25">
      <c r="A749">
        <v>8356945</v>
      </c>
      <c r="B749" t="s">
        <v>18</v>
      </c>
      <c r="C749">
        <v>23046024</v>
      </c>
      <c r="D749" t="s">
        <v>7</v>
      </c>
      <c r="E749" s="2">
        <v>215098</v>
      </c>
      <c r="F749" s="2">
        <v>115466</v>
      </c>
      <c r="G749">
        <v>60</v>
      </c>
    </row>
    <row r="750" spans="1:7" x14ac:dyDescent="0.25">
      <c r="A750">
        <v>8357241</v>
      </c>
      <c r="B750" t="s">
        <v>18</v>
      </c>
      <c r="C750">
        <v>21744609</v>
      </c>
      <c r="D750" t="s">
        <v>7</v>
      </c>
      <c r="E750" s="2">
        <v>704206</v>
      </c>
      <c r="F750" s="2">
        <v>94767</v>
      </c>
      <c r="G750">
        <v>181</v>
      </c>
    </row>
    <row r="751" spans="1:7" x14ac:dyDescent="0.25">
      <c r="A751">
        <v>8357529</v>
      </c>
      <c r="B751" t="s">
        <v>18</v>
      </c>
      <c r="C751">
        <v>27995102</v>
      </c>
      <c r="D751" t="s">
        <v>7</v>
      </c>
      <c r="E751" s="2">
        <v>53312</v>
      </c>
      <c r="F751" s="2">
        <v>3902</v>
      </c>
      <c r="G751">
        <v>91</v>
      </c>
    </row>
    <row r="752" spans="1:7" x14ac:dyDescent="0.25">
      <c r="A752">
        <v>8362506</v>
      </c>
      <c r="B752" t="s">
        <v>17</v>
      </c>
      <c r="C752">
        <v>26696130</v>
      </c>
      <c r="D752" t="s">
        <v>7</v>
      </c>
      <c r="E752" s="2">
        <v>1681428</v>
      </c>
      <c r="F752" s="2">
        <v>698300</v>
      </c>
      <c r="G752">
        <v>61</v>
      </c>
    </row>
    <row r="753" spans="1:7" x14ac:dyDescent="0.25">
      <c r="A753">
        <v>8362506</v>
      </c>
      <c r="B753" t="s">
        <v>17</v>
      </c>
      <c r="C753">
        <v>26696578</v>
      </c>
      <c r="D753" t="s">
        <v>7</v>
      </c>
      <c r="E753" s="2">
        <v>5221500</v>
      </c>
      <c r="F753" s="2">
        <v>5939456</v>
      </c>
      <c r="G753">
        <v>61</v>
      </c>
    </row>
    <row r="754" spans="1:7" x14ac:dyDescent="0.25">
      <c r="A754">
        <v>8365309</v>
      </c>
      <c r="B754" t="s">
        <v>17</v>
      </c>
      <c r="C754">
        <v>26944546</v>
      </c>
      <c r="D754" t="s">
        <v>7</v>
      </c>
      <c r="E754" s="2">
        <v>6832527</v>
      </c>
      <c r="F754" s="2">
        <v>699336</v>
      </c>
      <c r="G754">
        <v>121</v>
      </c>
    </row>
    <row r="755" spans="1:7" x14ac:dyDescent="0.25">
      <c r="A755">
        <v>8366056</v>
      </c>
      <c r="B755" t="s">
        <v>17</v>
      </c>
      <c r="C755">
        <v>26064932</v>
      </c>
      <c r="D755" t="s">
        <v>7</v>
      </c>
      <c r="E755" s="2">
        <v>2952390</v>
      </c>
      <c r="F755" s="2">
        <v>3358344</v>
      </c>
      <c r="G755">
        <v>181</v>
      </c>
    </row>
    <row r="756" spans="1:7" x14ac:dyDescent="0.25">
      <c r="A756">
        <v>8366256</v>
      </c>
      <c r="B756" t="s">
        <v>17</v>
      </c>
      <c r="C756">
        <v>25706312</v>
      </c>
      <c r="D756" t="s">
        <v>7</v>
      </c>
      <c r="E756" s="2">
        <v>5957597</v>
      </c>
      <c r="F756" s="2">
        <v>155638</v>
      </c>
      <c r="G756">
        <v>38</v>
      </c>
    </row>
    <row r="757" spans="1:7" x14ac:dyDescent="0.25">
      <c r="A757">
        <v>8366454</v>
      </c>
      <c r="B757" t="s">
        <v>18</v>
      </c>
      <c r="C757">
        <v>11221865</v>
      </c>
      <c r="D757" t="s">
        <v>7</v>
      </c>
      <c r="E757" s="2">
        <v>1260138</v>
      </c>
      <c r="F757" s="2">
        <v>7806</v>
      </c>
      <c r="G757">
        <v>151</v>
      </c>
    </row>
    <row r="758" spans="1:7" x14ac:dyDescent="0.25">
      <c r="A758">
        <v>8367150</v>
      </c>
      <c r="B758" t="s">
        <v>18</v>
      </c>
      <c r="C758">
        <v>18627540</v>
      </c>
      <c r="D758" t="s">
        <v>7</v>
      </c>
      <c r="E758" s="2">
        <v>928384</v>
      </c>
      <c r="F758" s="2">
        <v>94508</v>
      </c>
      <c r="G758">
        <v>61</v>
      </c>
    </row>
    <row r="759" spans="1:7" x14ac:dyDescent="0.25">
      <c r="A759">
        <v>8367187</v>
      </c>
      <c r="B759" t="s">
        <v>17</v>
      </c>
      <c r="C759">
        <v>24358512</v>
      </c>
      <c r="D759" t="s">
        <v>7</v>
      </c>
      <c r="E759" s="2">
        <v>879503</v>
      </c>
      <c r="F759" s="2">
        <v>999940</v>
      </c>
      <c r="G759">
        <v>141</v>
      </c>
    </row>
    <row r="760" spans="1:7" x14ac:dyDescent="0.25">
      <c r="A760">
        <v>8367911</v>
      </c>
      <c r="B760" t="s">
        <v>18</v>
      </c>
      <c r="C760">
        <v>26796195</v>
      </c>
      <c r="D760" t="s">
        <v>7</v>
      </c>
      <c r="E760" s="2">
        <v>2516033</v>
      </c>
      <c r="F760" s="2">
        <v>400448</v>
      </c>
      <c r="G760">
        <v>96</v>
      </c>
    </row>
    <row r="761" spans="1:7" x14ac:dyDescent="0.25">
      <c r="A761">
        <v>8368568</v>
      </c>
      <c r="B761" t="s">
        <v>16</v>
      </c>
      <c r="C761">
        <v>20786848</v>
      </c>
      <c r="D761" t="s">
        <v>7</v>
      </c>
      <c r="E761" s="2">
        <v>4956218</v>
      </c>
      <c r="F761" s="2">
        <v>106274</v>
      </c>
      <c r="G761">
        <v>61</v>
      </c>
    </row>
    <row r="762" spans="1:7" x14ac:dyDescent="0.25">
      <c r="A762">
        <v>8368917</v>
      </c>
      <c r="B762" t="s">
        <v>17</v>
      </c>
      <c r="C762">
        <v>15644864</v>
      </c>
      <c r="D762" t="s">
        <v>7</v>
      </c>
      <c r="E762" s="2">
        <v>5182638</v>
      </c>
      <c r="F762" s="2">
        <v>685129</v>
      </c>
      <c r="G762">
        <v>61</v>
      </c>
    </row>
    <row r="763" spans="1:7" x14ac:dyDescent="0.25">
      <c r="A763">
        <v>8368961</v>
      </c>
      <c r="B763" t="s">
        <v>17</v>
      </c>
      <c r="C763">
        <v>23801774</v>
      </c>
      <c r="D763" t="s">
        <v>7</v>
      </c>
      <c r="E763" s="2">
        <v>1610614</v>
      </c>
      <c r="F763" s="2">
        <v>417202</v>
      </c>
      <c r="G763">
        <v>61</v>
      </c>
    </row>
    <row r="764" spans="1:7" x14ac:dyDescent="0.25">
      <c r="A764">
        <v>8369021</v>
      </c>
      <c r="B764" t="s">
        <v>17</v>
      </c>
      <c r="C764">
        <v>24967953</v>
      </c>
      <c r="D764" t="s">
        <v>7</v>
      </c>
      <c r="E764" s="2">
        <v>2404555</v>
      </c>
      <c r="F764" s="2">
        <v>62433</v>
      </c>
      <c r="G764">
        <v>61</v>
      </c>
    </row>
    <row r="765" spans="1:7" x14ac:dyDescent="0.25">
      <c r="A765">
        <v>8370142</v>
      </c>
      <c r="B765" t="s">
        <v>17</v>
      </c>
      <c r="C765">
        <v>19935967</v>
      </c>
      <c r="D765" t="s">
        <v>7</v>
      </c>
      <c r="E765" s="2">
        <v>778817</v>
      </c>
      <c r="F765" s="2">
        <v>33649</v>
      </c>
      <c r="G765">
        <v>91</v>
      </c>
    </row>
    <row r="766" spans="1:7" x14ac:dyDescent="0.25">
      <c r="A766">
        <v>8370142</v>
      </c>
      <c r="B766" t="s">
        <v>17</v>
      </c>
      <c r="C766">
        <v>19937520</v>
      </c>
      <c r="D766" t="s">
        <v>7</v>
      </c>
      <c r="E766" s="2">
        <v>1941136</v>
      </c>
      <c r="F766" s="2">
        <v>56716</v>
      </c>
      <c r="G766">
        <v>91</v>
      </c>
    </row>
    <row r="767" spans="1:7" x14ac:dyDescent="0.25">
      <c r="A767">
        <v>8370436</v>
      </c>
      <c r="B767" t="s">
        <v>18</v>
      </c>
      <c r="C767">
        <v>25911475</v>
      </c>
      <c r="D767" t="s">
        <v>7</v>
      </c>
      <c r="E767" s="2">
        <v>797398</v>
      </c>
      <c r="F767" s="2">
        <v>203743</v>
      </c>
      <c r="G767">
        <v>91</v>
      </c>
    </row>
    <row r="768" spans="1:7" x14ac:dyDescent="0.25">
      <c r="A768">
        <v>8370964</v>
      </c>
      <c r="B768" t="s">
        <v>18</v>
      </c>
      <c r="C768">
        <v>14853592</v>
      </c>
      <c r="D768" t="s">
        <v>7</v>
      </c>
      <c r="E768" s="2">
        <v>1550309</v>
      </c>
      <c r="F768" s="2">
        <v>1763477</v>
      </c>
      <c r="G768">
        <v>61</v>
      </c>
    </row>
    <row r="769" spans="1:7" x14ac:dyDescent="0.25">
      <c r="A769">
        <v>8371143</v>
      </c>
      <c r="B769" t="s">
        <v>17</v>
      </c>
      <c r="C769">
        <v>2778342</v>
      </c>
      <c r="D769" t="s">
        <v>10</v>
      </c>
      <c r="E769" s="2">
        <v>77285</v>
      </c>
      <c r="F769" s="2">
        <v>87912</v>
      </c>
      <c r="G769">
        <v>61</v>
      </c>
    </row>
    <row r="770" spans="1:7" x14ac:dyDescent="0.25">
      <c r="A770">
        <v>8371143</v>
      </c>
      <c r="B770" t="s">
        <v>17</v>
      </c>
      <c r="C770">
        <v>4910388</v>
      </c>
      <c r="D770" t="s">
        <v>7</v>
      </c>
      <c r="E770" s="2">
        <v>4621113</v>
      </c>
      <c r="F770" s="2">
        <v>681340</v>
      </c>
      <c r="G770">
        <v>34</v>
      </c>
    </row>
    <row r="771" spans="1:7" x14ac:dyDescent="0.25">
      <c r="A771">
        <v>8372294</v>
      </c>
      <c r="B771" t="s">
        <v>18</v>
      </c>
      <c r="C771">
        <v>26217632</v>
      </c>
      <c r="D771" t="s">
        <v>7</v>
      </c>
      <c r="E771" s="2">
        <v>313793</v>
      </c>
      <c r="F771" s="2">
        <v>85705</v>
      </c>
      <c r="G771">
        <v>61</v>
      </c>
    </row>
    <row r="772" spans="1:7" x14ac:dyDescent="0.25">
      <c r="A772">
        <v>8372759</v>
      </c>
      <c r="B772" t="s">
        <v>18</v>
      </c>
      <c r="C772">
        <v>11400568</v>
      </c>
      <c r="D772" t="s">
        <v>7</v>
      </c>
      <c r="E772" s="2">
        <v>2208318</v>
      </c>
      <c r="F772" s="2">
        <v>2511962</v>
      </c>
      <c r="G772">
        <v>61</v>
      </c>
    </row>
    <row r="773" spans="1:7" x14ac:dyDescent="0.25">
      <c r="A773">
        <v>8373110</v>
      </c>
      <c r="B773" t="s">
        <v>18</v>
      </c>
      <c r="C773">
        <v>20837646</v>
      </c>
      <c r="D773" t="s">
        <v>7</v>
      </c>
      <c r="E773" s="2">
        <v>3638233</v>
      </c>
      <c r="F773" s="2">
        <v>2835880</v>
      </c>
      <c r="G773">
        <v>75</v>
      </c>
    </row>
    <row r="774" spans="1:7" x14ac:dyDescent="0.25">
      <c r="A774">
        <v>8373305</v>
      </c>
      <c r="B774" t="s">
        <v>18</v>
      </c>
      <c r="C774">
        <v>21807022</v>
      </c>
      <c r="D774" t="s">
        <v>7</v>
      </c>
      <c r="E774" s="2">
        <v>3195099</v>
      </c>
      <c r="F774" s="2">
        <v>267402</v>
      </c>
      <c r="G774">
        <v>45</v>
      </c>
    </row>
    <row r="775" spans="1:7" x14ac:dyDescent="0.25">
      <c r="A775">
        <v>8373318</v>
      </c>
      <c r="B775" t="s">
        <v>18</v>
      </c>
      <c r="C775">
        <v>23637560</v>
      </c>
      <c r="D775" t="s">
        <v>7</v>
      </c>
      <c r="E775" s="2">
        <v>4156475</v>
      </c>
      <c r="F775" s="2">
        <v>769024</v>
      </c>
      <c r="G775">
        <v>75</v>
      </c>
    </row>
    <row r="776" spans="1:7" x14ac:dyDescent="0.25">
      <c r="A776">
        <v>8373458</v>
      </c>
      <c r="B776" t="s">
        <v>18</v>
      </c>
      <c r="C776">
        <v>26405269</v>
      </c>
      <c r="D776" t="s">
        <v>7</v>
      </c>
      <c r="E776" s="2">
        <v>1173496</v>
      </c>
      <c r="F776" s="2">
        <v>1334584</v>
      </c>
      <c r="G776">
        <v>135</v>
      </c>
    </row>
    <row r="777" spans="1:7" x14ac:dyDescent="0.25">
      <c r="A777">
        <v>8373519</v>
      </c>
      <c r="B777" t="s">
        <v>17</v>
      </c>
      <c r="C777">
        <v>26396786</v>
      </c>
      <c r="D777" t="s">
        <v>7</v>
      </c>
      <c r="E777" s="2">
        <v>2051524</v>
      </c>
      <c r="F777" s="2">
        <v>3902</v>
      </c>
      <c r="G777">
        <v>45</v>
      </c>
    </row>
    <row r="778" spans="1:7" x14ac:dyDescent="0.25">
      <c r="A778">
        <v>8373802</v>
      </c>
      <c r="B778" t="s">
        <v>16</v>
      </c>
      <c r="C778">
        <v>17302927</v>
      </c>
      <c r="D778" t="s">
        <v>7</v>
      </c>
      <c r="E778" s="2">
        <v>3151055</v>
      </c>
      <c r="F778" s="2">
        <v>436013</v>
      </c>
      <c r="G778">
        <v>75</v>
      </c>
    </row>
    <row r="779" spans="1:7" x14ac:dyDescent="0.25">
      <c r="A779">
        <v>8373802</v>
      </c>
      <c r="B779" t="s">
        <v>16</v>
      </c>
      <c r="C779">
        <v>25509330</v>
      </c>
      <c r="D779" t="s">
        <v>12</v>
      </c>
      <c r="E779" s="2">
        <v>4174296</v>
      </c>
      <c r="F779" s="2">
        <v>271697</v>
      </c>
      <c r="G779">
        <v>39</v>
      </c>
    </row>
    <row r="780" spans="1:7" x14ac:dyDescent="0.25">
      <c r="A780">
        <v>8373803</v>
      </c>
      <c r="B780" t="s">
        <v>17</v>
      </c>
      <c r="C780">
        <v>16656839</v>
      </c>
      <c r="D780" t="s">
        <v>9</v>
      </c>
      <c r="E780" s="2">
        <v>573105</v>
      </c>
      <c r="F780" s="2">
        <v>589819</v>
      </c>
      <c r="G780">
        <v>148</v>
      </c>
    </row>
    <row r="781" spans="1:7" x14ac:dyDescent="0.25">
      <c r="A781">
        <v>8374077</v>
      </c>
      <c r="B781" t="s">
        <v>16</v>
      </c>
      <c r="C781">
        <v>27041563</v>
      </c>
      <c r="D781" t="s">
        <v>7</v>
      </c>
      <c r="E781" s="2">
        <v>5319393</v>
      </c>
      <c r="F781" s="2">
        <v>1212987</v>
      </c>
      <c r="G781">
        <v>45</v>
      </c>
    </row>
    <row r="782" spans="1:7" x14ac:dyDescent="0.25">
      <c r="A782">
        <v>8374964</v>
      </c>
      <c r="B782" t="s">
        <v>18</v>
      </c>
      <c r="C782">
        <v>27287287</v>
      </c>
      <c r="D782" t="s">
        <v>7</v>
      </c>
      <c r="E782" s="2">
        <v>273339</v>
      </c>
      <c r="F782" s="2">
        <v>18118</v>
      </c>
      <c r="G782">
        <v>45</v>
      </c>
    </row>
    <row r="783" spans="1:7" x14ac:dyDescent="0.25">
      <c r="A783">
        <v>8375157</v>
      </c>
      <c r="B783" t="s">
        <v>18</v>
      </c>
      <c r="C783">
        <v>10604639</v>
      </c>
      <c r="D783" t="s">
        <v>7</v>
      </c>
      <c r="E783" s="2">
        <v>537051</v>
      </c>
      <c r="F783" s="2">
        <v>610897</v>
      </c>
      <c r="G783">
        <v>375</v>
      </c>
    </row>
    <row r="784" spans="1:7" x14ac:dyDescent="0.25">
      <c r="A784">
        <v>8375295</v>
      </c>
      <c r="B784" t="s">
        <v>17</v>
      </c>
      <c r="C784">
        <v>23137609</v>
      </c>
      <c r="D784" t="s">
        <v>7</v>
      </c>
      <c r="E784" s="2">
        <v>1646680</v>
      </c>
      <c r="F784" s="2">
        <v>604385</v>
      </c>
      <c r="G784">
        <v>105</v>
      </c>
    </row>
    <row r="785" spans="1:7" x14ac:dyDescent="0.25">
      <c r="A785">
        <v>8375295</v>
      </c>
      <c r="B785" t="s">
        <v>17</v>
      </c>
      <c r="C785">
        <v>23161693</v>
      </c>
      <c r="D785" t="s">
        <v>7</v>
      </c>
      <c r="E785" s="2">
        <v>2670760</v>
      </c>
      <c r="F785" s="2">
        <v>3037989</v>
      </c>
      <c r="G785">
        <v>165</v>
      </c>
    </row>
    <row r="786" spans="1:7" x14ac:dyDescent="0.25">
      <c r="A786">
        <v>8375436</v>
      </c>
      <c r="B786" t="s">
        <v>16</v>
      </c>
      <c r="C786">
        <v>25340832</v>
      </c>
      <c r="D786" t="s">
        <v>7</v>
      </c>
      <c r="E786" s="2">
        <v>2284654</v>
      </c>
      <c r="F786" s="2">
        <v>72165</v>
      </c>
      <c r="G786">
        <v>45</v>
      </c>
    </row>
    <row r="787" spans="1:7" x14ac:dyDescent="0.25">
      <c r="A787">
        <v>8375486</v>
      </c>
      <c r="B787" t="s">
        <v>18</v>
      </c>
      <c r="C787">
        <v>15746667</v>
      </c>
      <c r="D787" t="s">
        <v>7</v>
      </c>
      <c r="E787" s="2">
        <v>616458</v>
      </c>
      <c r="F787" s="2">
        <v>136072</v>
      </c>
      <c r="G787">
        <v>45</v>
      </c>
    </row>
    <row r="788" spans="1:7" x14ac:dyDescent="0.25">
      <c r="A788">
        <v>8375778</v>
      </c>
      <c r="B788" t="s">
        <v>17</v>
      </c>
      <c r="C788">
        <v>16122004</v>
      </c>
      <c r="D788" t="s">
        <v>7</v>
      </c>
      <c r="E788" s="2">
        <v>3999293</v>
      </c>
      <c r="F788" s="2">
        <v>98984</v>
      </c>
      <c r="G788">
        <v>45</v>
      </c>
    </row>
    <row r="789" spans="1:7" x14ac:dyDescent="0.25">
      <c r="A789">
        <v>8375887</v>
      </c>
      <c r="B789" t="s">
        <v>18</v>
      </c>
      <c r="C789">
        <v>21569268</v>
      </c>
      <c r="D789" t="s">
        <v>7</v>
      </c>
      <c r="E789" s="2">
        <v>635804</v>
      </c>
      <c r="F789" s="2">
        <v>135623</v>
      </c>
      <c r="G789">
        <v>45</v>
      </c>
    </row>
    <row r="790" spans="1:7" x14ac:dyDescent="0.25">
      <c r="A790">
        <v>8376101</v>
      </c>
      <c r="B790" t="s">
        <v>17</v>
      </c>
      <c r="C790">
        <v>26856140</v>
      </c>
      <c r="D790" t="s">
        <v>7</v>
      </c>
      <c r="E790" s="2">
        <v>3264783</v>
      </c>
      <c r="F790" s="2">
        <v>411472</v>
      </c>
      <c r="G790">
        <v>45</v>
      </c>
    </row>
    <row r="791" spans="1:7" x14ac:dyDescent="0.25">
      <c r="A791">
        <v>8376705</v>
      </c>
      <c r="B791" t="s">
        <v>18</v>
      </c>
      <c r="C791">
        <v>26836468</v>
      </c>
      <c r="D791" t="s">
        <v>7</v>
      </c>
      <c r="E791" s="2">
        <v>1133958</v>
      </c>
      <c r="F791" s="2">
        <v>98811</v>
      </c>
      <c r="G791">
        <v>45</v>
      </c>
    </row>
    <row r="792" spans="1:7" x14ac:dyDescent="0.25">
      <c r="A792">
        <v>8376794</v>
      </c>
      <c r="B792" t="s">
        <v>16</v>
      </c>
      <c r="C792">
        <v>23812937</v>
      </c>
      <c r="D792" t="s">
        <v>7</v>
      </c>
      <c r="E792" s="2">
        <v>3548007</v>
      </c>
      <c r="F792" s="2">
        <v>4035858</v>
      </c>
      <c r="G792">
        <v>165</v>
      </c>
    </row>
    <row r="793" spans="1:7" x14ac:dyDescent="0.25">
      <c r="A793">
        <v>8376891</v>
      </c>
      <c r="B793" t="s">
        <v>18</v>
      </c>
      <c r="C793">
        <v>19336726</v>
      </c>
      <c r="D793" t="s">
        <v>7</v>
      </c>
      <c r="E793" s="2">
        <v>3296149</v>
      </c>
      <c r="F793" s="2">
        <v>496623</v>
      </c>
      <c r="G793">
        <v>45</v>
      </c>
    </row>
    <row r="794" spans="1:7" x14ac:dyDescent="0.25">
      <c r="A794">
        <v>8377130</v>
      </c>
      <c r="B794" t="s">
        <v>18</v>
      </c>
      <c r="C794">
        <v>26512445</v>
      </c>
      <c r="D794" t="s">
        <v>7</v>
      </c>
      <c r="E794" s="2">
        <v>484849</v>
      </c>
      <c r="F794" s="2">
        <v>23821</v>
      </c>
      <c r="G794">
        <v>45</v>
      </c>
    </row>
    <row r="795" spans="1:7" x14ac:dyDescent="0.25">
      <c r="A795">
        <v>8377968</v>
      </c>
      <c r="B795" t="s">
        <v>17</v>
      </c>
      <c r="C795">
        <v>27872972</v>
      </c>
      <c r="D795" t="s">
        <v>7</v>
      </c>
      <c r="E795" s="2">
        <v>7345079</v>
      </c>
      <c r="F795" s="2">
        <v>500770</v>
      </c>
      <c r="G795">
        <v>45</v>
      </c>
    </row>
    <row r="796" spans="1:7" x14ac:dyDescent="0.25">
      <c r="A796">
        <v>8378091</v>
      </c>
      <c r="B796" t="s">
        <v>18</v>
      </c>
      <c r="C796">
        <v>26261467</v>
      </c>
      <c r="D796" t="s">
        <v>7</v>
      </c>
      <c r="E796" s="2">
        <v>2130206</v>
      </c>
      <c r="F796" s="2">
        <v>2423109</v>
      </c>
      <c r="G796">
        <v>165</v>
      </c>
    </row>
    <row r="797" spans="1:7" x14ac:dyDescent="0.25">
      <c r="A797">
        <v>8378538</v>
      </c>
      <c r="B797" t="s">
        <v>16</v>
      </c>
      <c r="C797">
        <v>26023462</v>
      </c>
      <c r="D797" t="s">
        <v>7</v>
      </c>
      <c r="E797" s="2">
        <v>933996</v>
      </c>
      <c r="F797" s="2">
        <v>49590</v>
      </c>
      <c r="G797">
        <v>45</v>
      </c>
    </row>
    <row r="798" spans="1:7" x14ac:dyDescent="0.25">
      <c r="A798">
        <v>8378787</v>
      </c>
      <c r="B798" t="s">
        <v>17</v>
      </c>
      <c r="C798">
        <v>25360109</v>
      </c>
      <c r="D798" t="s">
        <v>7</v>
      </c>
      <c r="E798" s="2">
        <v>3397531</v>
      </c>
      <c r="F798" s="2">
        <v>1033923</v>
      </c>
      <c r="G798">
        <v>45</v>
      </c>
    </row>
    <row r="799" spans="1:7" x14ac:dyDescent="0.25">
      <c r="A799">
        <v>8378787</v>
      </c>
      <c r="B799" t="s">
        <v>17</v>
      </c>
      <c r="C799">
        <v>28167829</v>
      </c>
      <c r="D799" t="s">
        <v>7</v>
      </c>
      <c r="E799" s="2">
        <v>4345533</v>
      </c>
      <c r="F799" s="2">
        <v>856190</v>
      </c>
      <c r="G799">
        <v>45</v>
      </c>
    </row>
    <row r="800" spans="1:7" x14ac:dyDescent="0.25">
      <c r="A800">
        <v>8378871</v>
      </c>
      <c r="B800" t="s">
        <v>18</v>
      </c>
      <c r="C800">
        <v>21194808</v>
      </c>
      <c r="D800" t="s">
        <v>7</v>
      </c>
      <c r="E800" s="2">
        <v>2884910</v>
      </c>
      <c r="F800" s="2">
        <v>247641</v>
      </c>
      <c r="G800">
        <v>45</v>
      </c>
    </row>
    <row r="801" spans="1:7" x14ac:dyDescent="0.25">
      <c r="A801">
        <v>8379217</v>
      </c>
      <c r="B801" t="s">
        <v>16</v>
      </c>
      <c r="C801">
        <v>25899951</v>
      </c>
      <c r="D801" t="s">
        <v>9</v>
      </c>
      <c r="E801" s="2">
        <v>43737574</v>
      </c>
      <c r="F801" s="2">
        <v>1418103</v>
      </c>
      <c r="G801">
        <v>41</v>
      </c>
    </row>
    <row r="802" spans="1:7" x14ac:dyDescent="0.25">
      <c r="A802">
        <v>8379217</v>
      </c>
      <c r="B802" t="s">
        <v>16</v>
      </c>
      <c r="C802">
        <v>25904477</v>
      </c>
      <c r="D802" t="s">
        <v>7</v>
      </c>
      <c r="E802" s="2">
        <v>3380777</v>
      </c>
      <c r="F802" s="2">
        <v>313244</v>
      </c>
      <c r="G802">
        <v>45</v>
      </c>
    </row>
    <row r="803" spans="1:7" x14ac:dyDescent="0.25">
      <c r="A803">
        <v>8379989</v>
      </c>
      <c r="B803" t="s">
        <v>16</v>
      </c>
      <c r="C803">
        <v>25836165</v>
      </c>
      <c r="D803" t="s">
        <v>7</v>
      </c>
      <c r="E803" s="2">
        <v>7929437</v>
      </c>
      <c r="F803" s="2">
        <v>972266</v>
      </c>
      <c r="G803">
        <v>75</v>
      </c>
    </row>
    <row r="804" spans="1:7" x14ac:dyDescent="0.25">
      <c r="A804">
        <v>8379989</v>
      </c>
      <c r="B804" t="s">
        <v>16</v>
      </c>
      <c r="C804">
        <v>25855320</v>
      </c>
      <c r="D804" t="s">
        <v>9</v>
      </c>
      <c r="E804" s="2">
        <v>8988763</v>
      </c>
      <c r="F804" s="2">
        <v>3254325</v>
      </c>
      <c r="G804">
        <v>170</v>
      </c>
    </row>
    <row r="805" spans="1:7" x14ac:dyDescent="0.25">
      <c r="A805">
        <v>8380002</v>
      </c>
      <c r="B805" t="s">
        <v>18</v>
      </c>
      <c r="C805">
        <v>26293617</v>
      </c>
      <c r="D805" t="s">
        <v>7</v>
      </c>
      <c r="E805" s="2">
        <v>1673156</v>
      </c>
      <c r="F805" s="2">
        <v>421396</v>
      </c>
      <c r="G805">
        <v>75</v>
      </c>
    </row>
    <row r="806" spans="1:7" x14ac:dyDescent="0.25">
      <c r="A806">
        <v>8380063</v>
      </c>
      <c r="B806" t="s">
        <v>18</v>
      </c>
      <c r="C806">
        <v>20479677</v>
      </c>
      <c r="D806" t="s">
        <v>7</v>
      </c>
      <c r="E806" s="2">
        <v>678993</v>
      </c>
      <c r="F806" s="2">
        <v>157311</v>
      </c>
      <c r="G806">
        <v>75</v>
      </c>
    </row>
    <row r="807" spans="1:7" x14ac:dyDescent="0.25">
      <c r="A807">
        <v>8380574</v>
      </c>
      <c r="B807" t="s">
        <v>16</v>
      </c>
      <c r="C807">
        <v>26028156</v>
      </c>
      <c r="D807" t="s">
        <v>12</v>
      </c>
      <c r="E807" s="2">
        <v>423287</v>
      </c>
      <c r="F807" s="2">
        <v>481489</v>
      </c>
      <c r="G807">
        <v>100</v>
      </c>
    </row>
    <row r="808" spans="1:7" x14ac:dyDescent="0.25">
      <c r="A808">
        <v>8380574</v>
      </c>
      <c r="B808" t="s">
        <v>16</v>
      </c>
      <c r="C808">
        <v>26880957</v>
      </c>
      <c r="D808" t="s">
        <v>12</v>
      </c>
      <c r="E808" s="2">
        <v>1556813</v>
      </c>
      <c r="F808" s="2">
        <v>403509</v>
      </c>
      <c r="G808">
        <v>191</v>
      </c>
    </row>
    <row r="809" spans="1:7" x14ac:dyDescent="0.25">
      <c r="A809">
        <v>8380807</v>
      </c>
      <c r="B809" t="s">
        <v>17</v>
      </c>
      <c r="C809">
        <v>2687964</v>
      </c>
      <c r="D809" t="s">
        <v>10</v>
      </c>
      <c r="E809" s="2">
        <v>3492175</v>
      </c>
      <c r="F809" s="2">
        <v>3972349</v>
      </c>
      <c r="G809">
        <v>35</v>
      </c>
    </row>
    <row r="810" spans="1:7" x14ac:dyDescent="0.25">
      <c r="A810">
        <v>8381346</v>
      </c>
      <c r="B810" t="s">
        <v>17</v>
      </c>
      <c r="C810">
        <v>26706135</v>
      </c>
      <c r="D810" t="s">
        <v>7</v>
      </c>
      <c r="E810" s="2">
        <v>4987866</v>
      </c>
      <c r="F810" s="2">
        <v>5673698</v>
      </c>
      <c r="G810">
        <v>195</v>
      </c>
    </row>
    <row r="811" spans="1:7" x14ac:dyDescent="0.25">
      <c r="A811">
        <v>8381369</v>
      </c>
      <c r="B811" t="s">
        <v>16</v>
      </c>
      <c r="C811">
        <v>18847819</v>
      </c>
      <c r="D811" t="s">
        <v>8</v>
      </c>
      <c r="E811" s="2">
        <v>70652365</v>
      </c>
      <c r="F811" s="2">
        <v>1373436</v>
      </c>
      <c r="G811">
        <v>22</v>
      </c>
    </row>
    <row r="812" spans="1:7" x14ac:dyDescent="0.25">
      <c r="A812">
        <v>8381369</v>
      </c>
      <c r="B812" t="s">
        <v>16</v>
      </c>
      <c r="C812">
        <v>25138580</v>
      </c>
      <c r="D812" t="s">
        <v>9</v>
      </c>
      <c r="E812" s="2">
        <v>53305812</v>
      </c>
      <c r="F812" s="2">
        <v>2926509</v>
      </c>
      <c r="G812">
        <v>37</v>
      </c>
    </row>
    <row r="813" spans="1:7" x14ac:dyDescent="0.25">
      <c r="A813">
        <v>8381369</v>
      </c>
      <c r="B813" t="s">
        <v>16</v>
      </c>
      <c r="C813">
        <v>25452876</v>
      </c>
      <c r="D813" t="s">
        <v>12</v>
      </c>
      <c r="E813" s="2">
        <v>4938835</v>
      </c>
      <c r="F813" s="2">
        <v>326789</v>
      </c>
      <c r="G813">
        <v>39</v>
      </c>
    </row>
    <row r="814" spans="1:7" x14ac:dyDescent="0.25">
      <c r="A814">
        <v>8381515</v>
      </c>
      <c r="B814" t="s">
        <v>18</v>
      </c>
      <c r="C814">
        <v>14731171</v>
      </c>
      <c r="D814" t="s">
        <v>7</v>
      </c>
      <c r="E814" s="2">
        <v>325178</v>
      </c>
      <c r="F814" s="2">
        <v>145289</v>
      </c>
      <c r="G814">
        <v>105</v>
      </c>
    </row>
    <row r="815" spans="1:7" x14ac:dyDescent="0.25">
      <c r="A815">
        <v>8381524</v>
      </c>
      <c r="B815" t="s">
        <v>18</v>
      </c>
      <c r="C815">
        <v>19335684</v>
      </c>
      <c r="D815" t="s">
        <v>7</v>
      </c>
      <c r="E815" s="2">
        <v>2558083</v>
      </c>
      <c r="F815" s="2">
        <v>395045</v>
      </c>
      <c r="G815">
        <v>45</v>
      </c>
    </row>
    <row r="816" spans="1:7" x14ac:dyDescent="0.25">
      <c r="A816">
        <v>8381568</v>
      </c>
      <c r="B816" t="s">
        <v>16</v>
      </c>
      <c r="C816">
        <v>23075902</v>
      </c>
      <c r="D816" t="s">
        <v>8</v>
      </c>
      <c r="E816" s="2">
        <v>29991178</v>
      </c>
      <c r="F816" s="2">
        <v>1506246</v>
      </c>
      <c r="G816">
        <v>56</v>
      </c>
    </row>
    <row r="817" spans="1:7" x14ac:dyDescent="0.25">
      <c r="A817">
        <v>8383104</v>
      </c>
      <c r="B817" t="s">
        <v>18</v>
      </c>
      <c r="C817">
        <v>26888580</v>
      </c>
      <c r="D817" t="s">
        <v>7</v>
      </c>
      <c r="E817" s="2">
        <v>4016576</v>
      </c>
      <c r="F817" s="2">
        <v>279404</v>
      </c>
      <c r="G817">
        <v>45</v>
      </c>
    </row>
    <row r="818" spans="1:7" x14ac:dyDescent="0.25">
      <c r="A818">
        <v>8383281</v>
      </c>
      <c r="B818" t="s">
        <v>18</v>
      </c>
      <c r="C818">
        <v>27039709</v>
      </c>
      <c r="D818" t="s">
        <v>7</v>
      </c>
      <c r="E818" s="2">
        <v>658074</v>
      </c>
      <c r="F818" s="2">
        <v>88723</v>
      </c>
      <c r="G818">
        <v>45</v>
      </c>
    </row>
    <row r="819" spans="1:7" x14ac:dyDescent="0.25">
      <c r="A819">
        <v>8383527</v>
      </c>
      <c r="B819" t="s">
        <v>17</v>
      </c>
      <c r="C819">
        <v>25848524</v>
      </c>
      <c r="D819" t="s">
        <v>9</v>
      </c>
      <c r="E819" s="2">
        <v>3677335</v>
      </c>
      <c r="F819" s="2">
        <v>978372</v>
      </c>
      <c r="G819">
        <v>140</v>
      </c>
    </row>
    <row r="820" spans="1:7" x14ac:dyDescent="0.25">
      <c r="A820">
        <v>8383627</v>
      </c>
      <c r="B820" t="s">
        <v>18</v>
      </c>
      <c r="C820">
        <v>23902937</v>
      </c>
      <c r="D820" t="s">
        <v>7</v>
      </c>
      <c r="E820" s="2">
        <v>195290</v>
      </c>
      <c r="F820" s="2">
        <v>222142</v>
      </c>
      <c r="G820">
        <v>165</v>
      </c>
    </row>
    <row r="821" spans="1:7" x14ac:dyDescent="0.25">
      <c r="A821">
        <v>8383673</v>
      </c>
      <c r="B821" t="s">
        <v>18</v>
      </c>
      <c r="C821">
        <v>28556606</v>
      </c>
      <c r="D821" t="s">
        <v>7</v>
      </c>
      <c r="E821" s="2">
        <v>232596</v>
      </c>
      <c r="F821" s="2">
        <v>32415</v>
      </c>
      <c r="G821">
        <v>45</v>
      </c>
    </row>
    <row r="822" spans="1:7" x14ac:dyDescent="0.25">
      <c r="A822">
        <v>8383674</v>
      </c>
      <c r="B822" t="s">
        <v>18</v>
      </c>
      <c r="C822">
        <v>12272527</v>
      </c>
      <c r="D822" t="s">
        <v>7</v>
      </c>
      <c r="E822" s="2">
        <v>827542</v>
      </c>
      <c r="F822" s="2">
        <v>111049</v>
      </c>
      <c r="G822">
        <v>45</v>
      </c>
    </row>
    <row r="823" spans="1:7" x14ac:dyDescent="0.25">
      <c r="A823">
        <v>8383790</v>
      </c>
      <c r="B823" t="s">
        <v>17</v>
      </c>
      <c r="C823">
        <v>23064001</v>
      </c>
      <c r="D823" t="s">
        <v>7</v>
      </c>
      <c r="E823" s="2">
        <v>3389832</v>
      </c>
      <c r="F823" s="2">
        <v>347328</v>
      </c>
      <c r="G823">
        <v>45</v>
      </c>
    </row>
    <row r="824" spans="1:7" x14ac:dyDescent="0.25">
      <c r="A824">
        <v>8386841</v>
      </c>
      <c r="B824" t="s">
        <v>17</v>
      </c>
      <c r="C824">
        <v>27903220</v>
      </c>
      <c r="D824" t="s">
        <v>7</v>
      </c>
      <c r="E824" s="2">
        <v>732008</v>
      </c>
      <c r="F824" s="2">
        <v>100232</v>
      </c>
      <c r="G824">
        <v>45</v>
      </c>
    </row>
    <row r="825" spans="1:7" x14ac:dyDescent="0.25">
      <c r="A825">
        <v>8386894</v>
      </c>
      <c r="B825" t="s">
        <v>17</v>
      </c>
      <c r="C825">
        <v>28557300</v>
      </c>
      <c r="D825" t="s">
        <v>7</v>
      </c>
      <c r="E825" s="2">
        <v>847297</v>
      </c>
      <c r="F825" s="2">
        <v>48204</v>
      </c>
      <c r="G825">
        <v>45</v>
      </c>
    </row>
    <row r="826" spans="1:7" x14ac:dyDescent="0.25">
      <c r="A826">
        <v>8430809</v>
      </c>
      <c r="B826" t="s">
        <v>18</v>
      </c>
      <c r="C826">
        <v>28586844</v>
      </c>
      <c r="D826" t="s">
        <v>7</v>
      </c>
      <c r="E826" s="2">
        <v>923126</v>
      </c>
      <c r="F826" s="2">
        <v>120140</v>
      </c>
      <c r="G826">
        <v>45</v>
      </c>
    </row>
    <row r="827" spans="1:7" x14ac:dyDescent="0.25">
      <c r="A827">
        <v>8440122</v>
      </c>
      <c r="B827" t="s">
        <v>18</v>
      </c>
      <c r="C827">
        <v>22624325</v>
      </c>
      <c r="D827" t="s">
        <v>7</v>
      </c>
      <c r="E827" s="2">
        <v>2313177</v>
      </c>
      <c r="F827" s="2">
        <v>354488</v>
      </c>
      <c r="G827">
        <v>45</v>
      </c>
    </row>
    <row r="828" spans="1:7" x14ac:dyDescent="0.25">
      <c r="A828">
        <v>8457400</v>
      </c>
      <c r="B828" t="s">
        <v>17</v>
      </c>
      <c r="C828">
        <v>26021997</v>
      </c>
      <c r="D828" t="s">
        <v>7</v>
      </c>
      <c r="E828" s="2">
        <v>914091</v>
      </c>
      <c r="F828" s="2">
        <v>222897</v>
      </c>
      <c r="G828">
        <v>105</v>
      </c>
    </row>
    <row r="829" spans="1:7" x14ac:dyDescent="0.25">
      <c r="A829">
        <v>8457400</v>
      </c>
      <c r="B829" t="s">
        <v>17</v>
      </c>
      <c r="C829">
        <v>26021998</v>
      </c>
      <c r="D829" t="s">
        <v>7</v>
      </c>
      <c r="E829" s="2">
        <v>319258</v>
      </c>
      <c r="F829" s="2">
        <v>363156</v>
      </c>
      <c r="G829">
        <v>75</v>
      </c>
    </row>
    <row r="830" spans="1:7" x14ac:dyDescent="0.25">
      <c r="A830">
        <v>8465959</v>
      </c>
      <c r="B830" t="s">
        <v>18</v>
      </c>
      <c r="C830">
        <v>21268933</v>
      </c>
      <c r="D830" t="s">
        <v>7</v>
      </c>
      <c r="E830" s="2">
        <v>657735</v>
      </c>
      <c r="F830" s="2">
        <v>748173</v>
      </c>
      <c r="G830">
        <v>195</v>
      </c>
    </row>
    <row r="831" spans="1:7" x14ac:dyDescent="0.25">
      <c r="A831">
        <v>8465980</v>
      </c>
      <c r="B831" t="s">
        <v>18</v>
      </c>
      <c r="C831">
        <v>23671050</v>
      </c>
      <c r="D831" t="s">
        <v>7</v>
      </c>
      <c r="E831" s="2">
        <v>449919</v>
      </c>
      <c r="F831" s="2">
        <v>20853</v>
      </c>
      <c r="G831">
        <v>45</v>
      </c>
    </row>
    <row r="832" spans="1:7" x14ac:dyDescent="0.25">
      <c r="A832">
        <v>8466043</v>
      </c>
      <c r="B832" t="s">
        <v>16</v>
      </c>
      <c r="C832">
        <v>20875844</v>
      </c>
      <c r="D832" t="s">
        <v>7</v>
      </c>
      <c r="E832" s="2">
        <v>6558735</v>
      </c>
      <c r="F832" s="2">
        <v>1402719</v>
      </c>
      <c r="G832">
        <v>75</v>
      </c>
    </row>
    <row r="833" spans="1:7" x14ac:dyDescent="0.25">
      <c r="A833">
        <v>8466043</v>
      </c>
      <c r="B833" t="s">
        <v>16</v>
      </c>
      <c r="C833">
        <v>23974043</v>
      </c>
      <c r="D833" t="s">
        <v>8</v>
      </c>
      <c r="E833" s="2">
        <v>20026644</v>
      </c>
      <c r="F833" s="2">
        <v>531059</v>
      </c>
      <c r="G833">
        <v>54</v>
      </c>
    </row>
    <row r="834" spans="1:7" x14ac:dyDescent="0.25">
      <c r="A834">
        <v>8466043</v>
      </c>
      <c r="B834" t="s">
        <v>16</v>
      </c>
      <c r="C834">
        <v>24033068</v>
      </c>
      <c r="D834" t="s">
        <v>7</v>
      </c>
      <c r="E834" s="2">
        <v>3064891</v>
      </c>
      <c r="F834" s="2">
        <v>942953</v>
      </c>
      <c r="G834">
        <v>75</v>
      </c>
    </row>
    <row r="835" spans="1:7" x14ac:dyDescent="0.25">
      <c r="A835">
        <v>8471172</v>
      </c>
      <c r="B835" t="s">
        <v>18</v>
      </c>
      <c r="C835">
        <v>18354113</v>
      </c>
      <c r="D835" t="s">
        <v>7</v>
      </c>
      <c r="E835" s="2">
        <v>2257610</v>
      </c>
      <c r="F835" s="2">
        <v>381462</v>
      </c>
      <c r="G835">
        <v>45</v>
      </c>
    </row>
    <row r="836" spans="1:7" x14ac:dyDescent="0.25">
      <c r="A836">
        <v>8483919</v>
      </c>
      <c r="B836" t="s">
        <v>18</v>
      </c>
      <c r="C836">
        <v>26346244</v>
      </c>
      <c r="D836" t="s">
        <v>7</v>
      </c>
      <c r="E836" s="2">
        <v>1735086</v>
      </c>
      <c r="F836" s="2">
        <v>570066</v>
      </c>
      <c r="G836">
        <v>105</v>
      </c>
    </row>
    <row r="837" spans="1:7" x14ac:dyDescent="0.25">
      <c r="A837">
        <v>8484108</v>
      </c>
      <c r="B837" t="s">
        <v>16</v>
      </c>
      <c r="C837">
        <v>24010205</v>
      </c>
      <c r="D837" t="s">
        <v>7</v>
      </c>
      <c r="E837" s="2">
        <v>239296</v>
      </c>
      <c r="F837" s="2">
        <v>25647</v>
      </c>
      <c r="G837">
        <v>45</v>
      </c>
    </row>
    <row r="838" spans="1:7" x14ac:dyDescent="0.25">
      <c r="A838">
        <v>8485525</v>
      </c>
      <c r="B838" t="s">
        <v>16</v>
      </c>
      <c r="C838">
        <v>1469200</v>
      </c>
      <c r="D838" t="s">
        <v>7</v>
      </c>
      <c r="E838" s="2">
        <v>3776240</v>
      </c>
      <c r="F838" s="2">
        <v>1799747</v>
      </c>
      <c r="G838">
        <v>105</v>
      </c>
    </row>
    <row r="839" spans="1:7" x14ac:dyDescent="0.25">
      <c r="A839">
        <v>8485525</v>
      </c>
      <c r="B839" t="s">
        <v>16</v>
      </c>
      <c r="C839">
        <v>23930618</v>
      </c>
      <c r="D839" t="s">
        <v>12</v>
      </c>
      <c r="E839" s="2">
        <v>272505</v>
      </c>
      <c r="F839" s="2">
        <v>301642</v>
      </c>
      <c r="G839">
        <v>100</v>
      </c>
    </row>
    <row r="840" spans="1:7" x14ac:dyDescent="0.25">
      <c r="A840">
        <v>8485525</v>
      </c>
      <c r="B840" t="s">
        <v>16</v>
      </c>
      <c r="C840">
        <v>24887918</v>
      </c>
      <c r="D840" t="s">
        <v>12</v>
      </c>
      <c r="E840" s="2">
        <v>1030147</v>
      </c>
      <c r="F840" s="2">
        <v>508178</v>
      </c>
      <c r="G840">
        <v>100</v>
      </c>
    </row>
    <row r="841" spans="1:7" x14ac:dyDescent="0.25">
      <c r="A841">
        <v>8485611</v>
      </c>
      <c r="B841" t="s">
        <v>18</v>
      </c>
      <c r="C841">
        <v>19639856</v>
      </c>
      <c r="D841" t="s">
        <v>7</v>
      </c>
      <c r="E841" s="2">
        <v>3554912</v>
      </c>
      <c r="F841" s="2">
        <v>1035111</v>
      </c>
      <c r="G841">
        <v>45</v>
      </c>
    </row>
    <row r="842" spans="1:7" x14ac:dyDescent="0.25">
      <c r="A842">
        <v>8486233</v>
      </c>
      <c r="B842" t="s">
        <v>18</v>
      </c>
      <c r="C842">
        <v>26369161</v>
      </c>
      <c r="D842" t="s">
        <v>7</v>
      </c>
      <c r="E842" s="2">
        <v>167002</v>
      </c>
      <c r="F842" s="2">
        <v>4810</v>
      </c>
      <c r="G842">
        <v>45</v>
      </c>
    </row>
    <row r="843" spans="1:7" x14ac:dyDescent="0.25">
      <c r="A843">
        <v>8486527</v>
      </c>
      <c r="B843" t="s">
        <v>17</v>
      </c>
      <c r="C843">
        <v>23843578</v>
      </c>
      <c r="D843" t="s">
        <v>7</v>
      </c>
      <c r="E843" s="2">
        <v>16171</v>
      </c>
      <c r="F843" s="2">
        <v>8743</v>
      </c>
      <c r="G843">
        <v>45</v>
      </c>
    </row>
    <row r="844" spans="1:7" x14ac:dyDescent="0.25">
      <c r="A844">
        <v>8486527</v>
      </c>
      <c r="B844" t="s">
        <v>17</v>
      </c>
      <c r="C844">
        <v>24371347</v>
      </c>
      <c r="D844" t="s">
        <v>7</v>
      </c>
      <c r="E844" s="2">
        <v>813450</v>
      </c>
      <c r="F844" s="2">
        <v>137873</v>
      </c>
      <c r="G844">
        <v>75</v>
      </c>
    </row>
    <row r="845" spans="1:7" x14ac:dyDescent="0.25">
      <c r="A845">
        <v>8486686</v>
      </c>
      <c r="B845" t="s">
        <v>18</v>
      </c>
      <c r="C845">
        <v>16157140</v>
      </c>
      <c r="D845" t="s">
        <v>7</v>
      </c>
      <c r="E845" s="2">
        <v>1456109</v>
      </c>
      <c r="F845" s="2">
        <v>148602</v>
      </c>
      <c r="G845">
        <v>45</v>
      </c>
    </row>
    <row r="846" spans="1:7" x14ac:dyDescent="0.25">
      <c r="A846">
        <v>8486807</v>
      </c>
      <c r="B846" t="s">
        <v>18</v>
      </c>
      <c r="C846">
        <v>27598664</v>
      </c>
      <c r="D846" t="s">
        <v>7</v>
      </c>
      <c r="E846" s="2">
        <v>248203</v>
      </c>
      <c r="F846" s="2">
        <v>5109</v>
      </c>
      <c r="G846">
        <v>45</v>
      </c>
    </row>
    <row r="847" spans="1:7" x14ac:dyDescent="0.25">
      <c r="A847">
        <v>8487332</v>
      </c>
      <c r="B847" t="s">
        <v>16</v>
      </c>
      <c r="C847">
        <v>21577757</v>
      </c>
      <c r="D847" t="s">
        <v>11</v>
      </c>
      <c r="E847" s="2">
        <v>12234916</v>
      </c>
      <c r="F847" s="2">
        <v>695414</v>
      </c>
      <c r="G847">
        <v>18</v>
      </c>
    </row>
    <row r="848" spans="1:7" x14ac:dyDescent="0.25">
      <c r="A848">
        <v>8488069</v>
      </c>
      <c r="B848" t="s">
        <v>18</v>
      </c>
      <c r="C848">
        <v>26845371</v>
      </c>
      <c r="D848" t="s">
        <v>7</v>
      </c>
      <c r="E848" s="2">
        <v>4204290</v>
      </c>
      <c r="F848" s="2">
        <v>4782380</v>
      </c>
      <c r="G848">
        <v>225</v>
      </c>
    </row>
    <row r="849" spans="1:7" x14ac:dyDescent="0.25">
      <c r="A849">
        <v>8488441</v>
      </c>
      <c r="B849" t="s">
        <v>18</v>
      </c>
      <c r="C849">
        <v>19581466</v>
      </c>
      <c r="D849" t="s">
        <v>7</v>
      </c>
      <c r="E849" s="2">
        <v>2383924</v>
      </c>
      <c r="F849" s="2">
        <v>364062</v>
      </c>
      <c r="G849">
        <v>105</v>
      </c>
    </row>
    <row r="850" spans="1:7" x14ac:dyDescent="0.25">
      <c r="A850">
        <v>8488549</v>
      </c>
      <c r="B850" t="s">
        <v>16</v>
      </c>
      <c r="C850">
        <v>21549880</v>
      </c>
      <c r="D850" t="s">
        <v>8</v>
      </c>
      <c r="E850" s="2">
        <v>48829448</v>
      </c>
      <c r="F850" s="2">
        <v>678579</v>
      </c>
      <c r="G850">
        <v>18</v>
      </c>
    </row>
    <row r="851" spans="1:7" x14ac:dyDescent="0.25">
      <c r="A851">
        <v>8488607</v>
      </c>
      <c r="B851" t="s">
        <v>16</v>
      </c>
      <c r="C851">
        <v>16298760</v>
      </c>
      <c r="D851" t="s">
        <v>7</v>
      </c>
      <c r="E851" s="2">
        <v>2603946</v>
      </c>
      <c r="F851" s="2">
        <v>245574</v>
      </c>
      <c r="G851">
        <v>45</v>
      </c>
    </row>
    <row r="852" spans="1:7" x14ac:dyDescent="0.25">
      <c r="A852">
        <v>8488668</v>
      </c>
      <c r="B852" t="s">
        <v>18</v>
      </c>
      <c r="C852">
        <v>25472034</v>
      </c>
      <c r="D852" t="s">
        <v>7</v>
      </c>
      <c r="E852" s="2">
        <v>321676</v>
      </c>
      <c r="F852" s="2">
        <v>87773</v>
      </c>
      <c r="G852">
        <v>45</v>
      </c>
    </row>
    <row r="853" spans="1:7" x14ac:dyDescent="0.25">
      <c r="A853">
        <v>8488668</v>
      </c>
      <c r="B853" t="s">
        <v>18</v>
      </c>
      <c r="C853">
        <v>25483738</v>
      </c>
      <c r="D853" t="s">
        <v>11</v>
      </c>
      <c r="E853" s="2">
        <v>1844015</v>
      </c>
      <c r="F853" s="2">
        <v>841065</v>
      </c>
      <c r="G853">
        <v>139</v>
      </c>
    </row>
    <row r="854" spans="1:7" x14ac:dyDescent="0.25">
      <c r="A854">
        <v>8488982</v>
      </c>
      <c r="B854" t="s">
        <v>17</v>
      </c>
      <c r="C854">
        <v>24163017</v>
      </c>
      <c r="D854" t="s">
        <v>7</v>
      </c>
      <c r="E854" s="2">
        <v>4779534</v>
      </c>
      <c r="F854" s="2">
        <v>1380839</v>
      </c>
      <c r="G854">
        <v>105</v>
      </c>
    </row>
    <row r="855" spans="1:7" x14ac:dyDescent="0.25">
      <c r="A855">
        <v>8489163</v>
      </c>
      <c r="B855" t="s">
        <v>18</v>
      </c>
      <c r="C855">
        <v>25275656</v>
      </c>
      <c r="D855" t="s">
        <v>7</v>
      </c>
      <c r="E855" s="2">
        <v>109497</v>
      </c>
      <c r="F855" s="2">
        <v>81233</v>
      </c>
      <c r="G855">
        <v>45</v>
      </c>
    </row>
    <row r="856" spans="1:7" x14ac:dyDescent="0.25">
      <c r="A856">
        <v>8489318</v>
      </c>
      <c r="B856" t="s">
        <v>18</v>
      </c>
      <c r="C856">
        <v>25471498</v>
      </c>
      <c r="D856" t="s">
        <v>7</v>
      </c>
      <c r="E856" s="2">
        <v>830440</v>
      </c>
      <c r="F856" s="2">
        <v>944626</v>
      </c>
      <c r="G856">
        <v>375</v>
      </c>
    </row>
    <row r="857" spans="1:7" x14ac:dyDescent="0.25">
      <c r="A857">
        <v>8489458</v>
      </c>
      <c r="B857" t="s">
        <v>18</v>
      </c>
      <c r="C857">
        <v>25194912</v>
      </c>
      <c r="D857" t="s">
        <v>7</v>
      </c>
      <c r="E857" s="2">
        <v>710367</v>
      </c>
      <c r="F857" s="2">
        <v>152063</v>
      </c>
      <c r="G857">
        <v>45</v>
      </c>
    </row>
    <row r="858" spans="1:7" x14ac:dyDescent="0.25">
      <c r="A858">
        <v>8489663</v>
      </c>
      <c r="B858" t="s">
        <v>18</v>
      </c>
      <c r="C858">
        <v>25490054</v>
      </c>
      <c r="D858" t="s">
        <v>7</v>
      </c>
      <c r="E858" s="2">
        <v>2105340</v>
      </c>
      <c r="F858" s="2">
        <v>2394824</v>
      </c>
      <c r="G858">
        <v>165</v>
      </c>
    </row>
    <row r="859" spans="1:7" x14ac:dyDescent="0.25">
      <c r="A859">
        <v>8489663</v>
      </c>
      <c r="B859" t="s">
        <v>18</v>
      </c>
      <c r="C859">
        <v>27844618</v>
      </c>
      <c r="D859" t="s">
        <v>7</v>
      </c>
      <c r="E859" s="2">
        <v>70824</v>
      </c>
      <c r="F859" s="2">
        <v>80562</v>
      </c>
      <c r="G859">
        <v>75</v>
      </c>
    </row>
    <row r="860" spans="1:7" x14ac:dyDescent="0.25">
      <c r="A860">
        <v>8489760</v>
      </c>
      <c r="B860" t="s">
        <v>17</v>
      </c>
      <c r="C860">
        <v>14047669</v>
      </c>
      <c r="D860" t="s">
        <v>7</v>
      </c>
      <c r="E860" s="2">
        <v>2105009</v>
      </c>
      <c r="F860" s="2">
        <v>196646</v>
      </c>
      <c r="G860">
        <v>45</v>
      </c>
    </row>
    <row r="861" spans="1:7" x14ac:dyDescent="0.25">
      <c r="A861">
        <v>8489760</v>
      </c>
      <c r="B861" t="s">
        <v>17</v>
      </c>
      <c r="C861">
        <v>15290708</v>
      </c>
      <c r="D861" t="s">
        <v>7</v>
      </c>
      <c r="E861" s="2">
        <v>3482112</v>
      </c>
      <c r="F861" s="2">
        <v>444418</v>
      </c>
      <c r="G861">
        <v>45</v>
      </c>
    </row>
    <row r="862" spans="1:7" x14ac:dyDescent="0.25">
      <c r="A862">
        <v>8489814</v>
      </c>
      <c r="B862" t="s">
        <v>16</v>
      </c>
      <c r="C862">
        <v>27893831</v>
      </c>
      <c r="D862" t="s">
        <v>7</v>
      </c>
      <c r="E862" s="2">
        <v>1955895</v>
      </c>
      <c r="F862" s="2">
        <v>200346</v>
      </c>
      <c r="G862">
        <v>45</v>
      </c>
    </row>
    <row r="863" spans="1:7" x14ac:dyDescent="0.25">
      <c r="A863">
        <v>8489859</v>
      </c>
      <c r="B863" t="s">
        <v>18</v>
      </c>
      <c r="C863">
        <v>21249039</v>
      </c>
      <c r="D863" t="s">
        <v>7</v>
      </c>
      <c r="E863" s="2">
        <v>866349</v>
      </c>
      <c r="F863" s="2">
        <v>164171</v>
      </c>
      <c r="G863">
        <v>45</v>
      </c>
    </row>
    <row r="864" spans="1:7" x14ac:dyDescent="0.25">
      <c r="A864">
        <v>8489978</v>
      </c>
      <c r="B864" t="s">
        <v>17</v>
      </c>
      <c r="C864">
        <v>25970137</v>
      </c>
      <c r="D864" t="s">
        <v>7</v>
      </c>
      <c r="E864" s="2">
        <v>18156712</v>
      </c>
      <c r="F864" s="2">
        <v>20653260</v>
      </c>
      <c r="G864">
        <v>135</v>
      </c>
    </row>
    <row r="865" spans="1:7" x14ac:dyDescent="0.25">
      <c r="A865">
        <v>8490353</v>
      </c>
      <c r="B865" t="s">
        <v>17</v>
      </c>
      <c r="C865">
        <v>23277912</v>
      </c>
      <c r="D865" t="s">
        <v>7</v>
      </c>
      <c r="E865" s="2">
        <v>458556</v>
      </c>
      <c r="F865" s="2">
        <v>521608</v>
      </c>
      <c r="G865">
        <v>375</v>
      </c>
    </row>
    <row r="866" spans="1:7" x14ac:dyDescent="0.25">
      <c r="A866">
        <v>8490527</v>
      </c>
      <c r="B866" t="s">
        <v>17</v>
      </c>
      <c r="C866">
        <v>20854367</v>
      </c>
      <c r="D866" t="s">
        <v>7</v>
      </c>
      <c r="E866" s="2">
        <v>2888126</v>
      </c>
      <c r="F866" s="2">
        <v>3285243</v>
      </c>
      <c r="G866">
        <v>165</v>
      </c>
    </row>
    <row r="867" spans="1:7" x14ac:dyDescent="0.25">
      <c r="A867">
        <v>8490527</v>
      </c>
      <c r="B867" t="s">
        <v>17</v>
      </c>
      <c r="C867">
        <v>20855710</v>
      </c>
      <c r="D867" t="s">
        <v>7</v>
      </c>
      <c r="E867" s="2">
        <v>68052</v>
      </c>
      <c r="F867" s="2">
        <v>77409</v>
      </c>
      <c r="G867">
        <v>165</v>
      </c>
    </row>
    <row r="868" spans="1:7" x14ac:dyDescent="0.25">
      <c r="A868">
        <v>8490856</v>
      </c>
      <c r="B868" t="s">
        <v>17</v>
      </c>
      <c r="C868">
        <v>19824822</v>
      </c>
      <c r="D868" t="s">
        <v>7</v>
      </c>
      <c r="E868" s="2">
        <v>2198085</v>
      </c>
      <c r="F868" s="2">
        <v>338198</v>
      </c>
      <c r="G868">
        <v>45</v>
      </c>
    </row>
    <row r="869" spans="1:7" x14ac:dyDescent="0.25">
      <c r="A869">
        <v>8490856</v>
      </c>
      <c r="B869" t="s">
        <v>17</v>
      </c>
      <c r="C869">
        <v>22443572</v>
      </c>
      <c r="D869" t="s">
        <v>7</v>
      </c>
      <c r="E869" s="2">
        <v>1278174</v>
      </c>
      <c r="F869" s="2">
        <v>299073</v>
      </c>
      <c r="G869">
        <v>45</v>
      </c>
    </row>
    <row r="870" spans="1:7" x14ac:dyDescent="0.25">
      <c r="A870">
        <v>8491203</v>
      </c>
      <c r="B870" t="s">
        <v>17</v>
      </c>
      <c r="C870">
        <v>21218625</v>
      </c>
      <c r="D870" t="s">
        <v>7</v>
      </c>
      <c r="E870" s="2">
        <v>3720170</v>
      </c>
      <c r="F870" s="2">
        <v>1300277</v>
      </c>
      <c r="G870">
        <v>75</v>
      </c>
    </row>
    <row r="871" spans="1:7" x14ac:dyDescent="0.25">
      <c r="A871">
        <v>8491282</v>
      </c>
      <c r="B871" t="s">
        <v>18</v>
      </c>
      <c r="C871">
        <v>22486333</v>
      </c>
      <c r="D871" t="s">
        <v>7</v>
      </c>
      <c r="E871" s="2">
        <v>561842</v>
      </c>
      <c r="F871" s="2">
        <v>112147</v>
      </c>
      <c r="G871">
        <v>45</v>
      </c>
    </row>
    <row r="872" spans="1:7" x14ac:dyDescent="0.25">
      <c r="A872">
        <v>8491300</v>
      </c>
      <c r="B872" t="s">
        <v>17</v>
      </c>
      <c r="C872">
        <v>21183899</v>
      </c>
      <c r="D872" t="s">
        <v>7</v>
      </c>
      <c r="E872" s="2">
        <v>6881570</v>
      </c>
      <c r="F872" s="2">
        <v>1037503</v>
      </c>
      <c r="G872">
        <v>45</v>
      </c>
    </row>
    <row r="873" spans="1:7" x14ac:dyDescent="0.25">
      <c r="A873">
        <v>8491306</v>
      </c>
      <c r="B873" t="s">
        <v>17</v>
      </c>
      <c r="C873">
        <v>28043155</v>
      </c>
      <c r="D873" t="s">
        <v>7</v>
      </c>
      <c r="E873" s="2">
        <v>791718</v>
      </c>
      <c r="F873" s="2">
        <v>105202</v>
      </c>
      <c r="G873">
        <v>45</v>
      </c>
    </row>
    <row r="874" spans="1:7" x14ac:dyDescent="0.25">
      <c r="A874">
        <v>8491572</v>
      </c>
      <c r="B874" t="s">
        <v>18</v>
      </c>
      <c r="C874">
        <v>25119103</v>
      </c>
      <c r="D874" t="s">
        <v>7</v>
      </c>
      <c r="E874" s="2">
        <v>1735113</v>
      </c>
      <c r="F874" s="2">
        <v>800737</v>
      </c>
      <c r="G874">
        <v>75</v>
      </c>
    </row>
    <row r="875" spans="1:7" x14ac:dyDescent="0.25">
      <c r="A875">
        <v>8491737</v>
      </c>
      <c r="B875" t="s">
        <v>17</v>
      </c>
      <c r="C875">
        <v>26833770</v>
      </c>
      <c r="D875" t="s">
        <v>7</v>
      </c>
      <c r="E875" s="2">
        <v>1914918</v>
      </c>
      <c r="F875" s="2">
        <v>2178219</v>
      </c>
      <c r="G875">
        <v>255</v>
      </c>
    </row>
    <row r="876" spans="1:7" x14ac:dyDescent="0.25">
      <c r="A876">
        <v>8491737</v>
      </c>
      <c r="B876" t="s">
        <v>17</v>
      </c>
      <c r="C876">
        <v>26835229</v>
      </c>
      <c r="D876" t="s">
        <v>7</v>
      </c>
      <c r="E876" s="2">
        <v>1465302</v>
      </c>
      <c r="F876" s="2">
        <v>1666781</v>
      </c>
      <c r="G876">
        <v>225</v>
      </c>
    </row>
    <row r="877" spans="1:7" x14ac:dyDescent="0.25">
      <c r="A877">
        <v>8491826</v>
      </c>
      <c r="B877" t="s">
        <v>18</v>
      </c>
      <c r="C877">
        <v>26151343</v>
      </c>
      <c r="D877" t="s">
        <v>7</v>
      </c>
      <c r="E877" s="2">
        <v>604407</v>
      </c>
      <c r="F877" s="2">
        <v>453081</v>
      </c>
      <c r="G877">
        <v>75</v>
      </c>
    </row>
    <row r="878" spans="1:7" x14ac:dyDescent="0.25">
      <c r="A878">
        <v>8491843</v>
      </c>
      <c r="B878" t="s">
        <v>17</v>
      </c>
      <c r="C878">
        <v>27278763</v>
      </c>
      <c r="D878" t="s">
        <v>7</v>
      </c>
      <c r="E878" s="2">
        <v>3954774</v>
      </c>
      <c r="F878" s="2">
        <v>2214686</v>
      </c>
      <c r="G878">
        <v>45</v>
      </c>
    </row>
    <row r="879" spans="1:7" x14ac:dyDescent="0.25">
      <c r="A879">
        <v>8491858</v>
      </c>
      <c r="B879" t="s">
        <v>16</v>
      </c>
      <c r="C879">
        <v>27654219</v>
      </c>
      <c r="D879" t="s">
        <v>7</v>
      </c>
      <c r="E879" s="2">
        <v>2944195</v>
      </c>
      <c r="F879" s="2">
        <v>187267</v>
      </c>
      <c r="G879">
        <v>45</v>
      </c>
    </row>
    <row r="880" spans="1:7" x14ac:dyDescent="0.25">
      <c r="A880">
        <v>8491877</v>
      </c>
      <c r="B880" t="s">
        <v>18</v>
      </c>
      <c r="C880">
        <v>27396609</v>
      </c>
      <c r="D880" t="s">
        <v>7</v>
      </c>
      <c r="E880" s="2">
        <v>3559523</v>
      </c>
      <c r="F880" s="2">
        <v>399573</v>
      </c>
      <c r="G880">
        <v>45</v>
      </c>
    </row>
    <row r="881" spans="1:7" x14ac:dyDescent="0.25">
      <c r="A881">
        <v>8491961</v>
      </c>
      <c r="B881" t="s">
        <v>18</v>
      </c>
      <c r="C881">
        <v>24127681</v>
      </c>
      <c r="D881" t="s">
        <v>7</v>
      </c>
      <c r="E881" s="2">
        <v>742774</v>
      </c>
      <c r="F881" s="2">
        <v>844905</v>
      </c>
      <c r="G881">
        <v>165</v>
      </c>
    </row>
    <row r="882" spans="1:7" x14ac:dyDescent="0.25">
      <c r="A882">
        <v>8492088</v>
      </c>
      <c r="B882" t="s">
        <v>17</v>
      </c>
      <c r="C882">
        <v>26935418</v>
      </c>
      <c r="D882" t="s">
        <v>7</v>
      </c>
      <c r="E882" s="2">
        <v>2547816</v>
      </c>
      <c r="F882" s="2">
        <v>2898141</v>
      </c>
      <c r="G882">
        <v>255</v>
      </c>
    </row>
    <row r="883" spans="1:7" x14ac:dyDescent="0.25">
      <c r="A883">
        <v>8492200</v>
      </c>
      <c r="B883" t="s">
        <v>16</v>
      </c>
      <c r="C883">
        <v>26140581</v>
      </c>
      <c r="D883" t="s">
        <v>9</v>
      </c>
      <c r="E883" s="2">
        <v>6630102</v>
      </c>
      <c r="F883" s="2">
        <v>286181</v>
      </c>
      <c r="G883">
        <v>30</v>
      </c>
    </row>
    <row r="884" spans="1:7" x14ac:dyDescent="0.25">
      <c r="A884">
        <v>8492200</v>
      </c>
      <c r="B884" t="s">
        <v>16</v>
      </c>
      <c r="C884">
        <v>27915896</v>
      </c>
      <c r="D884" t="s">
        <v>7</v>
      </c>
      <c r="E884" s="2">
        <v>3122406</v>
      </c>
      <c r="F884" s="2">
        <v>409255</v>
      </c>
      <c r="G884">
        <v>45</v>
      </c>
    </row>
    <row r="885" spans="1:7" x14ac:dyDescent="0.25">
      <c r="A885">
        <v>8492200</v>
      </c>
      <c r="B885" t="s">
        <v>16</v>
      </c>
      <c r="C885">
        <v>27917896</v>
      </c>
      <c r="D885" t="s">
        <v>7</v>
      </c>
      <c r="E885" s="2">
        <v>3105384</v>
      </c>
      <c r="F885" s="2">
        <v>801797</v>
      </c>
      <c r="G885">
        <v>45</v>
      </c>
    </row>
    <row r="886" spans="1:7" x14ac:dyDescent="0.25">
      <c r="A886">
        <v>8492224</v>
      </c>
      <c r="B886" t="s">
        <v>17</v>
      </c>
      <c r="C886">
        <v>25908299</v>
      </c>
      <c r="D886" t="s">
        <v>9</v>
      </c>
      <c r="E886" s="2">
        <v>5136337</v>
      </c>
      <c r="F886" s="2">
        <v>1148439</v>
      </c>
      <c r="G886">
        <v>220</v>
      </c>
    </row>
    <row r="887" spans="1:7" x14ac:dyDescent="0.25">
      <c r="A887">
        <v>8519022</v>
      </c>
      <c r="B887" t="s">
        <v>18</v>
      </c>
      <c r="C887">
        <v>25194705</v>
      </c>
      <c r="D887" t="s">
        <v>7</v>
      </c>
      <c r="E887" s="2">
        <v>304541</v>
      </c>
      <c r="F887" s="2">
        <v>90884</v>
      </c>
      <c r="G887">
        <v>75</v>
      </c>
    </row>
    <row r="888" spans="1:7" x14ac:dyDescent="0.25">
      <c r="A888">
        <v>8519941</v>
      </c>
      <c r="B888" t="s">
        <v>18</v>
      </c>
      <c r="C888">
        <v>25778601</v>
      </c>
      <c r="D888" t="s">
        <v>7</v>
      </c>
      <c r="E888" s="2">
        <v>1312962</v>
      </c>
      <c r="F888" s="2">
        <v>132772</v>
      </c>
      <c r="G888">
        <v>45</v>
      </c>
    </row>
    <row r="889" spans="1:7" x14ac:dyDescent="0.25">
      <c r="A889">
        <v>8520783</v>
      </c>
      <c r="B889" t="s">
        <v>18</v>
      </c>
      <c r="C889">
        <v>26404064</v>
      </c>
      <c r="D889" t="s">
        <v>7</v>
      </c>
      <c r="E889" s="2">
        <v>953969</v>
      </c>
      <c r="F889" s="2">
        <v>181957</v>
      </c>
      <c r="G889">
        <v>75</v>
      </c>
    </row>
    <row r="890" spans="1:7" x14ac:dyDescent="0.25">
      <c r="A890">
        <v>8520783</v>
      </c>
      <c r="B890" t="s">
        <v>18</v>
      </c>
      <c r="C890">
        <v>26405918</v>
      </c>
      <c r="D890" t="s">
        <v>7</v>
      </c>
      <c r="E890" s="2">
        <v>1021574</v>
      </c>
      <c r="F890" s="2">
        <v>191805</v>
      </c>
      <c r="G890">
        <v>75</v>
      </c>
    </row>
    <row r="891" spans="1:7" x14ac:dyDescent="0.25">
      <c r="A891">
        <v>8520919</v>
      </c>
      <c r="B891" t="s">
        <v>18</v>
      </c>
      <c r="C891">
        <v>26329105</v>
      </c>
      <c r="D891" t="s">
        <v>7</v>
      </c>
      <c r="E891" s="2">
        <v>575327</v>
      </c>
      <c r="F891" s="2">
        <v>35765</v>
      </c>
      <c r="G891">
        <v>45</v>
      </c>
    </row>
    <row r="892" spans="1:7" x14ac:dyDescent="0.25">
      <c r="A892">
        <v>8521919</v>
      </c>
      <c r="B892" t="s">
        <v>18</v>
      </c>
      <c r="C892">
        <v>16760544</v>
      </c>
      <c r="D892" t="s">
        <v>7</v>
      </c>
      <c r="E892" s="2">
        <v>1241700</v>
      </c>
      <c r="F892" s="2">
        <v>311979</v>
      </c>
      <c r="G892">
        <v>75</v>
      </c>
    </row>
    <row r="893" spans="1:7" x14ac:dyDescent="0.25">
      <c r="A893">
        <v>8522254</v>
      </c>
      <c r="B893" t="s">
        <v>18</v>
      </c>
      <c r="C893">
        <v>23993880</v>
      </c>
      <c r="D893" t="s">
        <v>7</v>
      </c>
      <c r="E893" s="2">
        <v>1208075</v>
      </c>
      <c r="F893" s="2">
        <v>149872</v>
      </c>
      <c r="G893">
        <v>45</v>
      </c>
    </row>
    <row r="894" spans="1:7" x14ac:dyDescent="0.25">
      <c r="A894">
        <v>8522309</v>
      </c>
      <c r="B894" t="s">
        <v>16</v>
      </c>
      <c r="C894">
        <v>27443938</v>
      </c>
      <c r="D894" t="s">
        <v>7</v>
      </c>
      <c r="E894" s="2">
        <v>2473990</v>
      </c>
      <c r="F894" s="2">
        <v>204711</v>
      </c>
      <c r="G894">
        <v>45</v>
      </c>
    </row>
    <row r="895" spans="1:7" x14ac:dyDescent="0.25">
      <c r="A895">
        <v>8522309</v>
      </c>
      <c r="B895" t="s">
        <v>16</v>
      </c>
      <c r="C895">
        <v>27626239</v>
      </c>
      <c r="D895" t="s">
        <v>11</v>
      </c>
      <c r="E895" s="2">
        <v>16770484</v>
      </c>
      <c r="F895" s="2">
        <v>488276</v>
      </c>
      <c r="G895">
        <v>44</v>
      </c>
    </row>
    <row r="896" spans="1:7" x14ac:dyDescent="0.25">
      <c r="A896">
        <v>8522458</v>
      </c>
      <c r="B896" t="s">
        <v>18</v>
      </c>
      <c r="C896">
        <v>21683437</v>
      </c>
      <c r="D896" t="s">
        <v>7</v>
      </c>
      <c r="E896" s="2">
        <v>314780</v>
      </c>
      <c r="F896" s="2">
        <v>94270</v>
      </c>
      <c r="G896">
        <v>105</v>
      </c>
    </row>
    <row r="897" spans="1:7" x14ac:dyDescent="0.25">
      <c r="A897">
        <v>8522957</v>
      </c>
      <c r="B897" t="s">
        <v>18</v>
      </c>
      <c r="C897">
        <v>22516382</v>
      </c>
      <c r="D897" t="s">
        <v>7</v>
      </c>
      <c r="E897" s="2">
        <v>937270</v>
      </c>
      <c r="F897" s="2">
        <v>81085</v>
      </c>
      <c r="G897">
        <v>45</v>
      </c>
    </row>
    <row r="898" spans="1:7" x14ac:dyDescent="0.25">
      <c r="A898">
        <v>8523124</v>
      </c>
      <c r="B898" t="s">
        <v>18</v>
      </c>
      <c r="C898">
        <v>26225662</v>
      </c>
      <c r="D898" t="s">
        <v>7</v>
      </c>
      <c r="E898" s="2">
        <v>347874</v>
      </c>
      <c r="F898" s="2">
        <v>25640</v>
      </c>
      <c r="G898">
        <v>45</v>
      </c>
    </row>
    <row r="899" spans="1:7" x14ac:dyDescent="0.25">
      <c r="A899">
        <v>8523205</v>
      </c>
      <c r="B899" t="s">
        <v>17</v>
      </c>
      <c r="C899">
        <v>22375306</v>
      </c>
      <c r="D899" t="s">
        <v>7</v>
      </c>
      <c r="E899" s="2">
        <v>650989</v>
      </c>
      <c r="F899" s="2">
        <v>740500</v>
      </c>
      <c r="G899">
        <v>195</v>
      </c>
    </row>
    <row r="900" spans="1:7" x14ac:dyDescent="0.25">
      <c r="A900">
        <v>8523205</v>
      </c>
      <c r="B900" t="s">
        <v>17</v>
      </c>
      <c r="C900">
        <v>24912565</v>
      </c>
      <c r="D900" t="s">
        <v>7</v>
      </c>
      <c r="E900" s="2">
        <v>3187058</v>
      </c>
      <c r="F900" s="2">
        <v>3625279</v>
      </c>
      <c r="G900">
        <v>135</v>
      </c>
    </row>
    <row r="901" spans="1:7" x14ac:dyDescent="0.25">
      <c r="A901">
        <v>8523859</v>
      </c>
      <c r="B901" t="s">
        <v>18</v>
      </c>
      <c r="C901">
        <v>22375306</v>
      </c>
      <c r="D901" t="s">
        <v>7</v>
      </c>
      <c r="E901" s="2">
        <v>697491</v>
      </c>
      <c r="F901" s="2">
        <v>7806</v>
      </c>
      <c r="G901">
        <v>45</v>
      </c>
    </row>
    <row r="902" spans="1:7" x14ac:dyDescent="0.25">
      <c r="A902">
        <v>8523897</v>
      </c>
      <c r="B902" t="s">
        <v>18</v>
      </c>
      <c r="C902">
        <v>19889218</v>
      </c>
      <c r="D902" t="s">
        <v>7</v>
      </c>
      <c r="E902" s="2">
        <v>580993</v>
      </c>
      <c r="F902" s="2">
        <v>82368</v>
      </c>
      <c r="G902">
        <v>45</v>
      </c>
    </row>
    <row r="903" spans="1:7" x14ac:dyDescent="0.25">
      <c r="A903">
        <v>8524048</v>
      </c>
      <c r="B903" t="s">
        <v>18</v>
      </c>
      <c r="C903">
        <v>23295919</v>
      </c>
      <c r="D903" t="s">
        <v>7</v>
      </c>
      <c r="E903" s="2">
        <v>846535</v>
      </c>
      <c r="F903" s="2">
        <v>47855</v>
      </c>
      <c r="G903">
        <v>45</v>
      </c>
    </row>
    <row r="904" spans="1:7" x14ac:dyDescent="0.25">
      <c r="A904">
        <v>8524070</v>
      </c>
      <c r="B904" t="s">
        <v>18</v>
      </c>
      <c r="C904">
        <v>15357610</v>
      </c>
      <c r="D904" t="s">
        <v>7</v>
      </c>
      <c r="E904" s="2">
        <v>485767</v>
      </c>
      <c r="F904" s="2">
        <v>551887</v>
      </c>
      <c r="G904">
        <v>375</v>
      </c>
    </row>
    <row r="905" spans="1:7" x14ac:dyDescent="0.25">
      <c r="A905">
        <v>8524793</v>
      </c>
      <c r="B905" t="s">
        <v>18</v>
      </c>
      <c r="C905">
        <v>21416546</v>
      </c>
      <c r="D905" t="s">
        <v>7</v>
      </c>
      <c r="E905" s="2">
        <v>509235</v>
      </c>
      <c r="F905" s="2">
        <v>42264</v>
      </c>
      <c r="G905">
        <v>45</v>
      </c>
    </row>
    <row r="906" spans="1:7" x14ac:dyDescent="0.25">
      <c r="A906">
        <v>8524847</v>
      </c>
      <c r="B906" t="s">
        <v>17</v>
      </c>
      <c r="C906">
        <v>26782857</v>
      </c>
      <c r="D906" t="s">
        <v>7</v>
      </c>
      <c r="E906" s="2">
        <v>945189</v>
      </c>
      <c r="F906" s="2">
        <v>50256</v>
      </c>
      <c r="G906">
        <v>45</v>
      </c>
    </row>
    <row r="907" spans="1:7" x14ac:dyDescent="0.25">
      <c r="A907">
        <v>8525305</v>
      </c>
      <c r="B907" t="s">
        <v>18</v>
      </c>
      <c r="C907">
        <v>18744641</v>
      </c>
      <c r="D907" t="s">
        <v>7</v>
      </c>
      <c r="E907" s="2">
        <v>1957623</v>
      </c>
      <c r="F907" s="2">
        <v>2226796</v>
      </c>
      <c r="G907">
        <v>165</v>
      </c>
    </row>
    <row r="908" spans="1:7" x14ac:dyDescent="0.25">
      <c r="A908">
        <v>8525340</v>
      </c>
      <c r="B908" t="s">
        <v>18</v>
      </c>
      <c r="C908">
        <v>10638085</v>
      </c>
      <c r="D908" t="s">
        <v>7</v>
      </c>
      <c r="E908" s="2">
        <v>890520</v>
      </c>
      <c r="F908" s="2">
        <v>243735</v>
      </c>
      <c r="G908">
        <v>75</v>
      </c>
    </row>
    <row r="909" spans="1:7" x14ac:dyDescent="0.25">
      <c r="A909">
        <v>8525418</v>
      </c>
      <c r="B909" t="s">
        <v>18</v>
      </c>
      <c r="C909">
        <v>26225873</v>
      </c>
      <c r="D909" t="s">
        <v>7</v>
      </c>
      <c r="E909" s="2">
        <v>91640</v>
      </c>
      <c r="F909" s="2">
        <v>104241</v>
      </c>
      <c r="G909">
        <v>225</v>
      </c>
    </row>
    <row r="910" spans="1:7" x14ac:dyDescent="0.25">
      <c r="A910">
        <v>8525718</v>
      </c>
      <c r="B910" t="s">
        <v>18</v>
      </c>
      <c r="C910">
        <v>26653538</v>
      </c>
      <c r="D910" t="s">
        <v>7</v>
      </c>
      <c r="E910" s="2">
        <v>1857672</v>
      </c>
      <c r="F910" s="2">
        <v>2113102</v>
      </c>
      <c r="G910">
        <v>225</v>
      </c>
    </row>
    <row r="911" spans="1:7" x14ac:dyDescent="0.25">
      <c r="A911">
        <v>8526274</v>
      </c>
      <c r="B911" t="s">
        <v>18</v>
      </c>
      <c r="C911">
        <v>21202055</v>
      </c>
      <c r="D911" t="s">
        <v>7</v>
      </c>
      <c r="E911" s="2">
        <v>2382087</v>
      </c>
      <c r="F911" s="2">
        <v>572383</v>
      </c>
      <c r="G911">
        <v>75</v>
      </c>
    </row>
    <row r="912" spans="1:7" x14ac:dyDescent="0.25">
      <c r="A912">
        <v>8526376</v>
      </c>
      <c r="B912" t="s">
        <v>17</v>
      </c>
      <c r="C912">
        <v>27672437</v>
      </c>
      <c r="D912" t="s">
        <v>7</v>
      </c>
      <c r="E912" s="2">
        <v>933547</v>
      </c>
      <c r="F912" s="2">
        <v>3902</v>
      </c>
      <c r="G912">
        <v>45</v>
      </c>
    </row>
    <row r="913" spans="1:7" x14ac:dyDescent="0.25">
      <c r="A913">
        <v>8549588</v>
      </c>
      <c r="B913" t="s">
        <v>18</v>
      </c>
      <c r="C913">
        <v>24223502</v>
      </c>
      <c r="D913" t="s">
        <v>7</v>
      </c>
      <c r="E913" s="2">
        <v>574287</v>
      </c>
      <c r="F913" s="2">
        <v>653252</v>
      </c>
      <c r="G913">
        <v>135</v>
      </c>
    </row>
    <row r="914" spans="1:7" x14ac:dyDescent="0.25">
      <c r="A914">
        <v>8549887</v>
      </c>
      <c r="B914" t="s">
        <v>18</v>
      </c>
      <c r="C914">
        <v>23896168</v>
      </c>
      <c r="D914" t="s">
        <v>7</v>
      </c>
      <c r="E914" s="2">
        <v>592747</v>
      </c>
      <c r="F914" s="2">
        <v>75462</v>
      </c>
      <c r="G914">
        <v>45</v>
      </c>
    </row>
    <row r="915" spans="1:7" x14ac:dyDescent="0.25">
      <c r="A915">
        <v>8550032</v>
      </c>
      <c r="B915" t="s">
        <v>17</v>
      </c>
      <c r="C915">
        <v>23865163</v>
      </c>
      <c r="D915" t="s">
        <v>7</v>
      </c>
      <c r="E915" s="2">
        <v>1604225</v>
      </c>
      <c r="F915" s="2">
        <v>1824806</v>
      </c>
      <c r="G915">
        <v>165</v>
      </c>
    </row>
    <row r="916" spans="1:7" x14ac:dyDescent="0.25">
      <c r="A916">
        <v>8550135</v>
      </c>
      <c r="B916" t="s">
        <v>16</v>
      </c>
      <c r="C916">
        <v>23836912</v>
      </c>
      <c r="D916" t="s">
        <v>7</v>
      </c>
      <c r="E916" s="2">
        <v>3075660</v>
      </c>
      <c r="F916" s="2">
        <v>751204</v>
      </c>
      <c r="G916">
        <v>115</v>
      </c>
    </row>
    <row r="917" spans="1:7" x14ac:dyDescent="0.25">
      <c r="A917">
        <v>8550135</v>
      </c>
      <c r="B917" t="s">
        <v>16</v>
      </c>
      <c r="C917">
        <v>25353899</v>
      </c>
      <c r="D917" t="s">
        <v>9</v>
      </c>
      <c r="E917" s="2">
        <v>8301667</v>
      </c>
      <c r="F917" s="2">
        <v>967307</v>
      </c>
      <c r="G917">
        <v>99</v>
      </c>
    </row>
    <row r="918" spans="1:7" x14ac:dyDescent="0.25">
      <c r="A918">
        <v>8550135</v>
      </c>
      <c r="B918" t="s">
        <v>16</v>
      </c>
      <c r="C918">
        <v>27107473</v>
      </c>
      <c r="D918" t="s">
        <v>12</v>
      </c>
      <c r="E918" s="2">
        <v>180147</v>
      </c>
      <c r="F918" s="2">
        <v>26523</v>
      </c>
      <c r="G918">
        <v>110</v>
      </c>
    </row>
    <row r="919" spans="1:7" x14ac:dyDescent="0.25">
      <c r="A919">
        <v>8550298</v>
      </c>
      <c r="B919" t="s">
        <v>18</v>
      </c>
      <c r="C919">
        <v>28167696</v>
      </c>
      <c r="D919" t="s">
        <v>7</v>
      </c>
      <c r="E919" s="2">
        <v>58145</v>
      </c>
      <c r="F919" s="2">
        <v>13393</v>
      </c>
      <c r="G919">
        <v>55</v>
      </c>
    </row>
    <row r="920" spans="1:7" x14ac:dyDescent="0.25">
      <c r="A920">
        <v>8550332</v>
      </c>
      <c r="B920" t="s">
        <v>18</v>
      </c>
      <c r="C920">
        <v>23318244</v>
      </c>
      <c r="D920" t="s">
        <v>7</v>
      </c>
      <c r="E920" s="2">
        <v>537352</v>
      </c>
      <c r="F920" s="2">
        <v>420053</v>
      </c>
      <c r="G920">
        <v>115</v>
      </c>
    </row>
    <row r="921" spans="1:7" x14ac:dyDescent="0.25">
      <c r="A921">
        <v>8550436</v>
      </c>
      <c r="B921" t="s">
        <v>17</v>
      </c>
      <c r="C921">
        <v>25269400</v>
      </c>
      <c r="D921" t="s">
        <v>7</v>
      </c>
      <c r="E921" s="2">
        <v>1842692</v>
      </c>
      <c r="F921" s="2">
        <v>171360</v>
      </c>
      <c r="G921">
        <v>55</v>
      </c>
    </row>
    <row r="922" spans="1:7" x14ac:dyDescent="0.25">
      <c r="A922">
        <v>8550753</v>
      </c>
      <c r="B922" t="s">
        <v>18</v>
      </c>
      <c r="C922">
        <v>21386180</v>
      </c>
      <c r="D922" t="s">
        <v>7</v>
      </c>
      <c r="E922" s="2">
        <v>281022</v>
      </c>
      <c r="F922" s="2">
        <v>7064</v>
      </c>
      <c r="G922">
        <v>55</v>
      </c>
    </row>
    <row r="923" spans="1:7" x14ac:dyDescent="0.25">
      <c r="A923">
        <v>8550900</v>
      </c>
      <c r="B923" t="s">
        <v>18</v>
      </c>
      <c r="C923">
        <v>19225430</v>
      </c>
      <c r="D923" t="s">
        <v>7</v>
      </c>
      <c r="E923" s="2">
        <v>305236</v>
      </c>
      <c r="F923" s="2">
        <v>24821</v>
      </c>
      <c r="G923">
        <v>55</v>
      </c>
    </row>
    <row r="924" spans="1:7" x14ac:dyDescent="0.25">
      <c r="A924">
        <v>8551304</v>
      </c>
      <c r="B924" t="s">
        <v>18</v>
      </c>
      <c r="C924">
        <v>27672818</v>
      </c>
      <c r="D924" t="s">
        <v>7</v>
      </c>
      <c r="E924" s="2">
        <v>842600</v>
      </c>
      <c r="F924" s="2">
        <v>346980</v>
      </c>
      <c r="G924">
        <v>85</v>
      </c>
    </row>
    <row r="925" spans="1:7" x14ac:dyDescent="0.25">
      <c r="A925">
        <v>8551392</v>
      </c>
      <c r="B925" t="s">
        <v>18</v>
      </c>
      <c r="C925">
        <v>26555103</v>
      </c>
      <c r="D925" t="s">
        <v>7</v>
      </c>
      <c r="E925" s="2">
        <v>472559</v>
      </c>
      <c r="F925" s="2">
        <v>17440</v>
      </c>
      <c r="G925">
        <v>55</v>
      </c>
    </row>
    <row r="926" spans="1:7" x14ac:dyDescent="0.25">
      <c r="A926">
        <v>8551730</v>
      </c>
      <c r="B926" t="s">
        <v>17</v>
      </c>
      <c r="C926">
        <v>25786927</v>
      </c>
      <c r="D926" t="s">
        <v>7</v>
      </c>
      <c r="E926" s="2">
        <v>122438</v>
      </c>
      <c r="F926" s="2">
        <v>46258</v>
      </c>
      <c r="G926">
        <v>55</v>
      </c>
    </row>
    <row r="927" spans="1:7" x14ac:dyDescent="0.25">
      <c r="A927">
        <v>8551730</v>
      </c>
      <c r="B927" t="s">
        <v>17</v>
      </c>
      <c r="C927">
        <v>28186038</v>
      </c>
      <c r="D927" t="s">
        <v>13</v>
      </c>
      <c r="E927" s="2">
        <v>5113208</v>
      </c>
      <c r="F927" s="2">
        <v>181122</v>
      </c>
      <c r="G927">
        <v>32</v>
      </c>
    </row>
    <row r="928" spans="1:7" x14ac:dyDescent="0.25">
      <c r="A928">
        <v>8552223</v>
      </c>
      <c r="B928" t="s">
        <v>18</v>
      </c>
      <c r="C928">
        <v>25178462</v>
      </c>
      <c r="D928" t="s">
        <v>7</v>
      </c>
      <c r="E928" s="2">
        <v>158443</v>
      </c>
      <c r="F928" s="2">
        <v>36204</v>
      </c>
      <c r="G928">
        <v>55</v>
      </c>
    </row>
    <row r="929" spans="1:7" x14ac:dyDescent="0.25">
      <c r="A929">
        <v>8552331</v>
      </c>
      <c r="B929" t="s">
        <v>16</v>
      </c>
      <c r="C929">
        <v>22221367</v>
      </c>
      <c r="D929" t="s">
        <v>9</v>
      </c>
      <c r="E929" s="2">
        <v>4679305</v>
      </c>
      <c r="F929" s="2">
        <v>793431</v>
      </c>
      <c r="G929">
        <v>77</v>
      </c>
    </row>
    <row r="930" spans="1:7" x14ac:dyDescent="0.25">
      <c r="A930">
        <v>8552345</v>
      </c>
      <c r="B930" t="s">
        <v>17</v>
      </c>
      <c r="C930">
        <v>23758783</v>
      </c>
      <c r="D930" t="s">
        <v>11</v>
      </c>
      <c r="E930" s="2">
        <v>7945200</v>
      </c>
      <c r="F930" s="2">
        <v>247400</v>
      </c>
      <c r="G930">
        <v>28</v>
      </c>
    </row>
    <row r="931" spans="1:7" x14ac:dyDescent="0.25">
      <c r="A931">
        <v>8552450</v>
      </c>
      <c r="B931" t="s">
        <v>18</v>
      </c>
      <c r="C931">
        <v>21386195</v>
      </c>
      <c r="D931" t="s">
        <v>7</v>
      </c>
      <c r="E931" s="2">
        <v>275342</v>
      </c>
      <c r="F931" s="2">
        <v>39846</v>
      </c>
      <c r="G931">
        <v>55</v>
      </c>
    </row>
    <row r="932" spans="1:7" x14ac:dyDescent="0.25">
      <c r="A932">
        <v>8552462</v>
      </c>
      <c r="B932" t="s">
        <v>18</v>
      </c>
      <c r="C932">
        <v>25300456</v>
      </c>
      <c r="D932" t="s">
        <v>7</v>
      </c>
      <c r="E932" s="2">
        <v>467804</v>
      </c>
      <c r="F932" s="2">
        <v>532127</v>
      </c>
      <c r="G932">
        <v>175</v>
      </c>
    </row>
    <row r="933" spans="1:7" x14ac:dyDescent="0.25">
      <c r="A933">
        <v>8552858</v>
      </c>
      <c r="B933" t="s">
        <v>17</v>
      </c>
      <c r="C933">
        <v>4734571</v>
      </c>
      <c r="D933" t="s">
        <v>7</v>
      </c>
      <c r="E933" s="2">
        <v>939642</v>
      </c>
      <c r="F933" s="2">
        <v>1068843</v>
      </c>
      <c r="G933">
        <v>235</v>
      </c>
    </row>
    <row r="934" spans="1:7" x14ac:dyDescent="0.25">
      <c r="A934">
        <v>8552858</v>
      </c>
      <c r="B934" t="s">
        <v>17</v>
      </c>
      <c r="C934">
        <v>21710039</v>
      </c>
      <c r="D934" t="s">
        <v>7</v>
      </c>
      <c r="E934" s="2">
        <v>1109422</v>
      </c>
      <c r="F934" s="2">
        <v>1261967</v>
      </c>
      <c r="G934">
        <v>175</v>
      </c>
    </row>
    <row r="935" spans="1:7" x14ac:dyDescent="0.25">
      <c r="A935">
        <v>8552898</v>
      </c>
      <c r="B935" t="s">
        <v>18</v>
      </c>
      <c r="C935">
        <v>4715262</v>
      </c>
      <c r="D935" t="s">
        <v>7</v>
      </c>
      <c r="E935" s="2">
        <v>1319866</v>
      </c>
      <c r="F935" s="2">
        <v>186479</v>
      </c>
      <c r="G935">
        <v>55</v>
      </c>
    </row>
    <row r="936" spans="1:7" x14ac:dyDescent="0.25">
      <c r="A936">
        <v>8553096</v>
      </c>
      <c r="B936" t="s">
        <v>18</v>
      </c>
      <c r="C936">
        <v>27552740</v>
      </c>
      <c r="D936" t="s">
        <v>7</v>
      </c>
      <c r="E936" s="2">
        <v>601464</v>
      </c>
      <c r="F936" s="2">
        <v>126883</v>
      </c>
      <c r="G936">
        <v>55</v>
      </c>
    </row>
    <row r="937" spans="1:7" x14ac:dyDescent="0.25">
      <c r="A937">
        <v>8553666</v>
      </c>
      <c r="B937" t="s">
        <v>18</v>
      </c>
      <c r="C937">
        <v>26377696</v>
      </c>
      <c r="D937" t="s">
        <v>7</v>
      </c>
      <c r="E937" s="2">
        <v>1868143</v>
      </c>
      <c r="F937" s="2">
        <v>988632</v>
      </c>
      <c r="G937">
        <v>115</v>
      </c>
    </row>
    <row r="938" spans="1:7" x14ac:dyDescent="0.25">
      <c r="A938">
        <v>8553693</v>
      </c>
      <c r="B938" t="s">
        <v>16</v>
      </c>
      <c r="C938">
        <v>23932368</v>
      </c>
      <c r="D938" t="s">
        <v>8</v>
      </c>
      <c r="E938" s="2">
        <v>21496049</v>
      </c>
      <c r="F938" s="2">
        <v>316433</v>
      </c>
      <c r="G938">
        <v>27</v>
      </c>
    </row>
    <row r="939" spans="1:7" x14ac:dyDescent="0.25">
      <c r="A939">
        <v>8553743</v>
      </c>
      <c r="B939" t="s">
        <v>18</v>
      </c>
      <c r="C939">
        <v>21877122</v>
      </c>
      <c r="D939" t="s">
        <v>13</v>
      </c>
      <c r="E939" s="2">
        <v>1430995</v>
      </c>
      <c r="F939" s="2">
        <v>1632056</v>
      </c>
      <c r="G939">
        <v>335</v>
      </c>
    </row>
    <row r="940" spans="1:7" x14ac:dyDescent="0.25">
      <c r="A940">
        <v>8554397</v>
      </c>
      <c r="B940" t="s">
        <v>18</v>
      </c>
      <c r="C940">
        <v>28146964</v>
      </c>
      <c r="D940" t="s">
        <v>7</v>
      </c>
      <c r="E940" s="2">
        <v>620258</v>
      </c>
      <c r="F940" s="2">
        <v>124443</v>
      </c>
      <c r="G940">
        <v>55</v>
      </c>
    </row>
    <row r="941" spans="1:7" x14ac:dyDescent="0.25">
      <c r="A941">
        <v>8554929</v>
      </c>
      <c r="B941" t="s">
        <v>18</v>
      </c>
      <c r="C941">
        <v>26813424</v>
      </c>
      <c r="D941" t="s">
        <v>7</v>
      </c>
      <c r="E941" s="2">
        <v>592329</v>
      </c>
      <c r="F941" s="2">
        <v>29648</v>
      </c>
      <c r="G941">
        <v>55</v>
      </c>
    </row>
    <row r="942" spans="1:7" x14ac:dyDescent="0.25">
      <c r="A942">
        <v>8554952</v>
      </c>
      <c r="B942" t="s">
        <v>18</v>
      </c>
      <c r="C942">
        <v>14370932</v>
      </c>
      <c r="D942" t="s">
        <v>7</v>
      </c>
      <c r="E942" s="2">
        <v>4360882</v>
      </c>
      <c r="F942" s="2">
        <v>4960503</v>
      </c>
      <c r="G942">
        <v>235</v>
      </c>
    </row>
    <row r="943" spans="1:7" x14ac:dyDescent="0.25">
      <c r="A943">
        <v>8555188</v>
      </c>
      <c r="B943" t="s">
        <v>18</v>
      </c>
      <c r="C943">
        <v>23486645</v>
      </c>
      <c r="D943" t="s">
        <v>7</v>
      </c>
      <c r="E943" s="2">
        <v>327481</v>
      </c>
      <c r="F943" s="2">
        <v>200401</v>
      </c>
      <c r="G943">
        <v>85</v>
      </c>
    </row>
    <row r="944" spans="1:7" x14ac:dyDescent="0.25">
      <c r="A944">
        <v>8555315</v>
      </c>
      <c r="B944" t="s">
        <v>17</v>
      </c>
      <c r="C944">
        <v>26673640</v>
      </c>
      <c r="D944" t="s">
        <v>7</v>
      </c>
      <c r="E944" s="2">
        <v>9170002</v>
      </c>
      <c r="F944" s="2">
        <v>7806</v>
      </c>
      <c r="G944">
        <v>55</v>
      </c>
    </row>
    <row r="945" spans="1:7" x14ac:dyDescent="0.25">
      <c r="A945">
        <v>8555342</v>
      </c>
      <c r="B945" t="s">
        <v>18</v>
      </c>
      <c r="C945">
        <v>25416050</v>
      </c>
      <c r="D945" t="s">
        <v>7</v>
      </c>
      <c r="E945" s="2">
        <v>926899</v>
      </c>
      <c r="F945" s="2">
        <v>164685</v>
      </c>
      <c r="G945">
        <v>55</v>
      </c>
    </row>
    <row r="946" spans="1:7" x14ac:dyDescent="0.25">
      <c r="A946">
        <v>8555675</v>
      </c>
      <c r="B946" t="s">
        <v>17</v>
      </c>
      <c r="C946">
        <v>28583654</v>
      </c>
      <c r="D946" t="s">
        <v>7</v>
      </c>
      <c r="E946" s="2">
        <v>2013644</v>
      </c>
      <c r="F946" s="2">
        <v>249006</v>
      </c>
      <c r="G946">
        <v>55</v>
      </c>
    </row>
    <row r="947" spans="1:7" x14ac:dyDescent="0.25">
      <c r="A947">
        <v>8555736</v>
      </c>
      <c r="B947" t="s">
        <v>18</v>
      </c>
      <c r="C947">
        <v>25460723</v>
      </c>
      <c r="D947" t="s">
        <v>7</v>
      </c>
      <c r="E947" s="2">
        <v>1164260</v>
      </c>
      <c r="F947" s="2">
        <v>538022</v>
      </c>
      <c r="G947">
        <v>85</v>
      </c>
    </row>
    <row r="948" spans="1:7" x14ac:dyDescent="0.25">
      <c r="A948">
        <v>8556030</v>
      </c>
      <c r="B948" t="s">
        <v>16</v>
      </c>
      <c r="C948">
        <v>19681511</v>
      </c>
      <c r="D948" t="s">
        <v>9</v>
      </c>
      <c r="E948" s="2">
        <v>8768473</v>
      </c>
      <c r="F948" s="2">
        <v>2287209</v>
      </c>
      <c r="G948">
        <v>102</v>
      </c>
    </row>
    <row r="949" spans="1:7" x14ac:dyDescent="0.25">
      <c r="A949">
        <v>8556030</v>
      </c>
      <c r="B949" t="s">
        <v>16</v>
      </c>
      <c r="C949">
        <v>26488898</v>
      </c>
      <c r="D949" t="s">
        <v>9</v>
      </c>
      <c r="E949" s="2">
        <v>6034084</v>
      </c>
      <c r="F949" s="2">
        <v>578837</v>
      </c>
      <c r="G949">
        <v>41</v>
      </c>
    </row>
    <row r="950" spans="1:7" x14ac:dyDescent="0.25">
      <c r="A950">
        <v>8556391</v>
      </c>
      <c r="B950" t="s">
        <v>17</v>
      </c>
      <c r="C950">
        <v>23249256</v>
      </c>
      <c r="D950" t="s">
        <v>7</v>
      </c>
      <c r="E950" s="2">
        <v>1671125</v>
      </c>
      <c r="F950" s="2">
        <v>610552</v>
      </c>
      <c r="G950">
        <v>85</v>
      </c>
    </row>
    <row r="951" spans="1:7" x14ac:dyDescent="0.25">
      <c r="A951">
        <v>8556426</v>
      </c>
      <c r="B951" t="s">
        <v>18</v>
      </c>
      <c r="C951">
        <v>1709105</v>
      </c>
      <c r="D951" t="s">
        <v>7</v>
      </c>
      <c r="E951" s="2">
        <v>2316162</v>
      </c>
      <c r="F951" s="2">
        <v>33527</v>
      </c>
      <c r="G951">
        <v>55</v>
      </c>
    </row>
    <row r="952" spans="1:7" x14ac:dyDescent="0.25">
      <c r="A952">
        <v>8556428</v>
      </c>
      <c r="B952" t="s">
        <v>18</v>
      </c>
      <c r="C952">
        <v>2953804</v>
      </c>
      <c r="D952" t="s">
        <v>7</v>
      </c>
      <c r="E952" s="2">
        <v>588638</v>
      </c>
      <c r="F952" s="2">
        <v>110091</v>
      </c>
      <c r="G952">
        <v>55</v>
      </c>
    </row>
    <row r="953" spans="1:7" x14ac:dyDescent="0.25">
      <c r="A953">
        <v>8556457</v>
      </c>
      <c r="B953" t="s">
        <v>17</v>
      </c>
      <c r="C953">
        <v>27019597</v>
      </c>
      <c r="D953" t="s">
        <v>7</v>
      </c>
      <c r="E953" s="2">
        <v>2306223</v>
      </c>
      <c r="F953" s="2">
        <v>397173</v>
      </c>
      <c r="G953">
        <v>55</v>
      </c>
    </row>
    <row r="954" spans="1:7" x14ac:dyDescent="0.25">
      <c r="A954">
        <v>8556636</v>
      </c>
      <c r="B954" t="s">
        <v>18</v>
      </c>
      <c r="C954">
        <v>20095662</v>
      </c>
      <c r="D954" t="s">
        <v>7</v>
      </c>
      <c r="E954" s="2">
        <v>1863833</v>
      </c>
      <c r="F954" s="2">
        <v>163849</v>
      </c>
      <c r="G954">
        <v>55</v>
      </c>
    </row>
    <row r="955" spans="1:7" x14ac:dyDescent="0.25">
      <c r="A955">
        <v>8556848</v>
      </c>
      <c r="B955" t="s">
        <v>18</v>
      </c>
      <c r="C955">
        <v>27485416</v>
      </c>
      <c r="D955" t="s">
        <v>7</v>
      </c>
      <c r="E955" s="2">
        <v>2408814</v>
      </c>
      <c r="F955" s="2">
        <v>79598</v>
      </c>
      <c r="G955">
        <v>55</v>
      </c>
    </row>
    <row r="956" spans="1:7" x14ac:dyDescent="0.25">
      <c r="A956">
        <v>8556862</v>
      </c>
      <c r="B956" t="s">
        <v>18</v>
      </c>
      <c r="C956">
        <v>21386184</v>
      </c>
      <c r="D956" t="s">
        <v>7</v>
      </c>
      <c r="E956" s="2">
        <v>556853</v>
      </c>
      <c r="F956" s="2">
        <v>201902</v>
      </c>
      <c r="G956">
        <v>85</v>
      </c>
    </row>
    <row r="957" spans="1:7" x14ac:dyDescent="0.25">
      <c r="A957">
        <v>8556971</v>
      </c>
      <c r="B957" t="s">
        <v>18</v>
      </c>
      <c r="C957">
        <v>23736047</v>
      </c>
      <c r="D957" t="s">
        <v>7</v>
      </c>
      <c r="E957" s="2">
        <v>401096</v>
      </c>
      <c r="F957" s="2">
        <v>44920</v>
      </c>
      <c r="G957">
        <v>55</v>
      </c>
    </row>
    <row r="958" spans="1:7" x14ac:dyDescent="0.25">
      <c r="A958">
        <v>8557036</v>
      </c>
      <c r="B958" t="s">
        <v>18</v>
      </c>
      <c r="C958">
        <v>26395640</v>
      </c>
      <c r="D958" t="s">
        <v>7</v>
      </c>
      <c r="E958" s="2">
        <v>1288043</v>
      </c>
      <c r="F958" s="2">
        <v>130713</v>
      </c>
      <c r="G958">
        <v>55</v>
      </c>
    </row>
    <row r="959" spans="1:7" x14ac:dyDescent="0.25">
      <c r="A959">
        <v>8557297</v>
      </c>
      <c r="B959" t="s">
        <v>17</v>
      </c>
      <c r="C959">
        <v>25846718</v>
      </c>
      <c r="D959" t="s">
        <v>7</v>
      </c>
      <c r="E959" s="2">
        <v>1182998</v>
      </c>
      <c r="F959" s="2">
        <v>220535</v>
      </c>
      <c r="G959">
        <v>55</v>
      </c>
    </row>
    <row r="960" spans="1:7" x14ac:dyDescent="0.25">
      <c r="A960">
        <v>8557743</v>
      </c>
      <c r="B960" t="s">
        <v>17</v>
      </c>
      <c r="C960">
        <v>23790214</v>
      </c>
      <c r="D960" t="s">
        <v>9</v>
      </c>
      <c r="E960" s="2">
        <v>2146112</v>
      </c>
      <c r="F960" s="2">
        <v>356785</v>
      </c>
      <c r="G960">
        <v>115</v>
      </c>
    </row>
    <row r="961" spans="1:7" x14ac:dyDescent="0.25">
      <c r="A961">
        <v>8557752</v>
      </c>
      <c r="B961" t="s">
        <v>18</v>
      </c>
      <c r="C961">
        <v>22994170</v>
      </c>
      <c r="D961" t="s">
        <v>7</v>
      </c>
      <c r="E961" s="2">
        <v>610557</v>
      </c>
      <c r="F961" s="2">
        <v>76741</v>
      </c>
      <c r="G961">
        <v>55</v>
      </c>
    </row>
    <row r="962" spans="1:7" x14ac:dyDescent="0.25">
      <c r="A962">
        <v>8557907</v>
      </c>
      <c r="B962" t="s">
        <v>18</v>
      </c>
      <c r="C962">
        <v>16361629</v>
      </c>
      <c r="D962" t="s">
        <v>7</v>
      </c>
      <c r="E962" s="2">
        <v>124864</v>
      </c>
      <c r="F962" s="2">
        <v>34585</v>
      </c>
      <c r="G962">
        <v>55</v>
      </c>
    </row>
    <row r="963" spans="1:7" x14ac:dyDescent="0.25">
      <c r="A963">
        <v>8557907</v>
      </c>
      <c r="B963" t="s">
        <v>18</v>
      </c>
      <c r="C963">
        <v>16363686</v>
      </c>
      <c r="D963" t="s">
        <v>7</v>
      </c>
      <c r="E963" s="2">
        <v>280901</v>
      </c>
      <c r="F963" s="2">
        <v>10954</v>
      </c>
      <c r="G963">
        <v>55</v>
      </c>
    </row>
    <row r="964" spans="1:7" x14ac:dyDescent="0.25">
      <c r="A964">
        <v>8557916</v>
      </c>
      <c r="B964" t="s">
        <v>18</v>
      </c>
      <c r="C964">
        <v>26218300</v>
      </c>
      <c r="D964" t="s">
        <v>7</v>
      </c>
      <c r="E964" s="2">
        <v>403455</v>
      </c>
      <c r="F964" s="2">
        <v>108934</v>
      </c>
      <c r="G964">
        <v>55</v>
      </c>
    </row>
    <row r="965" spans="1:7" x14ac:dyDescent="0.25">
      <c r="A965">
        <v>8557950</v>
      </c>
      <c r="B965" t="s">
        <v>18</v>
      </c>
      <c r="C965">
        <v>20970930</v>
      </c>
      <c r="D965" t="s">
        <v>7</v>
      </c>
      <c r="E965" s="2">
        <v>110789</v>
      </c>
      <c r="F965" s="2">
        <v>31426</v>
      </c>
      <c r="G965">
        <v>85</v>
      </c>
    </row>
    <row r="966" spans="1:7" x14ac:dyDescent="0.25">
      <c r="A966">
        <v>8558363</v>
      </c>
      <c r="B966" t="s">
        <v>18</v>
      </c>
      <c r="C966">
        <v>21516779</v>
      </c>
      <c r="D966" t="s">
        <v>7</v>
      </c>
      <c r="E966" s="2">
        <v>21051</v>
      </c>
      <c r="F966" s="2">
        <v>22970</v>
      </c>
      <c r="G966">
        <v>85</v>
      </c>
    </row>
    <row r="967" spans="1:7" x14ac:dyDescent="0.25">
      <c r="A967">
        <v>8558454</v>
      </c>
      <c r="B967" t="s">
        <v>18</v>
      </c>
      <c r="C967">
        <v>20952780</v>
      </c>
      <c r="D967" t="s">
        <v>7</v>
      </c>
      <c r="E967" s="2">
        <v>1512190</v>
      </c>
      <c r="F967" s="2">
        <v>49175</v>
      </c>
      <c r="G967">
        <v>55</v>
      </c>
    </row>
    <row r="968" spans="1:7" x14ac:dyDescent="0.25">
      <c r="A968">
        <v>8558545</v>
      </c>
      <c r="B968" t="s">
        <v>16</v>
      </c>
      <c r="C968">
        <v>23658178</v>
      </c>
      <c r="D968" t="s">
        <v>7</v>
      </c>
      <c r="E968" s="2">
        <v>1918324</v>
      </c>
      <c r="F968" s="2">
        <v>531379</v>
      </c>
      <c r="G968">
        <v>115</v>
      </c>
    </row>
    <row r="969" spans="1:7" x14ac:dyDescent="0.25">
      <c r="A969">
        <v>8558664</v>
      </c>
      <c r="B969" t="s">
        <v>17</v>
      </c>
      <c r="C969">
        <v>16084697</v>
      </c>
      <c r="D969" t="s">
        <v>7</v>
      </c>
      <c r="E969" s="2">
        <v>800100</v>
      </c>
      <c r="F969" s="2">
        <v>121857</v>
      </c>
      <c r="G969">
        <v>55</v>
      </c>
    </row>
    <row r="970" spans="1:7" x14ac:dyDescent="0.25">
      <c r="A970">
        <v>8558664</v>
      </c>
      <c r="B970" t="s">
        <v>17</v>
      </c>
      <c r="C970">
        <v>20541812</v>
      </c>
      <c r="D970" t="s">
        <v>7</v>
      </c>
      <c r="E970" s="2">
        <v>1514681</v>
      </c>
      <c r="F970" s="2">
        <v>226652</v>
      </c>
      <c r="G970">
        <v>55</v>
      </c>
    </row>
    <row r="971" spans="1:7" x14ac:dyDescent="0.25">
      <c r="A971">
        <v>8559026</v>
      </c>
      <c r="B971" t="s">
        <v>16</v>
      </c>
      <c r="C971">
        <v>25942733</v>
      </c>
      <c r="D971" t="s">
        <v>7</v>
      </c>
      <c r="E971" s="2">
        <v>1821204</v>
      </c>
      <c r="F971" s="2">
        <v>537367</v>
      </c>
      <c r="G971">
        <v>85</v>
      </c>
    </row>
  </sheetData>
  <pageMargins left="0.7" right="0.7" top="0.75" bottom="0.75" header="0.3" footer="0.3"/>
  <pageSetup orientation="portrait" verticalDpi="599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8"/>
  <sheetViews>
    <sheetView workbookViewId="0">
      <selection activeCell="F23" sqref="F23"/>
    </sheetView>
  </sheetViews>
  <sheetFormatPr baseColWidth="10" defaultRowHeight="15" x14ac:dyDescent="0.25"/>
  <cols>
    <col min="1" max="1" width="21.42578125" customWidth="1"/>
    <col min="2" max="2" width="11.85546875" customWidth="1"/>
    <col min="3" max="3" width="14.140625" customWidth="1"/>
  </cols>
  <sheetData>
    <row r="1" spans="1:3" x14ac:dyDescent="0.25">
      <c r="A1" t="s">
        <v>29</v>
      </c>
      <c r="B1" t="s">
        <v>35</v>
      </c>
      <c r="C1" t="s">
        <v>38</v>
      </c>
    </row>
    <row r="2" spans="1:3" x14ac:dyDescent="0.25">
      <c r="A2" t="s">
        <v>26</v>
      </c>
      <c r="B2" t="s">
        <v>36</v>
      </c>
      <c r="C2" t="s">
        <v>39</v>
      </c>
    </row>
    <row r="3" spans="1:3" x14ac:dyDescent="0.25">
      <c r="A3" t="s">
        <v>34</v>
      </c>
      <c r="B3" t="s">
        <v>36</v>
      </c>
      <c r="C3" t="s">
        <v>39</v>
      </c>
    </row>
    <row r="4" spans="1:3" x14ac:dyDescent="0.25">
      <c r="A4" t="s">
        <v>25</v>
      </c>
      <c r="B4" t="s">
        <v>36</v>
      </c>
      <c r="C4" t="s">
        <v>39</v>
      </c>
    </row>
    <row r="5" spans="1:3" x14ac:dyDescent="0.25">
      <c r="A5" t="s">
        <v>28</v>
      </c>
      <c r="B5" t="s">
        <v>36</v>
      </c>
      <c r="C5" t="s">
        <v>40</v>
      </c>
    </row>
    <row r="6" spans="1:3" x14ac:dyDescent="0.25">
      <c r="A6" t="s">
        <v>27</v>
      </c>
      <c r="B6" t="s">
        <v>37</v>
      </c>
      <c r="C6" t="s">
        <v>41</v>
      </c>
    </row>
    <row r="7" spans="1:3" x14ac:dyDescent="0.25">
      <c r="A7" t="s">
        <v>24</v>
      </c>
      <c r="B7" t="s">
        <v>37</v>
      </c>
      <c r="C7" t="s">
        <v>41</v>
      </c>
    </row>
    <row r="8" spans="1:3" x14ac:dyDescent="0.25">
      <c r="A8" t="s">
        <v>30</v>
      </c>
      <c r="B8" t="s">
        <v>37</v>
      </c>
      <c r="C8" t="s">
        <v>41</v>
      </c>
    </row>
  </sheetData>
  <pageMargins left="0.7" right="0.7" top="0.75" bottom="0.75" header="0.3" footer="0.3"/>
  <pageSetup orientation="portrait" verticalDpi="59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64059-E7E7-46CA-B8D0-B0D2121AC8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Gestor_responsable</vt:lpstr>
      <vt:lpstr>Segmentos</vt:lpstr>
      <vt:lpstr>BASE_CUENTAS</vt:lpstr>
      <vt:lpstr>GESTIONES</vt:lpstr>
      <vt:lpstr>PAGOS</vt:lpstr>
      <vt:lpstr>BASE_CIERRE_MES</vt:lpstr>
      <vt:lpstr>Catalogo_gestiones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Bancolombia</dc:creator>
  <cp:lastModifiedBy>ASUS</cp:lastModifiedBy>
  <dcterms:created xsi:type="dcterms:W3CDTF">2016-07-15T21:27:31Z</dcterms:created>
  <dcterms:modified xsi:type="dcterms:W3CDTF">2026-01-29T17:11:59Z</dcterms:modified>
</cp:coreProperties>
</file>